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  <sheet name="Sheet1" sheetId="6" r:id="rId6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C1" authorId="0">
      <text>
        <r>
          <rPr>
            <sz val="10"/>
            <rFont val="Noto Sans CJK SC"/>
            <charset val="134"/>
          </rPr>
          <t>开仓时从“账户数据”的当前总金额复制，并粘贴为数值；不要保留公式。</t>
        </r>
      </text>
    </comment>
    <comment ref="D1" authorId="0">
      <text>
        <r>
          <rPr>
            <sz val="10"/>
            <rFont val="Noto Sans CJK SC"/>
            <charset val="134"/>
          </rPr>
          <t>开仓时从“账户数据”的单次交易允许亏损比例复制，并粘贴为数值。</t>
        </r>
      </text>
    </comment>
    <comment ref="F1" authorId="0">
      <text>
        <r>
          <rPr>
            <sz val="10"/>
            <rFont val="Noto Sans CJK SC"/>
            <charset val="134"/>
          </rPr>
          <t>按账户快照、本次风险比例和止损距离计算；仅作仓位建议。</t>
        </r>
      </text>
    </comment>
    <comment ref="G1" authorId="0">
      <text>
        <r>
          <rPr>
            <sz val="10"/>
            <rFont val="Noto Sans CJK SC"/>
            <charset val="134"/>
          </rPr>
          <t>开仓风险告警检查账户锁仓状态、交易预期和风险额度。精简版不再依赖持仓跟踪表。</t>
        </r>
      </text>
    </comment>
    <comment ref="H1" authorId="0">
      <text>
        <r>
          <rPr>
            <sz val="10"/>
            <rFont val="Noto Sans CJK SC"/>
            <charset val="134"/>
          </rPr>
          <t>手动填写实际成交股数；后续盈亏、收益率和统计均引用此列。</t>
        </r>
      </text>
    </comment>
    <comment ref="L1" authorId="0">
      <text>
        <r>
          <rPr>
            <sz val="10"/>
            <rFont val="Noto Sans CJK SC"/>
            <charset val="134"/>
          </rPr>
          <t>自动等于最终持仓股数：第一批买入股数加上所有已填写的实际加仓股数。无需手工填写。</t>
        </r>
      </text>
    </comment>
    <comment ref="X1" authorId="0">
      <text>
        <r>
          <rPr>
            <sz val="10"/>
            <rFont val="Noto Sans CJK SC"/>
            <charset val="134"/>
          </rPr>
          <t>按实际卖出价、实际加权买入价和最终卖出股数计算，并扣除买入总费用与卖出费用。</t>
        </r>
      </text>
    </comment>
    <comment ref="AE1" authorId="0">
      <text>
        <r>
          <rPr>
            <sz val="10"/>
            <rFont val="Noto Sans CJK SC"/>
            <charset val="134"/>
          </rPr>
          <t>实际盈亏金额</t>
        </r>
        <r>
          <rPr>
            <sz val="10"/>
            <rFont val="Arial"/>
            <charset val="134"/>
          </rPr>
          <t>÷</t>
        </r>
        <r>
          <rPr>
            <sz val="10"/>
            <rFont val="Noto Sans CJK SC"/>
            <charset val="134"/>
          </rPr>
          <t>买入时账户金额快照；用于账户口径统计与逐笔复利。</t>
        </r>
      </text>
    </comment>
    <comment ref="AG1" authorId="0">
      <text>
        <r>
          <rPr>
            <sz val="10"/>
            <rFont val="Noto Sans CJK SC"/>
            <charset val="134"/>
          </rPr>
          <t>开仓前必选：短期博反弹、突破冲新高或趋势波段。同时必须选择预期持有周期并填写选择理由。</t>
        </r>
      </text>
    </comment>
    <comment ref="AK1" authorId="0">
      <text>
        <r>
          <rPr>
            <sz val="10"/>
            <rFont val="Noto Sans CJK SC"/>
            <charset val="134"/>
          </rPr>
          <t>需要第二批时先填价格，再填股数；股数录入时会检查锁仓和风险上限。</t>
        </r>
      </text>
    </comment>
    <comment ref="AM1" authorId="0">
      <text>
        <r>
          <rPr>
            <sz val="10"/>
            <rFont val="Noto Sans CJK SC"/>
            <charset val="134"/>
          </rPr>
          <t>第三批必须在第二批完整后填写，同样采用先价格、后股数。</t>
        </r>
      </text>
    </comment>
    <comment ref="AR1" authorId="0">
      <text>
        <r>
          <rPr>
            <sz val="10"/>
            <rFont val="Noto Sans CJK SC"/>
            <charset val="134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E1" authorId="0">
      <text>
        <r>
          <rPr>
            <sz val="10"/>
            <rFont val="Noto Sans CJK SC"/>
            <charset val="134"/>
          </rPr>
          <t>每次加仓都填写新的止损价。该止损价用于计算底仓在止损位已经锁定的利润。</t>
        </r>
      </text>
    </comment>
    <comment ref="F1" authorId="0">
      <text>
        <r>
          <rPr>
            <sz val="10"/>
            <rFont val="Noto Sans CJK SC"/>
            <charset val="134"/>
          </rPr>
          <t>本次愿意承担的最大净亏损金额。按照金字塔原则，应随加仓次数逐次不增加。</t>
        </r>
      </text>
    </comment>
    <comment ref="G1" authorId="0">
      <text>
        <r>
          <rPr>
            <sz val="10"/>
            <rFont val="Noto Sans CJK SC"/>
            <charset val="134"/>
          </rPr>
          <t>成交后填写实际股数，可以少于建议股数。此列不会再因旧开仓股数或旧风险额度而拒绝录入。</t>
        </r>
      </text>
    </comment>
    <comment ref="K1" authorId="0">
      <text>
        <r>
          <rPr>
            <sz val="10"/>
            <rFont val="Noto Sans CJK SC"/>
            <charset val="134"/>
          </rPr>
          <t>公式：</t>
        </r>
        <r>
          <rPr>
            <sz val="10"/>
            <rFont val="Arial"/>
            <charset val="134"/>
          </rPr>
          <t>max(</t>
        </r>
        <r>
          <rPr>
            <sz val="10"/>
            <rFont val="Noto Sans CJK SC"/>
            <charset val="134"/>
          </rPr>
          <t>新止损价</t>
        </r>
        <r>
          <rPr>
            <sz val="10"/>
            <rFont val="Arial"/>
            <charset val="134"/>
          </rPr>
          <t>×</t>
        </r>
        <r>
          <rPr>
            <sz val="10"/>
            <rFont val="Noto Sans CJK SC"/>
            <charset val="134"/>
          </rPr>
          <t>加仓前股数－加仓前持仓成本</t>
        </r>
        <r>
          <rPr>
            <sz val="10"/>
            <rFont val="Arial"/>
            <charset val="134"/>
          </rPr>
          <t>, 0)</t>
        </r>
        <r>
          <rPr>
            <sz val="10"/>
            <rFont val="Noto Sans CJK SC"/>
            <charset val="134"/>
          </rPr>
          <t>。锁定利润可抵扣新仓风险。</t>
        </r>
      </text>
    </comment>
    <comment ref="N1" authorId="0">
      <text>
        <r>
          <rPr>
            <sz val="10"/>
            <rFont val="Noto Sans CJK SC"/>
            <charset val="134"/>
          </rPr>
          <t>建议股数</t>
        </r>
        <r>
          <rPr>
            <sz val="10"/>
            <rFont val="Arial"/>
            <charset val="134"/>
          </rPr>
          <t>=min(</t>
        </r>
        <r>
          <rPr>
            <sz val="10"/>
            <rFont val="Noto Sans CJK SC"/>
            <charset val="134"/>
          </rPr>
          <t>风险允许股数</t>
        </r>
        <r>
          <rPr>
            <sz val="10"/>
            <rFont val="Arial"/>
            <charset val="134"/>
          </rPr>
          <t xml:space="preserve">, </t>
        </r>
        <r>
          <rPr>
            <sz val="10"/>
            <rFont val="Noto Sans CJK SC"/>
            <charset val="134"/>
          </rPr>
          <t>金字塔上限股数</t>
        </r>
        <r>
          <rPr>
            <sz val="10"/>
            <rFont val="Arial"/>
            <charset val="134"/>
          </rPr>
          <t>)</t>
        </r>
        <r>
          <rPr>
            <sz val="10"/>
            <rFont val="Noto Sans CJK SC"/>
            <charset val="134"/>
          </rPr>
          <t>，向下取整到</t>
        </r>
        <r>
          <rPr>
            <sz val="10"/>
            <rFont val="Arial"/>
            <charset val="134"/>
          </rPr>
          <t>100</t>
        </r>
        <r>
          <rPr>
            <sz val="10"/>
            <rFont val="Noto Sans CJK SC"/>
            <charset val="134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<sst xmlns="http://schemas.openxmlformats.org/spreadsheetml/2006/main" count="553" uniqueCount="161">
  <si>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</si>
  <si>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</si>
  <si>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</si>
  <si>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</si>
  <si>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</si>
  <si>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</si>
  <si>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</si>
  <si>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</si>
  <si>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</si>
  <si>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</si>
  <si>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</si>
  <si>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</si>
  <si>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</si>
  <si>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</si>
  <si>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</si>
  <si>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</si>
  <si>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</si>
  <si>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</si>
  <si>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</si>
  <si>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</si>
  <si>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</si>
  <si>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</si>
  <si>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</si>
  <si>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</si>
  <si>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</si>
  <si>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</si>
  <si>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</si>
  <si>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</si>
  <si>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</si>
  <si>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</si>
  <si>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</si>
  <si>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</si>
  <si>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</si>
  <si>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</si>
  <si>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</si>
  <si>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</si>
  <si>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</si>
  <si>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</si>
  <si>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</si>
  <si>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</si>
  <si>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</si>
  <si>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</si>
  <si>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</si>
  <si>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</si>
  <si>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新和成</t>
  </si>
  <si>
    <t>趋势波段</t>
  </si>
  <si>
    <t>11～20个交易日</t>
  </si>
  <si>
    <t>吸筹冲新高</t>
  </si>
  <si>
    <t>短期博反弹</t>
  </si>
  <si>
    <t>4～10个交易日</t>
  </si>
  <si>
    <t>反弹</t>
  </si>
  <si>
    <t>吸筹</t>
  </si>
  <si>
    <t>突破冲新高</t>
  </si>
  <si>
    <t>新高</t>
  </si>
  <si>
    <t>21～60个交易日</t>
  </si>
  <si>
    <t>科伦药业</t>
  </si>
  <si>
    <t>震仓</t>
  </si>
  <si>
    <t>爱尔眼科</t>
  </si>
  <si>
    <t>反弹+ 吸筹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</si>
  <si>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</si>
  <si>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</si>
  <si>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</si>
  <si>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</si>
  <si>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</si>
  <si>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</si>
  <si>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</si>
  <si>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</si>
  <si>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</si>
  <si>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</si>
  <si>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</si>
  <si>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</si>
  <si>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</si>
  <si>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</si>
  <si>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</si>
  <si>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</si>
  <si>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</si>
  <si>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 xml:space="preserve"> 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</si>
  <si>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</si>
  <si>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</si>
  <si>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</si>
  <si>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</si>
  <si>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</si>
  <si>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</si>
  <si>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</si>
  <si>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</si>
  <si>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</si>
  <si>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</si>
  <si>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</si>
  <si>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</si>
  <si>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</si>
  <si>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</si>
  <si>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</si>
  <si>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</si>
  <si>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</si>
  <si>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</si>
  <si>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</si>
  <si>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</si>
  <si>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</si>
  <si>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</si>
  <si>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</si>
  <si>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</si>
  <si>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</si>
  <si>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</si>
  <si>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</si>
  <si>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</si>
  <si>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</si>
  <si>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</si>
  <si>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</si>
  <si>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</si>
  <si>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</si>
  <si>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</si>
  <si>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</si>
  <si>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</si>
  <si>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</si>
  <si>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</si>
  <si>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</si>
  <si>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</si>
  <si>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</si>
  <si>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</si>
  <si>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</si>
  <si>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</si>
  <si>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</si>
  <si>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</si>
  <si>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</si>
  <si>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</si>
  <si>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</si>
  <si>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</si>
  <si>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</si>
  <si>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</si>
  <si>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</si>
  <si>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</si>
  <si>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</si>
  <si>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</si>
  <si>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</si>
  <si>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</si>
  <si>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</si>
  <si>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解锁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</si>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</sst>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&quot;-¥&quot;#,##0.00"/>
    <numFmt numFmtId="177" formatCode="yyyy\-mm\-dd"/>
  </numFmts>
  <fonts count="30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</font>
    <font>
      <b/>
      <sz val="11"/>
      <color rgb="FFFFFFFF"/>
      <name val="宋体"/>
      <charset val="1"/>
    </font>
    <font>
      <sz val="11"/>
      <color rgb="FF0000FF"/>
      <name val="宋体"/>
      <charset val="1"/>
    </font>
    <font>
      <sz val="11"/>
      <color rgb="FF000000"/>
      <name val="宋体"/>
      <charset val="1"/>
    </font>
    <font>
      <sz val="11"/>
      <color rgb="FF008000"/>
      <name val="宋体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name val="Noto Sans CJK SC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9E2F3"/>
      </patternFill>
    </fill>
    <fill>
      <patternFill patternType="solid">
        <fgColor rgb="FFFF0000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177" fontId="4" fillId="4" borderId="1" xfId="0" applyNumberFormat="1" applyFont="1" applyFill="1" applyBorder="1" applyAlignment="1">
      <alignment vertical="top" wrapText="1"/>
    </xf>
    <xf numFmtId="176" fontId="4" fillId="4" borderId="1" xfId="0" applyNumberFormat="1" applyFont="1" applyFill="1" applyBorder="1" applyAlignment="1">
      <alignment vertical="top" wrapText="1"/>
    </xf>
    <xf numFmtId="176" fontId="5" fillId="3" borderId="1" xfId="0" applyNumberFormat="1" applyFont="1" applyFill="1" applyBorder="1" applyAlignment="1">
      <alignment vertical="top" wrapText="1"/>
    </xf>
    <xf numFmtId="1" fontId="5" fillId="3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5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4" borderId="1" xfId="0" applyFill="1" applyBorder="1" applyAlignment="1">
      <alignment vertical="top" wrapText="1"/>
    </xf>
    <xf numFmtId="177" fontId="0" fillId="4" borderId="1" xfId="0" applyNumberFormat="1" applyFill="1" applyBorder="1" applyAlignment="1">
      <alignment vertical="top" wrapText="1"/>
    </xf>
    <xf numFmtId="2" fontId="0" fillId="3" borderId="1" xfId="0" applyNumberFormat="1" applyFill="1" applyBorder="1" applyAlignment="1">
      <alignment vertical="top" wrapText="1"/>
    </xf>
    <xf numFmtId="1" fontId="6" fillId="3" borderId="1" xfId="0" applyNumberFormat="1" applyFont="1" applyFill="1" applyBorder="1" applyAlignment="1">
      <alignment vertical="top" wrapText="1"/>
    </xf>
    <xf numFmtId="176" fontId="6" fillId="3" borderId="1" xfId="0" applyNumberFormat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76" fontId="0" fillId="6" borderId="1" xfId="0" applyNumberFormat="1" applyFill="1" applyBorder="1" applyAlignment="1">
      <alignment vertical="top" wrapText="1"/>
    </xf>
    <xf numFmtId="10" fontId="0" fillId="6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177" fontId="0" fillId="6" borderId="1" xfId="0" applyNumberFormat="1" applyFill="1" applyBorder="1" applyAlignment="1">
      <alignment vertical="top" wrapText="1"/>
    </xf>
    <xf numFmtId="10" fontId="0" fillId="7" borderId="1" xfId="0" applyNumberFormat="1" applyFill="1" applyBorder="1" applyAlignment="1">
      <alignment vertical="top" wrapText="1"/>
    </xf>
    <xf numFmtId="2" fontId="0" fillId="7" borderId="1" xfId="0" applyNumberFormat="1" applyFill="1" applyBorder="1" applyAlignment="1">
      <alignment vertical="top" wrapText="1"/>
    </xf>
    <xf numFmtId="176" fontId="0" fillId="7" borderId="1" xfId="0" applyNumberFormat="1" applyFill="1" applyBorder="1" applyAlignment="1">
      <alignment vertical="top" wrapText="1"/>
    </xf>
    <xf numFmtId="1" fontId="0" fillId="7" borderId="1" xfId="0" applyNumberFormat="1" applyFill="1" applyBorder="1" applyAlignment="1">
      <alignment vertical="top" wrapText="1"/>
    </xf>
    <xf numFmtId="1" fontId="6" fillId="7" borderId="1" xfId="0" applyNumberFormat="1" applyFont="1" applyFill="1" applyBorder="1" applyAlignment="1">
      <alignment vertical="top" wrapText="1"/>
    </xf>
    <xf numFmtId="176" fontId="6" fillId="7" borderId="1" xfId="0" applyNumberFormat="1" applyFont="1" applyFill="1" applyBorder="1" applyAlignment="1">
      <alignment vertical="top" wrapText="1"/>
    </xf>
    <xf numFmtId="0" fontId="2" fillId="0" borderId="0" xfId="0" applyFont="1"/>
    <xf numFmtId="176" fontId="2" fillId="4" borderId="1" xfId="0" applyNumberFormat="1" applyFont="1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7E6E6"/>
      <rgbColor rgb="00DDEBF7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radeRecords" displayName="TradeRecords" ref="A1:AR201" totalsRowShown="0">
  <autoFilter xmlns:etc="http://www.wps.cn/officeDocument/2017/etCustomData" ref="A1:AR201" etc:filterBottomFollowUsedRange="0"/>
  <tableColumns count="44">
    <tableColumn id="1" name="交易编号"/>
    <tableColumn id="2" name="股票代码"/>
    <tableColumn id="3" name="买入时账户金额"/>
    <tableColumn id="4" name="本次允许亏损比例"/>
    <tableColumn id="5" name="第一批买入价"/>
    <tableColumn id="6" name="买入建议股数"/>
    <tableColumn id="7" name="开仓风险告警"/>
    <tableColumn id="8" name="第一批买入股数"/>
    <tableColumn id="9" name="首次买入日期"/>
    <tableColumn id="10" name="期望卖出价"/>
    <tableColumn id="11" name="实际卖出价（填写）"/>
    <tableColumn id="12" name="最终卖出股数（自动）"/>
    <tableColumn id="13" name="卖出日期（填写）"/>
    <tableColumn id="14" name="止损价"/>
    <tableColumn id="15" name="买入总费用"/>
    <tableColumn id="16" name="卖出费用（填写）"/>
    <tableColumn id="17" name="买入价的由来"/>
    <tableColumn id="18" name="止损价的由来"/>
    <tableColumn id="19" name="期望卖出价的由来"/>
    <tableColumn id="20" name="实际卖出价的由来"/>
    <tableColumn id="21" name="期望盈利比例"/>
    <tableColumn id="22" name="期望止损比例"/>
    <tableColumn id="23" name="盈亏比"/>
    <tableColumn id="24" name="加权后实际盈亏"/>
    <tableColumn id="25" name="单笔仓位收益率"/>
    <tableColumn id="26" name="账户收益率与平均盈利率差值"/>
    <tableColumn id="27" name="持有天数"/>
    <tableColumn id="28" name="复利容许平均亏损上限"/>
    <tableColumn id="29" name="复利风险判断"/>
    <tableColumn id="30" name="交易打分评价"/>
    <tableColumn id="31" name="实际账户收益率"/>
    <tableColumn id="32" name="列1"/>
    <tableColumn id="33" name="交易预期类型"/>
    <tableColumn id="34" name="预期持有周期"/>
    <tableColumn id="35" name="预期选择理由"/>
    <tableColumn id="36" name="周期匹配检查"/>
    <tableColumn id="37" name="已执行加仓次数"/>
    <tableColumn id="38" name="加仓总股数"/>
    <tableColumn id="39" name="最近加仓价"/>
    <tableColumn id="40" name="最新加仓止损价"/>
    <tableColumn id="41" name="实际加权买入价"/>
    <tableColumn id="42" name="最终持仓股数"/>
    <tableColumn id="43" name="当前净止损风险"/>
    <tableColumn id="44" name="加仓规则检查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AddRecords" displayName="AddRecords" ref="A1:R1001" totalsRowShown="0">
  <autoFilter xmlns:etc="http://www.wps.cn/officeDocument/2017/etCustomData" ref="A1:R1001" etc:filterBottomFollowUsedRange="0"/>
  <tableColumns count="18">
    <tableColumn id="1" name="交易编号"/>
    <tableColumn id="2" name="加仓序号(1-5)"/>
    <tableColumn id="3" name="加仓日期"/>
    <tableColumn id="4" name="加仓价"/>
    <tableColumn id="5" name="新止损价"/>
    <tableColumn id="6" name="本次风险预算金额"/>
    <tableColumn id="7" name="实际加仓股数"/>
    <tableColumn id="8" name="本次买入金额"/>
    <tableColumn id="9" name="加仓前持仓股数"/>
    <tableColumn id="10" name="加仓前持仓成本"/>
    <tableColumn id="11" name="新止损下底仓锁定利润"/>
    <tableColumn id="12" name="风险允许股数"/>
    <tableColumn id="13" name="金字塔上限股数"/>
    <tableColumn id="14" name="建议加仓股数"/>
    <tableColumn id="15" name="加仓后累计股数"/>
    <tableColumn id="16" name="加仓后加权成本"/>
    <tableColumn id="17" name="加仓后止损风险"/>
    <tableColumn id="18" name="规则检查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1"/>
  <sheetViews>
    <sheetView tabSelected="1" zoomScale="115" zoomScaleNormal="115" topLeftCell="A78" workbookViewId="0">
      <pane xSplit="2" topLeftCell="F1" activePane="topRight" state="frozen"/>
      <selection/>
      <selection pane="topRight" activeCell="N102" sqref="N102"/>
    </sheetView>
  </sheetViews>
  <sheetFormatPr defaultColWidth="9" defaultRowHeight="16.8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346153846154" customWidth="1"/>
    <col min="8" max="8" width="16" customWidth="1"/>
    <col min="9" max="9" width="13" customWidth="1"/>
    <col min="10" max="10" width="14.3846153846154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ht="42" customHeight="1" spans="1:4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2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</row>
    <row r="2" ht="17" spans="1:44">
      <c r="A2" s="23">
        <v>1</v>
      </c>
      <c r="B2" s="23" t="s">
        <v>44</v>
      </c>
      <c r="C2" s="7">
        <v>100000</v>
      </c>
      <c r="D2" s="4">
        <v>0.02</v>
      </c>
      <c r="E2" s="7">
        <v>4.15</v>
      </c>
      <c r="F2" s="6">
        <f t="shared" ref="F2:F65" si="0">IF(OR(C2="",D2="",E2="",N2="",C2&lt;=0,D2&lt;=0,E2&lt;=N2),"",ROUNDDOWN((C2*D2)/(E2-N2)/100,0)*100)</f>
        <v>6600</v>
      </c>
      <c r="G2" s="6" t="str">
        <f ca="1"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23">
        <v>6000</v>
      </c>
      <c r="I2" s="24">
        <v>42609</v>
      </c>
      <c r="J2" s="7">
        <v>5</v>
      </c>
      <c r="K2" s="7">
        <v>4</v>
      </c>
      <c r="L2" s="6">
        <f t="shared" ref="L2:L65" si="1">IF(AP2="","",AP2)</f>
        <v>10500</v>
      </c>
      <c r="M2" s="24">
        <v>42671</v>
      </c>
      <c r="N2" s="7">
        <v>3.85</v>
      </c>
      <c r="O2" s="7"/>
      <c r="P2" s="7"/>
      <c r="Q2" s="23"/>
      <c r="R2" s="23"/>
      <c r="S2" s="23"/>
      <c r="T2" s="23"/>
      <c r="U2" s="5">
        <f t="shared" ref="U2:U65" si="2">IF(OR(AO2="",J2="",AO2&lt;=0),"",(J2-AO2)/AO2)</f>
        <v>0.169525506794386</v>
      </c>
      <c r="V2" s="5">
        <f t="shared" ref="V2:V65" si="3">IF(OR(AO2="",N2="",AO2&lt;=0),"",(AO2-N2)/AO2)</f>
        <v>0.0994653597683226</v>
      </c>
      <c r="W2" s="25">
        <f t="shared" ref="W2:W65" si="4">IF(OR(U2="",V2="",V2&lt;=0),"",U2/V2)</f>
        <v>1.7043673012318</v>
      </c>
      <c r="X2" s="3">
        <f t="shared" ref="X2:X65" si="5">IF(OR(K2="",L2="",AO2="",AP2=""),"",(K2-AO2)*L2-IF(O2="",0,O2)-IF(P2="",0,P2))</f>
        <v>-2890</v>
      </c>
      <c r="Y2" s="5">
        <f t="shared" ref="Y2:Y65" si="6">IF(OR(X2="",AO2="",L2=""),"",IF(AO2*L2+IF(O2="",0,O2)&lt;=0,"",X2/(AO2*L2+IF(O2="",0,O2))))</f>
        <v>-0.064379594564491</v>
      </c>
      <c r="Z2" s="5">
        <f>IF(OR(AE2="",多次统计数据!$B$8=""),"",AE2-多次统计数据!$B$8)</f>
        <v>-0.127109966022335</v>
      </c>
      <c r="AA2" s="8">
        <f t="shared" ref="AA2:AA65" si="7">IF(OR(I2="",M2="",M2&lt;I2),"",M2-I2)</f>
        <v>62</v>
      </c>
      <c r="AB2" s="5">
        <f>IF(OR(A2="",多次统计数据!$B$8="",多次统计数据!$B$6&lt;=0,多次统计数据!$B$6&gt;=1),"",1-POWER(1+多次统计数据!$B$8,-多次统计数据!$B$6/(1-多次统计数据!$B$6)))</f>
        <v>0.0965082919530571</v>
      </c>
      <c r="AC2" s="6" t="str">
        <f>IF(OR(AB2="",多次统计数据!$B$9=""),"",IF(多次统计数据!$B$9&lt;AB2,"低于上限","达到或超过上限"))</f>
        <v>低于上限</v>
      </c>
      <c r="AD2" s="23"/>
      <c r="AE2" s="5">
        <f t="shared" ref="AE2:AE65" si="8">IF(OR(X2="",C2="",C2&lt;=0),"",X2/C2)</f>
        <v>-0.0289</v>
      </c>
      <c r="AG2" s="23" t="s">
        <v>45</v>
      </c>
      <c r="AH2" s="23" t="s">
        <v>46</v>
      </c>
      <c r="AI2" s="23" t="s">
        <v>47</v>
      </c>
      <c r="AJ2" s="6" t="str">
        <f t="shared" ref="AJ2:AJ65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26">
        <f>IF(A2="","",COUNTIFS(加仓管理!$A$2:$A$1001,A2,加仓管理!$G$2:$G$1001,"&gt;0"))</f>
        <v>2</v>
      </c>
      <c r="AL2" s="26">
        <f>IF(A2="","",SUMIFS(加仓管理!$G$2:$G$1001,加仓管理!$A$2:$A$1001,A2))</f>
        <v>4500</v>
      </c>
      <c r="AM2" s="27">
        <f>IF(AK2=0,"",IFERROR(LOOKUP(2,1/((加仓管理!$A$2:$A$1001=A2)*(加仓管理!$G$2:$G$1001&gt;0)),加仓管理!$D$2:$D$1001),""))</f>
        <v>4.57</v>
      </c>
      <c r="AN2" s="27">
        <f>IF(AK2=0,"",IFERROR(LOOKUP(2,1/((加仓管理!$A$2:$A$1001=A2)*(加仓管理!$G$2:$G$1001&gt;0)),加仓管理!$E$2:$E$1001),""))</f>
        <v>4</v>
      </c>
      <c r="AO2" s="27">
        <f>IF(OR(A2="",H2="",H2&lt;=0),"",(E2*H2+SUMIFS(加仓管理!$H$2:$H$1001,加仓管理!$A$2:$A$1001,A2))/AP2)</f>
        <v>4.2752380952381</v>
      </c>
      <c r="AP2" s="26">
        <f t="shared" ref="AP2:AP65" si="10">IF(OR(A2="",H2="",H2&lt;=0),"",H2+AL2)</f>
        <v>10500</v>
      </c>
      <c r="AQ2" s="27">
        <f>IF(A2="","",IF(M2&lt;&gt;"",0,IF(OR(H2="",N2=""),"",MAX((E2*H2+SUMIFS(加仓管理!$H$2:$H$1001,加仓管理!$A$2:$A$1001,A2))-MAX(N2,AN2)*AP2,0))))</f>
        <v>0</v>
      </c>
      <c r="AR2" s="27" t="str">
        <f ca="1"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违规：请检查加仓管理表</v>
      </c>
    </row>
    <row r="3" ht="17" spans="1:44">
      <c r="A3" s="23">
        <v>2</v>
      </c>
      <c r="B3" s="23" t="s">
        <v>44</v>
      </c>
      <c r="C3" s="7">
        <v>97110</v>
      </c>
      <c r="D3" s="4">
        <v>0.02</v>
      </c>
      <c r="E3" s="7">
        <v>3.7</v>
      </c>
      <c r="F3" s="6">
        <f t="shared" si="0"/>
        <v>4800</v>
      </c>
      <c r="G3" s="6" t="str">
        <f ca="1"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" s="23">
        <v>4800</v>
      </c>
      <c r="I3" s="24">
        <v>42697</v>
      </c>
      <c r="J3" s="7">
        <v>4.2</v>
      </c>
      <c r="K3" s="7">
        <v>3.26</v>
      </c>
      <c r="L3" s="6">
        <f t="shared" si="1"/>
        <v>4800</v>
      </c>
      <c r="M3" s="24">
        <v>42706</v>
      </c>
      <c r="N3" s="7">
        <v>3.3</v>
      </c>
      <c r="O3" s="7"/>
      <c r="P3" s="7"/>
      <c r="Q3" s="23"/>
      <c r="R3" s="23"/>
      <c r="S3" s="23"/>
      <c r="T3" s="23"/>
      <c r="U3" s="5">
        <f t="shared" si="2"/>
        <v>0.135135135135135</v>
      </c>
      <c r="V3" s="5">
        <f t="shared" si="3"/>
        <v>0.108108108108108</v>
      </c>
      <c r="W3" s="25">
        <f t="shared" si="4"/>
        <v>1.25</v>
      </c>
      <c r="X3" s="3">
        <f t="shared" si="5"/>
        <v>-2112</v>
      </c>
      <c r="Y3" s="5">
        <f t="shared" si="6"/>
        <v>-0.118918918918919</v>
      </c>
      <c r="Z3" s="5">
        <f>IF(OR(AE3="",多次统计数据!$B$8=""),"",AE3-多次统计数据!$B$8)</f>
        <v>-0.119958498614241</v>
      </c>
      <c r="AA3" s="8">
        <f t="shared" si="7"/>
        <v>9</v>
      </c>
      <c r="AB3" s="5">
        <f>IF(OR(A3="",多次统计数据!$B$8="",多次统计数据!$B$6&lt;=0,多次统计数据!$B$6&gt;=1),"",1-POWER(1+多次统计数据!$B$8,-多次统计数据!$B$6/(1-多次统计数据!$B$6)))</f>
        <v>0.0965082919530571</v>
      </c>
      <c r="AC3" s="6" t="str">
        <f>IF(OR(AB3="",多次统计数据!$B$9=""),"",IF(多次统计数据!$B$9&lt;AB3,"低于上限","达到或超过上限"))</f>
        <v>低于上限</v>
      </c>
      <c r="AD3" s="23"/>
      <c r="AE3" s="5">
        <f t="shared" si="8"/>
        <v>-0.0217485325919061</v>
      </c>
      <c r="AG3" s="23" t="s">
        <v>45</v>
      </c>
      <c r="AH3" s="23" t="s">
        <v>46</v>
      </c>
      <c r="AI3" s="23" t="s">
        <v>47</v>
      </c>
      <c r="AJ3" s="6" t="str">
        <f t="shared" si="9"/>
        <v>匹配</v>
      </c>
      <c r="AK3" s="26">
        <f>IF(A3="","",COUNTIFS(加仓管理!$A$2:$A$1001,A3,加仓管理!$G$2:$G$1001,"&gt;0"))</f>
        <v>0</v>
      </c>
      <c r="AL3" s="26">
        <f>IF(A3="","",SUMIFS(加仓管理!$G$2:$G$1001,加仓管理!$A$2:$A$1001,A3))</f>
        <v>0</v>
      </c>
      <c r="AM3" s="27" t="str">
        <f>IF(AK3=0,"",IFERROR(LOOKUP(2,1/((加仓管理!$A$2:$A$1001=A3)*(加仓管理!$G$2:$G$1001&gt;0)),加仓管理!$D$2:$D$1001),""))</f>
        <v/>
      </c>
      <c r="AN3" s="27" t="str">
        <f>IF(AK3=0,"",IFERROR(LOOKUP(2,1/((加仓管理!$A$2:$A$1001=A3)*(加仓管理!$G$2:$G$1001&gt;0)),加仓管理!$E$2:$E$1001),""))</f>
        <v/>
      </c>
      <c r="AO3" s="27">
        <f>IF(OR(A3="",H3="",H3&lt;=0),"",(E3*H3+SUMIFS(加仓管理!$H$2:$H$1001,加仓管理!$A$2:$A$1001,A3))/AP3)</f>
        <v>3.7</v>
      </c>
      <c r="AP3" s="26">
        <f t="shared" si="10"/>
        <v>4800</v>
      </c>
      <c r="AQ3" s="27">
        <f>IF(A3="","",IF(M3&lt;&gt;"",0,IF(OR(H3="",N3=""),"",MAX((E3*H3+SUMIFS(加仓管理!$H$2:$H$1001,加仓管理!$A$2:$A$1001,A3))-MAX(N3,AN3)*AP3,0))))</f>
        <v>0</v>
      </c>
      <c r="AR3" s="27" t="str">
        <f ca="1"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>通过</v>
      </c>
    </row>
    <row r="4" ht="17" spans="1:44">
      <c r="A4" s="23">
        <v>3</v>
      </c>
      <c r="B4" s="23" t="s">
        <v>44</v>
      </c>
      <c r="C4" s="7">
        <v>94998</v>
      </c>
      <c r="D4" s="4">
        <v>0.02</v>
      </c>
      <c r="E4" s="7">
        <v>3.12</v>
      </c>
      <c r="F4" s="6">
        <f t="shared" si="0"/>
        <v>15800</v>
      </c>
      <c r="G4" s="6" t="str">
        <f ca="1"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" s="23">
        <v>10000</v>
      </c>
      <c r="I4" s="24">
        <v>42797</v>
      </c>
      <c r="J4" s="7">
        <v>3.5</v>
      </c>
      <c r="K4" s="7">
        <v>2.83</v>
      </c>
      <c r="L4" s="6">
        <f t="shared" si="1"/>
        <v>10000</v>
      </c>
      <c r="M4" s="24">
        <v>42809</v>
      </c>
      <c r="N4" s="7">
        <v>3</v>
      </c>
      <c r="O4" s="7"/>
      <c r="P4" s="7"/>
      <c r="Q4" s="23"/>
      <c r="R4" s="23"/>
      <c r="S4" s="23"/>
      <c r="T4" s="23"/>
      <c r="U4" s="5">
        <f t="shared" si="2"/>
        <v>0.121794871794872</v>
      </c>
      <c r="V4" s="5">
        <f t="shared" si="3"/>
        <v>0.0384615384615385</v>
      </c>
      <c r="W4" s="25">
        <f t="shared" si="4"/>
        <v>3.16666666666666</v>
      </c>
      <c r="X4" s="3">
        <f t="shared" si="5"/>
        <v>-2900</v>
      </c>
      <c r="Y4" s="5">
        <f t="shared" si="6"/>
        <v>-0.092948717948718</v>
      </c>
      <c r="Z4" s="5">
        <f>IF(OR(AE4="",多次统计数据!$B$8=""),"",AE4-多次统计数据!$B$8)</f>
        <v>-0.128736924484618</v>
      </c>
      <c r="AA4" s="8">
        <f t="shared" si="7"/>
        <v>12</v>
      </c>
      <c r="AB4" s="5">
        <f>IF(OR(A4="",多次统计数据!$B$8="",多次统计数据!$B$6&lt;=0,多次统计数据!$B$6&gt;=1),"",1-POWER(1+多次统计数据!$B$8,-多次统计数据!$B$6/(1-多次统计数据!$B$6)))</f>
        <v>0.0965082919530571</v>
      </c>
      <c r="AC4" s="6" t="str">
        <f>IF(OR(AB4="",多次统计数据!$B$9=""),"",IF(多次统计数据!$B$9&lt;AB4,"低于上限","达到或超过上限"))</f>
        <v>低于上限</v>
      </c>
      <c r="AD4" s="23"/>
      <c r="AE4" s="5">
        <f t="shared" si="8"/>
        <v>-0.0305269584622834</v>
      </c>
      <c r="AG4" s="23" t="s">
        <v>48</v>
      </c>
      <c r="AH4" s="23" t="s">
        <v>49</v>
      </c>
      <c r="AI4" s="23" t="s">
        <v>50</v>
      </c>
      <c r="AJ4" s="6" t="str">
        <f t="shared" si="9"/>
        <v>匹配</v>
      </c>
      <c r="AK4" s="26">
        <f>IF(A4="","",COUNTIFS(加仓管理!$A$2:$A$1001,A4,加仓管理!$G$2:$G$1001,"&gt;0"))</f>
        <v>0</v>
      </c>
      <c r="AL4" s="26">
        <f>IF(A4="","",SUMIFS(加仓管理!$G$2:$G$1001,加仓管理!$A$2:$A$1001,A4))</f>
        <v>0</v>
      </c>
      <c r="AM4" s="27" t="str">
        <f>IF(AK4=0,"",IFERROR(LOOKUP(2,1/((加仓管理!$A$2:$A$1001=A4)*(加仓管理!$G$2:$G$1001&gt;0)),加仓管理!$D$2:$D$1001),""))</f>
        <v/>
      </c>
      <c r="AN4" s="27" t="str">
        <f>IF(AK4=0,"",IFERROR(LOOKUP(2,1/((加仓管理!$A$2:$A$1001=A4)*(加仓管理!$G$2:$G$1001&gt;0)),加仓管理!$E$2:$E$1001),""))</f>
        <v/>
      </c>
      <c r="AO4" s="27">
        <f>IF(OR(A4="",H4="",H4&lt;=0),"",(E4*H4+SUMIFS(加仓管理!$H$2:$H$1001,加仓管理!$A$2:$A$1001,A4))/AP4)</f>
        <v>3.12</v>
      </c>
      <c r="AP4" s="26">
        <f t="shared" si="10"/>
        <v>10000</v>
      </c>
      <c r="AQ4" s="27">
        <f>IF(A4="","",IF(M4&lt;&gt;"",0,IF(OR(H4="",N4=""),"",MAX((E4*H4+SUMIFS(加仓管理!$H$2:$H$1001,加仓管理!$A$2:$A$1001,A4))-MAX(N4,AN4)*AP4,0))))</f>
        <v>0</v>
      </c>
      <c r="AR4" s="27" t="str">
        <f ca="1"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>通过</v>
      </c>
    </row>
    <row r="5" ht="17" spans="1:44">
      <c r="A5" s="23">
        <v>4</v>
      </c>
      <c r="B5" s="23" t="s">
        <v>44</v>
      </c>
      <c r="C5" s="7">
        <v>92098</v>
      </c>
      <c r="D5" s="4">
        <v>0.02</v>
      </c>
      <c r="E5" s="7">
        <v>3.15</v>
      </c>
      <c r="F5" s="6">
        <f t="shared" si="0"/>
        <v>12200</v>
      </c>
      <c r="G5" s="6" t="str">
        <f ca="1"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" s="23">
        <v>10000</v>
      </c>
      <c r="I5" s="24">
        <v>42817</v>
      </c>
      <c r="J5" s="7">
        <v>3.5</v>
      </c>
      <c r="K5" s="7">
        <v>3.76</v>
      </c>
      <c r="L5" s="6">
        <f t="shared" si="1"/>
        <v>33000</v>
      </c>
      <c r="M5" s="24">
        <v>42970</v>
      </c>
      <c r="N5" s="7">
        <v>3</v>
      </c>
      <c r="O5" s="7"/>
      <c r="P5" s="7"/>
      <c r="Q5" s="23"/>
      <c r="R5" s="23"/>
      <c r="S5" s="23"/>
      <c r="T5" s="23"/>
      <c r="U5" s="5">
        <f t="shared" si="2"/>
        <v>0.299504950495049</v>
      </c>
      <c r="V5" s="5">
        <f t="shared" si="3"/>
        <v>-0.113861386138614</v>
      </c>
      <c r="W5" s="25" t="str">
        <f t="shared" si="4"/>
        <v/>
      </c>
      <c r="X5" s="3">
        <f t="shared" si="5"/>
        <v>35200</v>
      </c>
      <c r="Y5" s="5">
        <f t="shared" si="6"/>
        <v>0.396039603960396</v>
      </c>
      <c r="Z5" s="5">
        <f>IF(OR(AE5="",多次统计数据!$B$8=""),"",AE5-多次统计数据!$B$8)</f>
        <v>0.283991601872734</v>
      </c>
      <c r="AA5" s="8">
        <f t="shared" si="7"/>
        <v>153</v>
      </c>
      <c r="AB5" s="5">
        <f>IF(OR(A5="",多次统计数据!$B$8="",多次统计数据!$B$6&lt;=0,多次统计数据!$B$6&gt;=1),"",1-POWER(1+多次统计数据!$B$8,-多次统计数据!$B$6/(1-多次统计数据!$B$6)))</f>
        <v>0.0965082919530571</v>
      </c>
      <c r="AC5" s="6" t="str">
        <f>IF(OR(AB5="",多次统计数据!$B$9=""),"",IF(多次统计数据!$B$9&lt;AB5,"低于上限","达到或超过上限"))</f>
        <v>低于上限</v>
      </c>
      <c r="AD5" s="23"/>
      <c r="AE5" s="5">
        <f t="shared" si="8"/>
        <v>0.382201567895068</v>
      </c>
      <c r="AG5" s="23" t="s">
        <v>45</v>
      </c>
      <c r="AH5" s="23" t="s">
        <v>46</v>
      </c>
      <c r="AI5" s="23" t="s">
        <v>51</v>
      </c>
      <c r="AJ5" s="6" t="str">
        <f t="shared" si="9"/>
        <v>匹配</v>
      </c>
      <c r="AK5" s="26">
        <f>IF(A5="","",COUNTIFS(加仓管理!$A$2:$A$1001,A5,加仓管理!$G$2:$G$1001,"&gt;0"))</f>
        <v>4</v>
      </c>
      <c r="AL5" s="26">
        <f>IF(A5="","",SUMIFS(加仓管理!$G$2:$G$1001,加仓管理!$A$2:$A$1001,A5))</f>
        <v>23000</v>
      </c>
      <c r="AM5" s="27">
        <f>IF(AK5=0,"",IFERROR(LOOKUP(2,1/((加仓管理!$A$2:$A$1001=A5)*(加仓管理!$G$2:$G$1001&gt;0)),加仓管理!$D$2:$D$1001),""))</f>
        <v>2.16</v>
      </c>
      <c r="AN5" s="27">
        <f>IF(AK5=0,"",IFERROR(LOOKUP(2,1/((加仓管理!$A$2:$A$1001=A5)*(加仓管理!$G$2:$G$1001&gt;0)),加仓管理!$E$2:$E$1001),""))</f>
        <v>2</v>
      </c>
      <c r="AO5" s="27">
        <f>IF(OR(A5="",H5="",H5&lt;=0),"",(E5*H5+SUMIFS(加仓管理!$H$2:$H$1001,加仓管理!$A$2:$A$1001,A5))/AP5)</f>
        <v>2.69333333333333</v>
      </c>
      <c r="AP5" s="26">
        <f t="shared" si="10"/>
        <v>33000</v>
      </c>
      <c r="AQ5" s="27">
        <f>IF(A5="","",IF(M5&lt;&gt;"",0,IF(OR(H5="",N5=""),"",MAX((E5*H5+SUMIFS(加仓管理!$H$2:$H$1001,加仓管理!$A$2:$A$1001,A5))-MAX(N5,AN5)*AP5,0))))</f>
        <v>0</v>
      </c>
      <c r="AR5" s="27" t="str">
        <f ca="1"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>违规：请检查加仓管理表</v>
      </c>
    </row>
    <row r="6" ht="17" spans="1:44">
      <c r="A6" s="23">
        <v>5</v>
      </c>
      <c r="B6" s="23" t="s">
        <v>44</v>
      </c>
      <c r="C6" s="7">
        <v>127298</v>
      </c>
      <c r="D6" s="4">
        <v>0.02</v>
      </c>
      <c r="E6" s="7">
        <v>4.39</v>
      </c>
      <c r="F6" s="6">
        <f t="shared" si="0"/>
        <v>6500</v>
      </c>
      <c r="G6" s="6" t="str">
        <f ca="1"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" s="23">
        <v>6500</v>
      </c>
      <c r="I6" s="24">
        <v>42979</v>
      </c>
      <c r="J6" s="7">
        <v>5</v>
      </c>
      <c r="K6" s="7">
        <v>5.38</v>
      </c>
      <c r="L6" s="6">
        <f t="shared" si="1"/>
        <v>9000</v>
      </c>
      <c r="M6" s="24">
        <v>43003</v>
      </c>
      <c r="N6" s="7">
        <v>4</v>
      </c>
      <c r="O6" s="7"/>
      <c r="P6" s="7"/>
      <c r="Q6" s="23"/>
      <c r="R6" s="23"/>
      <c r="S6" s="23"/>
      <c r="T6" s="23"/>
      <c r="U6" s="5">
        <f t="shared" si="2"/>
        <v>0.128243700639338</v>
      </c>
      <c r="V6" s="5">
        <f t="shared" si="3"/>
        <v>0.0974050394885295</v>
      </c>
      <c r="W6" s="25">
        <f t="shared" si="4"/>
        <v>1.31660231660232</v>
      </c>
      <c r="X6" s="3">
        <f t="shared" si="5"/>
        <v>8535</v>
      </c>
      <c r="Y6" s="5">
        <f t="shared" si="6"/>
        <v>0.213990221887928</v>
      </c>
      <c r="Z6" s="5">
        <f>IF(OR(AE6="",多次统计数据!$B$8=""),"",AE6-多次统计数据!$B$8)</f>
        <v>-0.031162565434737</v>
      </c>
      <c r="AA6" s="8">
        <f t="shared" si="7"/>
        <v>24</v>
      </c>
      <c r="AB6" s="5">
        <f>IF(OR(A6="",多次统计数据!$B$8="",多次统计数据!$B$6&lt;=0,多次统计数据!$B$6&gt;=1),"",1-POWER(1+多次统计数据!$B$8,-多次统计数据!$B$6/(1-多次统计数据!$B$6)))</f>
        <v>0.0965082919530571</v>
      </c>
      <c r="AC6" s="6" t="str">
        <f>IF(OR(AB6="",多次统计数据!$B$9=""),"",IF(多次统计数据!$B$9&lt;AB6,"低于上限","达到或超过上限"))</f>
        <v>低于上限</v>
      </c>
      <c r="AD6" s="23"/>
      <c r="AE6" s="5">
        <f t="shared" si="8"/>
        <v>0.0670474005875976</v>
      </c>
      <c r="AG6" s="23" t="s">
        <v>52</v>
      </c>
      <c r="AH6" s="23" t="s">
        <v>49</v>
      </c>
      <c r="AI6" s="23" t="s">
        <v>53</v>
      </c>
      <c r="AJ6" s="6" t="str">
        <f t="shared" si="9"/>
        <v>匹配</v>
      </c>
      <c r="AK6" s="26">
        <f>IF(A6="","",COUNTIFS(加仓管理!$A$2:$A$1001,A6,加仓管理!$G$2:$G$1001,"&gt;0"))</f>
        <v>1</v>
      </c>
      <c r="AL6" s="26">
        <f>IF(A6="","",SUMIFS(加仓管理!$G$2:$G$1001,加仓管理!$A$2:$A$1001,A6))</f>
        <v>2500</v>
      </c>
      <c r="AM6" s="27">
        <f>IF(AK6=0,"",IFERROR(LOOKUP(2,1/((加仓管理!$A$2:$A$1001=A6)*(加仓管理!$G$2:$G$1001&gt;0)),加仓管理!$D$2:$D$1001),""))</f>
        <v>4.54</v>
      </c>
      <c r="AN6" s="27">
        <f>IF(AK6=0,"",IFERROR(LOOKUP(2,1/((加仓管理!$A$2:$A$1001=A6)*(加仓管理!$G$2:$G$1001&gt;0)),加仓管理!$E$2:$E$1001),""))</f>
        <v>4</v>
      </c>
      <c r="AO6" s="27">
        <f>IF(OR(A6="",H6="",H6&lt;=0),"",(E6*H6+SUMIFS(加仓管理!$H$2:$H$1001,加仓管理!$A$2:$A$1001,A6))/AP6)</f>
        <v>4.43166666666667</v>
      </c>
      <c r="AP6" s="26">
        <f t="shared" si="10"/>
        <v>9000</v>
      </c>
      <c r="AQ6" s="27">
        <f>IF(A6="","",IF(M6&lt;&gt;"",0,IF(OR(H6="",N6=""),"",MAX((E6*H6+SUMIFS(加仓管理!$H$2:$H$1001,加仓管理!$A$2:$A$1001,A6))-MAX(N6,AN6)*AP6,0))))</f>
        <v>0</v>
      </c>
      <c r="AR6" s="27" t="str">
        <f ca="1"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>违规：请检查加仓管理表</v>
      </c>
    </row>
    <row r="7" ht="17" spans="1:44">
      <c r="A7" s="23">
        <v>6</v>
      </c>
      <c r="B7" s="23" t="s">
        <v>44</v>
      </c>
      <c r="C7" s="7">
        <v>135833</v>
      </c>
      <c r="D7" s="4">
        <v>0.02</v>
      </c>
      <c r="E7" s="7">
        <v>5.65</v>
      </c>
      <c r="F7" s="6">
        <f t="shared" si="0"/>
        <v>5600</v>
      </c>
      <c r="G7" s="6" t="str">
        <f ca="1"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" s="23">
        <v>5600</v>
      </c>
      <c r="I7" s="24">
        <v>43038</v>
      </c>
      <c r="J7" s="7">
        <v>6</v>
      </c>
      <c r="K7" s="7">
        <v>6.48</v>
      </c>
      <c r="L7" s="6">
        <f t="shared" si="1"/>
        <v>7600</v>
      </c>
      <c r="M7" s="24">
        <v>43052</v>
      </c>
      <c r="N7" s="7">
        <v>5.17</v>
      </c>
      <c r="O7" s="7"/>
      <c r="P7" s="7"/>
      <c r="Q7" s="23"/>
      <c r="R7" s="23"/>
      <c r="S7" s="23"/>
      <c r="T7" s="23"/>
      <c r="U7" s="5">
        <f t="shared" si="2"/>
        <v>0.0487580496780128</v>
      </c>
      <c r="V7" s="5">
        <f t="shared" si="3"/>
        <v>0.0963201471941123</v>
      </c>
      <c r="W7" s="25">
        <f t="shared" si="4"/>
        <v>0.506208213944603</v>
      </c>
      <c r="X7" s="3">
        <f t="shared" si="5"/>
        <v>5768</v>
      </c>
      <c r="Y7" s="5">
        <f t="shared" si="6"/>
        <v>0.132658693652254</v>
      </c>
      <c r="Z7" s="5">
        <f>IF(OR(AE7="",多次统计数据!$B$8=""),"",AE7-多次统计数据!$B$8)</f>
        <v>-0.0557460581354441</v>
      </c>
      <c r="AA7" s="8">
        <f t="shared" si="7"/>
        <v>14</v>
      </c>
      <c r="AB7" s="5">
        <f>IF(OR(A7="",多次统计数据!$B$8="",多次统计数据!$B$6&lt;=0,多次统计数据!$B$6&gt;=1),"",1-POWER(1+多次统计数据!$B$8,-多次统计数据!$B$6/(1-多次统计数据!$B$6)))</f>
        <v>0.0965082919530571</v>
      </c>
      <c r="AC7" s="6" t="str">
        <f>IF(OR(AB7="",多次统计数据!$B$9=""),"",IF(多次统计数据!$B$9&lt;AB7,"低于上限","达到或超过上限"))</f>
        <v>低于上限</v>
      </c>
      <c r="AD7" s="23"/>
      <c r="AE7" s="5">
        <f t="shared" si="8"/>
        <v>0.0424639078868905</v>
      </c>
      <c r="AG7" s="23" t="s">
        <v>52</v>
      </c>
      <c r="AH7" s="23" t="s">
        <v>49</v>
      </c>
      <c r="AI7" s="23" t="s">
        <v>53</v>
      </c>
      <c r="AJ7" s="6" t="str">
        <f t="shared" si="9"/>
        <v>匹配</v>
      </c>
      <c r="AK7" s="26">
        <f>IF(A7="","",COUNTIFS(加仓管理!$A$2:$A$1001,A7,加仓管理!$G$2:$G$1001,"&gt;0"))</f>
        <v>1</v>
      </c>
      <c r="AL7" s="26">
        <f>IF(A7="","",SUMIFS(加仓管理!$G$2:$G$1001,加仓管理!$A$2:$A$1001,A7))</f>
        <v>2000</v>
      </c>
      <c r="AM7" s="27">
        <f>IF(AK7=0,"",IFERROR(LOOKUP(2,1/((加仓管理!$A$2:$A$1001=A7)*(加仓管理!$G$2:$G$1001&gt;0)),加仓管理!$D$2:$D$1001),""))</f>
        <v>5.92</v>
      </c>
      <c r="AN7" s="27">
        <f>IF(AK7=0,"",IFERROR(LOOKUP(2,1/((加仓管理!$A$2:$A$1001=A7)*(加仓管理!$G$2:$G$1001&gt;0)),加仓管理!$E$2:$E$1001),""))</f>
        <v>5.5</v>
      </c>
      <c r="AO7" s="27">
        <f>IF(OR(A7="",H7="",H7&lt;=0),"",(E7*H7+SUMIFS(加仓管理!$H$2:$H$1001,加仓管理!$A$2:$A$1001,A7))/AP7)</f>
        <v>5.72105263157895</v>
      </c>
      <c r="AP7" s="26">
        <f t="shared" si="10"/>
        <v>7600</v>
      </c>
      <c r="AQ7" s="27">
        <f>IF(A7="","",IF(M7&lt;&gt;"",0,IF(OR(H7="",N7=""),"",MAX((E7*H7+SUMIFS(加仓管理!$H$2:$H$1001,加仓管理!$A$2:$A$1001,A7))-MAX(N7,AN7)*AP7,0))))</f>
        <v>0</v>
      </c>
      <c r="AR7" s="27" t="str">
        <f ca="1"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>违规：请检查加仓管理表</v>
      </c>
    </row>
    <row r="8" ht="17" spans="1:44">
      <c r="A8" s="23">
        <v>7</v>
      </c>
      <c r="B8" s="23" t="s">
        <v>44</v>
      </c>
      <c r="C8" s="7">
        <v>141601</v>
      </c>
      <c r="D8" s="4">
        <v>0.02</v>
      </c>
      <c r="E8" s="7">
        <v>10.93</v>
      </c>
      <c r="F8" s="6">
        <f t="shared" si="0"/>
        <v>3000</v>
      </c>
      <c r="G8" s="6" t="str">
        <f ca="1"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" s="23">
        <v>3000</v>
      </c>
      <c r="I8" s="24">
        <v>43244</v>
      </c>
      <c r="J8" s="7">
        <v>13</v>
      </c>
      <c r="K8" s="7">
        <v>9.92</v>
      </c>
      <c r="L8" s="6">
        <f t="shared" si="1"/>
        <v>3000</v>
      </c>
      <c r="M8" s="24">
        <v>43249</v>
      </c>
      <c r="N8" s="7">
        <v>10</v>
      </c>
      <c r="O8" s="7"/>
      <c r="P8" s="7"/>
      <c r="Q8" s="23"/>
      <c r="R8" s="23"/>
      <c r="S8" s="23"/>
      <c r="T8" s="23"/>
      <c r="U8" s="5">
        <f t="shared" si="2"/>
        <v>0.189387008234218</v>
      </c>
      <c r="V8" s="5">
        <f t="shared" si="3"/>
        <v>0.0850869167429094</v>
      </c>
      <c r="W8" s="25">
        <f t="shared" si="4"/>
        <v>2.2258064516129</v>
      </c>
      <c r="X8" s="3">
        <f t="shared" si="5"/>
        <v>-3030</v>
      </c>
      <c r="Y8" s="5">
        <f t="shared" si="6"/>
        <v>-0.0924062214089661</v>
      </c>
      <c r="Z8" s="5">
        <f>IF(OR(AE8="",多次统计数据!$B$8=""),"",AE8-多次统计数据!$B$8)</f>
        <v>-0.119608119990174</v>
      </c>
      <c r="AA8" s="8">
        <f t="shared" si="7"/>
        <v>5</v>
      </c>
      <c r="AB8" s="5">
        <f>IF(OR(A8="",多次统计数据!$B$8="",多次统计数据!$B$6&lt;=0,多次统计数据!$B$6&gt;=1),"",1-POWER(1+多次统计数据!$B$8,-多次统计数据!$B$6/(1-多次统计数据!$B$6)))</f>
        <v>0.0965082919530571</v>
      </c>
      <c r="AC8" s="6" t="str">
        <f>IF(OR(AB8="",多次统计数据!$B$9=""),"",IF(多次统计数据!$B$9&lt;AB8,"低于上限","达到或超过上限"))</f>
        <v>低于上限</v>
      </c>
      <c r="AD8" s="23"/>
      <c r="AE8" s="5">
        <f t="shared" si="8"/>
        <v>-0.0213981539678392</v>
      </c>
      <c r="AG8" s="23" t="s">
        <v>45</v>
      </c>
      <c r="AH8" s="23" t="s">
        <v>46</v>
      </c>
      <c r="AI8" s="23" t="s">
        <v>51</v>
      </c>
      <c r="AJ8" s="6" t="str">
        <f t="shared" si="9"/>
        <v>匹配</v>
      </c>
      <c r="AK8" s="26">
        <f>IF(A8="","",COUNTIFS(加仓管理!$A$2:$A$1001,A8,加仓管理!$G$2:$G$1001,"&gt;0"))</f>
        <v>0</v>
      </c>
      <c r="AL8" s="26">
        <f>IF(A8="","",SUMIFS(加仓管理!$G$2:$G$1001,加仓管理!$A$2:$A$1001,A8))</f>
        <v>0</v>
      </c>
      <c r="AM8" s="27" t="str">
        <f>IF(AK8=0,"",IFERROR(LOOKUP(2,1/((加仓管理!$A$2:$A$1001=A8)*(加仓管理!$G$2:$G$1001&gt;0)),加仓管理!$D$2:$D$1001),""))</f>
        <v/>
      </c>
      <c r="AN8" s="27" t="str">
        <f>IF(AK8=0,"",IFERROR(LOOKUP(2,1/((加仓管理!$A$2:$A$1001=A8)*(加仓管理!$G$2:$G$1001&gt;0)),加仓管理!$E$2:$E$1001),""))</f>
        <v/>
      </c>
      <c r="AO8" s="27">
        <f>IF(OR(A8="",H8="",H8&lt;=0),"",(E8*H8+SUMIFS(加仓管理!$H$2:$H$1001,加仓管理!$A$2:$A$1001,A8))/AP8)</f>
        <v>10.93</v>
      </c>
      <c r="AP8" s="26">
        <f t="shared" si="10"/>
        <v>3000</v>
      </c>
      <c r="AQ8" s="27">
        <f>IF(A8="","",IF(M8&lt;&gt;"",0,IF(OR(H8="",N8=""),"",MAX((E8*H8+SUMIFS(加仓管理!$H$2:$H$1001,加仓管理!$A$2:$A$1001,A8))-MAX(N8,AN8)*AP8,0))))</f>
        <v>0</v>
      </c>
      <c r="AR8" s="27" t="str">
        <f ca="1"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>通过</v>
      </c>
    </row>
    <row r="9" ht="17" spans="1:44">
      <c r="A9" s="23">
        <v>8</v>
      </c>
      <c r="B9" s="23" t="s">
        <v>44</v>
      </c>
      <c r="C9" s="7">
        <v>138571</v>
      </c>
      <c r="D9" s="4">
        <v>0.02</v>
      </c>
      <c r="E9" s="7">
        <v>7.54</v>
      </c>
      <c r="F9" s="6">
        <f t="shared" si="0"/>
        <v>5100</v>
      </c>
      <c r="G9" s="6" t="str">
        <f ca="1"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" s="23">
        <v>4000</v>
      </c>
      <c r="I9" s="24">
        <v>43523</v>
      </c>
      <c r="J9" s="7">
        <v>9</v>
      </c>
      <c r="K9" s="7">
        <v>8.47</v>
      </c>
      <c r="L9" s="6">
        <f t="shared" si="1"/>
        <v>11500</v>
      </c>
      <c r="M9" s="24">
        <v>43545</v>
      </c>
      <c r="N9" s="7">
        <v>7</v>
      </c>
      <c r="O9" s="7"/>
      <c r="P9" s="7"/>
      <c r="Q9" s="23"/>
      <c r="R9" s="23"/>
      <c r="S9" s="23"/>
      <c r="T9" s="23"/>
      <c r="U9" s="5">
        <f t="shared" si="2"/>
        <v>0.100654011804115</v>
      </c>
      <c r="V9" s="5">
        <f t="shared" si="3"/>
        <v>0.143935768596799</v>
      </c>
      <c r="W9" s="25">
        <f t="shared" si="4"/>
        <v>0.699298115995567</v>
      </c>
      <c r="X9" s="3">
        <f t="shared" si="5"/>
        <v>3370</v>
      </c>
      <c r="Y9" s="5">
        <f t="shared" si="6"/>
        <v>0.0358377199978732</v>
      </c>
      <c r="Z9" s="5">
        <f>IF(OR(AE9="",多次统计数据!$B$8=""),"",AE9-多次统计数据!$B$8)</f>
        <v>-0.0738903031780165</v>
      </c>
      <c r="AA9" s="8">
        <f t="shared" si="7"/>
        <v>22</v>
      </c>
      <c r="AB9" s="5">
        <f>IF(OR(A9="",多次统计数据!$B$8="",多次统计数据!$B$6&lt;=0,多次统计数据!$B$6&gt;=1),"",1-POWER(1+多次统计数据!$B$8,-多次统计数据!$B$6/(1-多次统计数据!$B$6)))</f>
        <v>0.0965082919530571</v>
      </c>
      <c r="AC9" s="6" t="str">
        <f>IF(OR(AB9="",多次统计数据!$B$9=""),"",IF(多次统计数据!$B$9&lt;AB9,"低于上限","达到或超过上限"))</f>
        <v>低于上限</v>
      </c>
      <c r="AD9" s="23"/>
      <c r="AE9" s="5">
        <f t="shared" si="8"/>
        <v>0.0243196628443181</v>
      </c>
      <c r="AG9" s="23" t="s">
        <v>48</v>
      </c>
      <c r="AH9" s="23" t="s">
        <v>49</v>
      </c>
      <c r="AI9" s="23" t="s">
        <v>51</v>
      </c>
      <c r="AJ9" s="6" t="str">
        <f t="shared" si="9"/>
        <v>匹配</v>
      </c>
      <c r="AK9" s="26">
        <f>IF(A9="","",COUNTIFS(加仓管理!$A$2:$A$1001,A9,加仓管理!$G$2:$G$1001,"&gt;0"))</f>
        <v>4</v>
      </c>
      <c r="AL9" s="26">
        <f>IF(A9="","",SUMIFS(加仓管理!$G$2:$G$1001,加仓管理!$A$2:$A$1001,A9))</f>
        <v>7500</v>
      </c>
      <c r="AM9" s="27">
        <f>IF(AK9=0,"",IFERROR(LOOKUP(2,1/((加仓管理!$A$2:$A$1001=A9)*(加仓管理!$G$2:$G$1001&gt;0)),加仓管理!$D$2:$D$1001),""))</f>
        <v>9.32</v>
      </c>
      <c r="AN9" s="27">
        <f>IF(AK9=0,"",IFERROR(LOOKUP(2,1/((加仓管理!$A$2:$A$1001=A9)*(加仓管理!$G$2:$G$1001&gt;0)),加仓管理!$E$2:$E$1001),""))</f>
        <v>8.5</v>
      </c>
      <c r="AO9" s="27">
        <f>IF(OR(A9="",H9="",H9&lt;=0),"",(E9*H9+SUMIFS(加仓管理!$H$2:$H$1001,加仓管理!$A$2:$A$1001,A9))/AP9)</f>
        <v>8.17695652173913</v>
      </c>
      <c r="AP9" s="26">
        <f t="shared" si="10"/>
        <v>11500</v>
      </c>
      <c r="AQ9" s="27">
        <f>IF(A9="","",IF(M9&lt;&gt;"",0,IF(OR(H9="",N9=""),"",MAX((E9*H9+SUMIFS(加仓管理!$H$2:$H$1001,加仓管理!$A$2:$A$1001,A9))-MAX(N9,AN9)*AP9,0))))</f>
        <v>0</v>
      </c>
      <c r="AR9" s="27" t="str">
        <f ca="1"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>违规：请检查加仓管理表</v>
      </c>
    </row>
    <row r="10" ht="27" customHeight="1" spans="1:44">
      <c r="A10" s="23">
        <v>9</v>
      </c>
      <c r="B10" s="23" t="s">
        <v>44</v>
      </c>
      <c r="C10" s="7">
        <v>141941</v>
      </c>
      <c r="D10" s="4">
        <v>0.02</v>
      </c>
      <c r="E10" s="7">
        <v>8.02</v>
      </c>
      <c r="F10" s="6">
        <f t="shared" si="0"/>
        <v>3900</v>
      </c>
      <c r="G10" s="6" t="str">
        <f ca="1"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" s="23">
        <v>3000</v>
      </c>
      <c r="I10" s="24">
        <v>43550</v>
      </c>
      <c r="J10" s="7">
        <v>9</v>
      </c>
      <c r="K10" s="7">
        <v>10.18</v>
      </c>
      <c r="L10" s="6">
        <f t="shared" si="1"/>
        <v>11000</v>
      </c>
      <c r="M10" s="24">
        <v>43572</v>
      </c>
      <c r="N10" s="7">
        <v>7.3</v>
      </c>
      <c r="O10" s="7"/>
      <c r="P10" s="7"/>
      <c r="Q10" s="23"/>
      <c r="R10" s="23"/>
      <c r="S10" s="23"/>
      <c r="T10" s="23"/>
      <c r="U10" s="5">
        <f t="shared" si="2"/>
        <v>0.0110294117647058</v>
      </c>
      <c r="V10" s="5">
        <f t="shared" si="3"/>
        <v>0.179942810457516</v>
      </c>
      <c r="W10" s="25">
        <f t="shared" si="4"/>
        <v>0.0612939841089668</v>
      </c>
      <c r="X10" s="3">
        <f t="shared" si="5"/>
        <v>14060</v>
      </c>
      <c r="Y10" s="5">
        <f t="shared" si="6"/>
        <v>0.143586601307189</v>
      </c>
      <c r="Z10" s="5">
        <f>IF(OR(AE10="",多次统计数据!$B$8=""),"",AE10-多次统计数据!$B$8)</f>
        <v>0.000845275239879928</v>
      </c>
      <c r="AA10" s="8">
        <f t="shared" si="7"/>
        <v>22</v>
      </c>
      <c r="AB10" s="5">
        <f>IF(OR(A10="",多次统计数据!$B$8="",多次统计数据!$B$6&lt;=0,多次统计数据!$B$6&gt;=1),"",1-POWER(1+多次统计数据!$B$8,-多次统计数据!$B$6/(1-多次统计数据!$B$6)))</f>
        <v>0.0965082919530571</v>
      </c>
      <c r="AC10" s="6" t="str">
        <f>IF(OR(AB10="",多次统计数据!$B$9=""),"",IF(多次统计数据!$B$9&lt;AB10,"低于上限","达到或超过上限"))</f>
        <v>低于上限</v>
      </c>
      <c r="AD10" s="23"/>
      <c r="AE10" s="5">
        <f t="shared" si="8"/>
        <v>0.0990552412622145</v>
      </c>
      <c r="AG10" s="23" t="s">
        <v>45</v>
      </c>
      <c r="AH10" s="23" t="s">
        <v>46</v>
      </c>
      <c r="AI10" s="23" t="s">
        <v>51</v>
      </c>
      <c r="AJ10" s="6" t="str">
        <f t="shared" si="9"/>
        <v>匹配</v>
      </c>
      <c r="AK10" s="26">
        <f>IF(A10="","",COUNTIFS(加仓管理!$A$2:$A$1001,A10,加仓管理!$G$2:$G$1001,"&gt;0"))</f>
        <v>4</v>
      </c>
      <c r="AL10" s="26">
        <f>IF(A10="","",SUMIFS(加仓管理!$G$2:$G$1001,加仓管理!$A$2:$A$1001,A10))</f>
        <v>8000</v>
      </c>
      <c r="AM10" s="27">
        <f>IF(AK10=0,"",IFERROR(LOOKUP(2,1/((加仓管理!$A$2:$A$1001=A10)*(加仓管理!$G$2:$G$1001&gt;0)),加仓管理!$D$2:$D$1001),""))</f>
        <v>9.69</v>
      </c>
      <c r="AN10" s="27">
        <f>IF(AK10=0,"",IFERROR(LOOKUP(2,1/((加仓管理!$A$2:$A$1001=A10)*(加仓管理!$G$2:$G$1001&gt;0)),加仓管理!$E$2:$E$1001),""))</f>
        <v>9</v>
      </c>
      <c r="AO10" s="27">
        <f>IF(OR(A10="",H10="",H10&lt;=0),"",(E10*H10+SUMIFS(加仓管理!$H$2:$H$1001,加仓管理!$A$2:$A$1001,A10))/AP10)</f>
        <v>8.90181818181818</v>
      </c>
      <c r="AP10" s="26">
        <f t="shared" si="10"/>
        <v>11000</v>
      </c>
      <c r="AQ10" s="27">
        <f>IF(A10="","",IF(M10&lt;&gt;"",0,IF(OR(H10="",N10=""),"",MAX((E10*H10+SUMIFS(加仓管理!$H$2:$H$1001,加仓管理!$A$2:$A$1001,A10))-MAX(N10,AN10)*AP10,0))))</f>
        <v>0</v>
      </c>
      <c r="AR10" s="27" t="str">
        <f ca="1"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>违规：请检查加仓管理表</v>
      </c>
    </row>
    <row r="11" ht="17" spans="1:44">
      <c r="A11" s="23">
        <v>10</v>
      </c>
      <c r="B11" s="23" t="s">
        <v>44</v>
      </c>
      <c r="C11" s="7">
        <v>156001</v>
      </c>
      <c r="D11" s="4">
        <v>0.02</v>
      </c>
      <c r="E11" s="7">
        <v>9.07</v>
      </c>
      <c r="F11" s="6">
        <f t="shared" si="0"/>
        <v>5400</v>
      </c>
      <c r="G11" s="6" t="str">
        <f ca="1"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1" s="23">
        <v>2000</v>
      </c>
      <c r="I11" s="24">
        <v>43598</v>
      </c>
      <c r="J11" s="7">
        <v>10</v>
      </c>
      <c r="K11" s="7">
        <v>8.48</v>
      </c>
      <c r="L11" s="6">
        <f t="shared" si="1"/>
        <v>4000</v>
      </c>
      <c r="M11" s="24">
        <v>43602</v>
      </c>
      <c r="N11" s="7">
        <v>8.5</v>
      </c>
      <c r="O11" s="7"/>
      <c r="P11" s="7"/>
      <c r="Q11" s="23"/>
      <c r="R11" s="23"/>
      <c r="S11" s="23"/>
      <c r="T11" s="23"/>
      <c r="U11" s="5">
        <f t="shared" si="2"/>
        <v>0.0834236186348862</v>
      </c>
      <c r="V11" s="5">
        <f t="shared" si="3"/>
        <v>0.0790899241603467</v>
      </c>
      <c r="W11" s="25">
        <f t="shared" si="4"/>
        <v>1.05479452054794</v>
      </c>
      <c r="X11" s="3">
        <f t="shared" si="5"/>
        <v>-3000</v>
      </c>
      <c r="Y11" s="5">
        <f t="shared" si="6"/>
        <v>-0.0812567713976165</v>
      </c>
      <c r="Z11" s="5">
        <f>IF(OR(AE11="",多次统计数据!$B$8=""),"",AE11-多次统计数据!$B$8)</f>
        <v>-0.117440611979732</v>
      </c>
      <c r="AA11" s="8">
        <f t="shared" si="7"/>
        <v>4</v>
      </c>
      <c r="AB11" s="5">
        <f>IF(OR(A11="",多次统计数据!$B$8="",多次统计数据!$B$6&lt;=0,多次统计数据!$B$6&gt;=1),"",1-POWER(1+多次统计数据!$B$8,-多次统计数据!$B$6/(1-多次统计数据!$B$6)))</f>
        <v>0.0965082919530571</v>
      </c>
      <c r="AC11" s="6" t="str">
        <f>IF(OR(AB11="",多次统计数据!$B$9=""),"",IF(多次统计数据!$B$9&lt;AB11,"低于上限","达到或超过上限"))</f>
        <v>低于上限</v>
      </c>
      <c r="AD11" s="23"/>
      <c r="AE11" s="5">
        <f t="shared" si="8"/>
        <v>-0.0192306459573977</v>
      </c>
      <c r="AG11" s="23" t="s">
        <v>48</v>
      </c>
      <c r="AH11" s="23" t="s">
        <v>49</v>
      </c>
      <c r="AI11" s="23" t="s">
        <v>51</v>
      </c>
      <c r="AJ11" s="6" t="str">
        <f t="shared" si="9"/>
        <v>匹配</v>
      </c>
      <c r="AK11" s="26">
        <f>IF(A11="","",COUNTIFS(加仓管理!$A$2:$A$1001,A11,加仓管理!$G$2:$G$1001,"&gt;0"))</f>
        <v>1</v>
      </c>
      <c r="AL11" s="26">
        <f>IF(A11="","",SUMIFS(加仓管理!$G$2:$G$1001,加仓管理!$A$2:$A$1001,A11))</f>
        <v>2000</v>
      </c>
      <c r="AM11" s="27">
        <f>IF(AK11=0,"",IFERROR(LOOKUP(2,1/((加仓管理!$A$2:$A$1001=A11)*(加仓管理!$G$2:$G$1001&gt;0)),加仓管理!$D$2:$D$1001),""))</f>
        <v>9.39</v>
      </c>
      <c r="AN11" s="27">
        <f>IF(AK11=0,"",IFERROR(LOOKUP(2,1/((加仓管理!$A$2:$A$1001=A11)*(加仓管理!$G$2:$G$1001&gt;0)),加仓管理!$E$2:$E$1001),""))</f>
        <v>9</v>
      </c>
      <c r="AO11" s="27">
        <f>IF(OR(A11="",H11="",H11&lt;=0),"",(E11*H11+SUMIFS(加仓管理!$H$2:$H$1001,加仓管理!$A$2:$A$1001,A11))/AP11)</f>
        <v>9.23</v>
      </c>
      <c r="AP11" s="26">
        <f t="shared" si="10"/>
        <v>4000</v>
      </c>
      <c r="AQ11" s="27">
        <f>IF(A11="","",IF(M11&lt;&gt;"",0,IF(OR(H11="",N11=""),"",MAX((E11*H11+SUMIFS(加仓管理!$H$2:$H$1001,加仓管理!$A$2:$A$1001,A11))-MAX(N11,AN11)*AP11,0))))</f>
        <v>0</v>
      </c>
      <c r="AR11" s="27" t="str">
        <f ca="1"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>违规：请检查加仓管理表</v>
      </c>
    </row>
    <row r="12" ht="17" spans="1:44">
      <c r="A12" s="23">
        <v>11</v>
      </c>
      <c r="B12" s="23" t="s">
        <v>44</v>
      </c>
      <c r="C12" s="7">
        <v>153001</v>
      </c>
      <c r="D12" s="4">
        <v>0.02</v>
      </c>
      <c r="E12" s="7">
        <v>8.92</v>
      </c>
      <c r="F12" s="6">
        <f t="shared" si="0"/>
        <v>7200</v>
      </c>
      <c r="G12" s="6" t="str">
        <f ca="1"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2" s="23">
        <v>4000</v>
      </c>
      <c r="I12" s="24">
        <v>43609</v>
      </c>
      <c r="J12" s="7">
        <v>10</v>
      </c>
      <c r="K12" s="7">
        <v>11.07</v>
      </c>
      <c r="L12" s="6">
        <f t="shared" si="1"/>
        <v>15000</v>
      </c>
      <c r="M12" s="24">
        <v>43731</v>
      </c>
      <c r="N12" s="7">
        <v>8.5</v>
      </c>
      <c r="O12" s="7"/>
      <c r="P12" s="7"/>
      <c r="Q12" s="23"/>
      <c r="R12" s="23"/>
      <c r="S12" s="23"/>
      <c r="T12" s="23"/>
      <c r="U12" s="5">
        <f t="shared" si="2"/>
        <v>0.0743446497636442</v>
      </c>
      <c r="V12" s="5">
        <f t="shared" si="3"/>
        <v>0.0868070477009024</v>
      </c>
      <c r="W12" s="25">
        <f t="shared" si="4"/>
        <v>0.856435643564357</v>
      </c>
      <c r="X12" s="3">
        <f t="shared" si="5"/>
        <v>26430</v>
      </c>
      <c r="Y12" s="5">
        <f t="shared" si="6"/>
        <v>0.189299527288354</v>
      </c>
      <c r="Z12" s="5">
        <f>IF(OR(AE12="",多次统计数据!$B$8=""),"",AE12-多次统计数据!$B$8)</f>
        <v>0.0745340029713322</v>
      </c>
      <c r="AA12" s="8">
        <f t="shared" si="7"/>
        <v>122</v>
      </c>
      <c r="AB12" s="5">
        <f>IF(OR(A12="",多次统计数据!$B$8="",多次统计数据!$B$6&lt;=0,多次统计数据!$B$6&gt;=1),"",1-POWER(1+多次统计数据!$B$8,-多次统计数据!$B$6/(1-多次统计数据!$B$6)))</f>
        <v>0.0965082919530571</v>
      </c>
      <c r="AC12" s="6" t="str">
        <f>IF(OR(AB12="",多次统计数据!$B$9=""),"",IF(多次统计数据!$B$9&lt;AB12,"低于上限","达到或超过上限"))</f>
        <v>低于上限</v>
      </c>
      <c r="AD12" s="23"/>
      <c r="AE12" s="5">
        <f t="shared" si="8"/>
        <v>0.172743968993667</v>
      </c>
      <c r="AG12" s="23" t="s">
        <v>45</v>
      </c>
      <c r="AH12" s="23" t="s">
        <v>46</v>
      </c>
      <c r="AI12" s="23" t="s">
        <v>51</v>
      </c>
      <c r="AJ12" s="6" t="str">
        <f t="shared" si="9"/>
        <v>匹配</v>
      </c>
      <c r="AK12" s="26">
        <f>IF(A12="","",COUNTIFS(加仓管理!$A$2:$A$1001,A12,加仓管理!$G$2:$G$1001,"&gt;0"))</f>
        <v>4</v>
      </c>
      <c r="AL12" s="26">
        <f>IF(A12="","",SUMIFS(加仓管理!$G$2:$G$1001,加仓管理!$A$2:$A$1001,A12))</f>
        <v>11000</v>
      </c>
      <c r="AM12" s="27">
        <f>IF(AK12=0,"",IFERROR(LOOKUP(2,1/((加仓管理!$A$2:$A$1001=A12)*(加仓管理!$G$2:$G$1001&gt;0)),加仓管理!$D$2:$D$1001),""))</f>
        <v>9.84</v>
      </c>
      <c r="AN12" s="27">
        <f>IF(AK12=0,"",IFERROR(LOOKUP(2,1/((加仓管理!$A$2:$A$1001=A12)*(加仓管理!$G$2:$G$1001&gt;0)),加仓管理!$E$2:$E$1001),""))</f>
        <v>9.5</v>
      </c>
      <c r="AO12" s="27">
        <f>IF(OR(A12="",H12="",H12&lt;=0),"",(E12*H12+SUMIFS(加仓管理!$H$2:$H$1001,加仓管理!$A$2:$A$1001,A12))/AP12)</f>
        <v>9.308</v>
      </c>
      <c r="AP12" s="26">
        <f t="shared" si="10"/>
        <v>15000</v>
      </c>
      <c r="AQ12" s="27">
        <f>IF(A12="","",IF(M12&lt;&gt;"",0,IF(OR(H12="",N12=""),"",MAX((E12*H12+SUMIFS(加仓管理!$H$2:$H$1001,加仓管理!$A$2:$A$1001,A12))-MAX(N12,AN12)*AP12,0))))</f>
        <v>0</v>
      </c>
      <c r="AR12" s="27" t="str">
        <f ca="1"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>违规：请检查加仓管理表</v>
      </c>
    </row>
    <row r="13" ht="17" spans="1:44">
      <c r="A13" s="23">
        <v>12</v>
      </c>
      <c r="B13" s="23" t="s">
        <v>44</v>
      </c>
      <c r="C13" s="7">
        <v>179431</v>
      </c>
      <c r="D13" s="4">
        <v>0.02</v>
      </c>
      <c r="E13" s="7">
        <v>10.17</v>
      </c>
      <c r="F13" s="6">
        <f t="shared" si="0"/>
        <v>5300</v>
      </c>
      <c r="G13" s="6" t="str">
        <f ca="1"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3" s="23">
        <v>2000</v>
      </c>
      <c r="I13" s="24">
        <v>43755</v>
      </c>
      <c r="J13" s="7">
        <v>11</v>
      </c>
      <c r="K13" s="7">
        <v>9.55</v>
      </c>
      <c r="L13" s="6">
        <f t="shared" si="1"/>
        <v>2000</v>
      </c>
      <c r="M13" s="24">
        <v>43767</v>
      </c>
      <c r="N13" s="7">
        <v>9.5</v>
      </c>
      <c r="O13" s="7"/>
      <c r="P13" s="7"/>
      <c r="Q13" s="23"/>
      <c r="R13" s="23"/>
      <c r="S13" s="23"/>
      <c r="T13" s="23"/>
      <c r="U13" s="5">
        <f t="shared" si="2"/>
        <v>0.0816125860373648</v>
      </c>
      <c r="V13" s="5">
        <f t="shared" si="3"/>
        <v>0.0658800393313668</v>
      </c>
      <c r="W13" s="25">
        <f t="shared" si="4"/>
        <v>1.23880597014925</v>
      </c>
      <c r="X13" s="3">
        <f t="shared" si="5"/>
        <v>-1240</v>
      </c>
      <c r="Y13" s="5">
        <f t="shared" si="6"/>
        <v>-0.0609636184857423</v>
      </c>
      <c r="Z13" s="5">
        <f>IF(OR(AE13="",多次统计数据!$B$8=""),"",AE13-多次统计数据!$B$8)</f>
        <v>-0.105120700510801</v>
      </c>
      <c r="AA13" s="8">
        <f t="shared" si="7"/>
        <v>12</v>
      </c>
      <c r="AB13" s="5">
        <f>IF(OR(A13="",多次统计数据!$B$8="",多次统计数据!$B$6&lt;=0,多次统计数据!$B$6&gt;=1),"",1-POWER(1+多次统计数据!$B$8,-多次统计数据!$B$6/(1-多次统计数据!$B$6)))</f>
        <v>0.0965082919530571</v>
      </c>
      <c r="AC13" s="6" t="str">
        <f>IF(OR(AB13="",多次统计数据!$B$9=""),"",IF(多次统计数据!$B$9&lt;AB13,"低于上限","达到或超过上限"))</f>
        <v>低于上限</v>
      </c>
      <c r="AD13" s="23"/>
      <c r="AE13" s="5">
        <f t="shared" si="8"/>
        <v>-0.00691073448846631</v>
      </c>
      <c r="AG13" s="23" t="s">
        <v>48</v>
      </c>
      <c r="AH13" s="23" t="s">
        <v>49</v>
      </c>
      <c r="AI13" s="23" t="s">
        <v>50</v>
      </c>
      <c r="AJ13" s="6" t="str">
        <f t="shared" si="9"/>
        <v>匹配</v>
      </c>
      <c r="AK13" s="26">
        <f>IF(A13="","",COUNTIFS(加仓管理!$A$2:$A$1001,A13,加仓管理!$G$2:$G$1001,"&gt;0"))</f>
        <v>0</v>
      </c>
      <c r="AL13" s="26">
        <f>IF(A13="","",SUMIFS(加仓管理!$G$2:$G$1001,加仓管理!$A$2:$A$1001,A13))</f>
        <v>0</v>
      </c>
      <c r="AM13" s="27" t="str">
        <f>IF(AK13=0,"",IFERROR(LOOKUP(2,1/((加仓管理!$A$2:$A$1001=A13)*(加仓管理!$G$2:$G$1001&gt;0)),加仓管理!$D$2:$D$1001),""))</f>
        <v/>
      </c>
      <c r="AN13" s="27" t="str">
        <f>IF(AK13=0,"",IFERROR(LOOKUP(2,1/((加仓管理!$A$2:$A$1001=A13)*(加仓管理!$G$2:$G$1001&gt;0)),加仓管理!$E$2:$E$1001),""))</f>
        <v/>
      </c>
      <c r="AO13" s="27">
        <f>IF(OR(A13="",H13="",H13&lt;=0),"",(E13*H13+SUMIFS(加仓管理!$H$2:$H$1001,加仓管理!$A$2:$A$1001,A13))/AP13)</f>
        <v>10.17</v>
      </c>
      <c r="AP13" s="26">
        <f t="shared" si="10"/>
        <v>2000</v>
      </c>
      <c r="AQ13" s="27">
        <f>IF(A13="","",IF(M13&lt;&gt;"",0,IF(OR(H13="",N13=""),"",MAX((E13*H13+SUMIFS(加仓管理!$H$2:$H$1001,加仓管理!$A$2:$A$1001,A13))-MAX(N13,AN13)*AP13,0))))</f>
        <v>0</v>
      </c>
      <c r="AR13" s="27" t="str">
        <f ca="1"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>通过</v>
      </c>
    </row>
    <row r="14" ht="17" spans="1:44">
      <c r="A14" s="23">
        <v>13</v>
      </c>
      <c r="B14" s="23" t="s">
        <v>44</v>
      </c>
      <c r="C14" s="7">
        <v>178191</v>
      </c>
      <c r="D14" s="4">
        <v>0.02</v>
      </c>
      <c r="E14" s="7">
        <v>11.45</v>
      </c>
      <c r="F14" s="6">
        <f t="shared" si="0"/>
        <v>7900</v>
      </c>
      <c r="G14" s="6" t="str">
        <f ca="1"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4" s="23">
        <v>7900</v>
      </c>
      <c r="I14" s="24">
        <v>43784</v>
      </c>
      <c r="J14" s="7">
        <v>13</v>
      </c>
      <c r="K14" s="7">
        <v>14.41</v>
      </c>
      <c r="L14" s="6">
        <f t="shared" si="1"/>
        <v>14900</v>
      </c>
      <c r="M14" s="24">
        <v>43902</v>
      </c>
      <c r="N14" s="7">
        <v>11</v>
      </c>
      <c r="O14" s="7"/>
      <c r="P14" s="7"/>
      <c r="Q14" s="23"/>
      <c r="R14" s="23"/>
      <c r="S14" s="23"/>
      <c r="T14" s="23"/>
      <c r="U14" s="5">
        <f t="shared" si="2"/>
        <v>0.121500738210347</v>
      </c>
      <c r="V14" s="5">
        <f t="shared" si="3"/>
        <v>0.0510378368989375</v>
      </c>
      <c r="W14" s="25">
        <f t="shared" si="4"/>
        <v>2.38060124787295</v>
      </c>
      <c r="X14" s="3">
        <f t="shared" si="5"/>
        <v>41994</v>
      </c>
      <c r="Y14" s="5">
        <f t="shared" si="6"/>
        <v>0.243140433662392</v>
      </c>
      <c r="Z14" s="5">
        <f>IF(OR(AE14="",多次统计数据!$B$8=""),"",AE14-多次统计数据!$B$8)</f>
        <v>0.137458502082115</v>
      </c>
      <c r="AA14" s="8">
        <f t="shared" si="7"/>
        <v>118</v>
      </c>
      <c r="AB14" s="5">
        <f>IF(OR(A14="",多次统计数据!$B$8="",多次统计数据!$B$6&lt;=0,多次统计数据!$B$6&gt;=1),"",1-POWER(1+多次统计数据!$B$8,-多次统计数据!$B$6/(1-多次统计数据!$B$6)))</f>
        <v>0.0965082919530571</v>
      </c>
      <c r="AC14" s="6" t="str">
        <f>IF(OR(AB14="",多次统计数据!$B$9=""),"",IF(多次统计数据!$B$9&lt;AB14,"低于上限","达到或超过上限"))</f>
        <v>低于上限</v>
      </c>
      <c r="AD14" s="23"/>
      <c r="AE14" s="5">
        <f t="shared" si="8"/>
        <v>0.23566846810445</v>
      </c>
      <c r="AG14" s="23" t="s">
        <v>45</v>
      </c>
      <c r="AH14" s="23" t="s">
        <v>46</v>
      </c>
      <c r="AI14" s="23" t="s">
        <v>51</v>
      </c>
      <c r="AJ14" s="6" t="str">
        <f t="shared" si="9"/>
        <v>匹配</v>
      </c>
      <c r="AK14" s="26">
        <f>IF(A14="","",COUNTIFS(加仓管理!$A$2:$A$1001,A14,加仓管理!$G$2:$G$1001,"&gt;0"))</f>
        <v>3</v>
      </c>
      <c r="AL14" s="26">
        <f>IF(A14="","",SUMIFS(加仓管理!$G$2:$G$1001,加仓管理!$A$2:$A$1001,A14))</f>
        <v>7000</v>
      </c>
      <c r="AM14" s="27">
        <f>IF(AK14=0,"",IFERROR(LOOKUP(2,1/((加仓管理!$A$2:$A$1001=A14)*(加仓管理!$G$2:$G$1001&gt;0)),加仓管理!$D$2:$D$1001),""))</f>
        <v>12.09</v>
      </c>
      <c r="AN14" s="27">
        <f>IF(AK14=0,"",IFERROR(LOOKUP(2,1/((加仓管理!$A$2:$A$1001=A14)*(加仓管理!$G$2:$G$1001&gt;0)),加仓管理!$E$2:$E$1001),""))</f>
        <v>11.5</v>
      </c>
      <c r="AO14" s="27">
        <f>IF(OR(A14="",H14="",H14&lt;=0),"",(E14*H14+SUMIFS(加仓管理!$H$2:$H$1001,加仓管理!$A$2:$A$1001,A14))/AP14)</f>
        <v>11.591610738255</v>
      </c>
      <c r="AP14" s="26">
        <f t="shared" si="10"/>
        <v>14900</v>
      </c>
      <c r="AQ14" s="27">
        <f>IF(A14="","",IF(M14&lt;&gt;"",0,IF(OR(H14="",N14=""),"",MAX((E14*H14+SUMIFS(加仓管理!$H$2:$H$1001,加仓管理!$A$2:$A$1001,A14))-MAX(N14,AN14)*AP14,0))))</f>
        <v>0</v>
      </c>
      <c r="AR14" s="27" t="str">
        <f ca="1"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>违规：请检查加仓管理表</v>
      </c>
    </row>
    <row r="15" ht="17" spans="1:44">
      <c r="A15" s="23">
        <v>14</v>
      </c>
      <c r="B15" s="23" t="s">
        <v>44</v>
      </c>
      <c r="C15" s="7">
        <v>220185</v>
      </c>
      <c r="D15" s="4">
        <v>0.02</v>
      </c>
      <c r="E15" s="7">
        <v>13.63</v>
      </c>
      <c r="F15" s="6">
        <f t="shared" si="0"/>
        <v>3800</v>
      </c>
      <c r="G15" s="6" t="str">
        <f ca="1"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5" s="23">
        <v>2000</v>
      </c>
      <c r="I15" s="24">
        <v>43907</v>
      </c>
      <c r="J15" s="7">
        <v>16</v>
      </c>
      <c r="K15" s="7">
        <v>14.59</v>
      </c>
      <c r="L15" s="6">
        <f t="shared" si="1"/>
        <v>10000</v>
      </c>
      <c r="M15" s="24">
        <v>43949</v>
      </c>
      <c r="N15" s="7">
        <v>12.5</v>
      </c>
      <c r="O15" s="7"/>
      <c r="P15" s="7"/>
      <c r="Q15" s="23"/>
      <c r="R15" s="23"/>
      <c r="S15" s="23"/>
      <c r="T15" s="23"/>
      <c r="U15" s="5">
        <f t="shared" si="2"/>
        <v>0.10803324099723</v>
      </c>
      <c r="V15" s="5">
        <f t="shared" si="3"/>
        <v>0.134349030470914</v>
      </c>
      <c r="W15" s="25">
        <f t="shared" si="4"/>
        <v>0.804123711340207</v>
      </c>
      <c r="X15" s="3">
        <f t="shared" si="5"/>
        <v>1500</v>
      </c>
      <c r="Y15" s="5">
        <f t="shared" si="6"/>
        <v>0.0103878116343491</v>
      </c>
      <c r="Z15" s="5">
        <f>IF(OR(AE15="",多次统计数据!$B$8=""),"",AE15-多次统计数据!$B$8)</f>
        <v>-0.0913975128579501</v>
      </c>
      <c r="AA15" s="8">
        <f t="shared" si="7"/>
        <v>42</v>
      </c>
      <c r="AB15" s="5">
        <f>IF(OR(A15="",多次统计数据!$B$8="",多次统计数据!$B$6&lt;=0,多次统计数据!$B$6&gt;=1),"",1-POWER(1+多次统计数据!$B$8,-多次统计数据!$B$6/(1-多次统计数据!$B$6)))</f>
        <v>0.0965082919530571</v>
      </c>
      <c r="AC15" s="6" t="str">
        <f>IF(OR(AB15="",多次统计数据!$B$9=""),"",IF(多次统计数据!$B$9&lt;AB15,"低于上限","达到或超过上限"))</f>
        <v>低于上限</v>
      </c>
      <c r="AD15" s="23"/>
      <c r="AE15" s="5">
        <f t="shared" si="8"/>
        <v>0.00681245316438451</v>
      </c>
      <c r="AG15" s="23" t="s">
        <v>45</v>
      </c>
      <c r="AH15" s="23" t="s">
        <v>46</v>
      </c>
      <c r="AI15" s="23" t="s">
        <v>51</v>
      </c>
      <c r="AJ15" s="6" t="str">
        <f t="shared" si="9"/>
        <v>匹配</v>
      </c>
      <c r="AK15" s="26">
        <f>IF(A15="","",COUNTIFS(加仓管理!$A$2:$A$1001,A15,加仓管理!$G$2:$G$1001,"&gt;0"))</f>
        <v>4</v>
      </c>
      <c r="AL15" s="26">
        <f>IF(A15="","",SUMIFS(加仓管理!$G$2:$G$1001,加仓管理!$A$2:$A$1001,A15))</f>
        <v>8000</v>
      </c>
      <c r="AM15" s="27">
        <f>IF(AK15=0,"",IFERROR(LOOKUP(2,1/((加仓管理!$A$2:$A$1001=A15)*(加仓管理!$G$2:$G$1001&gt;0)),加仓管理!$D$2:$D$1001),""))</f>
        <v>15.09</v>
      </c>
      <c r="AN15" s="27">
        <f>IF(AK15=0,"",IFERROR(LOOKUP(2,1/((加仓管理!$A$2:$A$1001=A15)*(加仓管理!$G$2:$G$1001&gt;0)),加仓管理!$E$2:$E$1001),""))</f>
        <v>14.5</v>
      </c>
      <c r="AO15" s="27">
        <f>IF(OR(A15="",H15="",H15&lt;=0),"",(E15*H15+SUMIFS(加仓管理!$H$2:$H$1001,加仓管理!$A$2:$A$1001,A15))/AP15)</f>
        <v>14.44</v>
      </c>
      <c r="AP15" s="26">
        <f t="shared" si="10"/>
        <v>10000</v>
      </c>
      <c r="AQ15" s="27">
        <f>IF(A15="","",IF(M15&lt;&gt;"",0,IF(OR(H15="",N15=""),"",MAX((E15*H15+SUMIFS(加仓管理!$H$2:$H$1001,加仓管理!$A$2:$A$1001,A15))-MAX(N15,AN15)*AP15,0))))</f>
        <v>0</v>
      </c>
      <c r="AR15" s="27" t="str">
        <f ca="1"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>违规：请检查加仓管理表</v>
      </c>
    </row>
    <row r="16" ht="17" spans="1:44">
      <c r="A16" s="23">
        <v>15</v>
      </c>
      <c r="B16" s="23" t="s">
        <v>44</v>
      </c>
      <c r="C16" s="7">
        <v>221685</v>
      </c>
      <c r="D16" s="4">
        <v>0.02</v>
      </c>
      <c r="E16" s="7">
        <v>14.84</v>
      </c>
      <c r="F16" s="6">
        <f t="shared" si="0"/>
        <v>13000</v>
      </c>
      <c r="G16" s="6" t="str">
        <f ca="1"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6" s="23">
        <v>5000</v>
      </c>
      <c r="I16" s="24">
        <v>43993</v>
      </c>
      <c r="J16" s="7">
        <v>16</v>
      </c>
      <c r="K16" s="7">
        <v>16.25</v>
      </c>
      <c r="L16" s="6">
        <f t="shared" si="1"/>
        <v>13000</v>
      </c>
      <c r="M16" s="24">
        <v>44039</v>
      </c>
      <c r="N16" s="7">
        <v>14.5</v>
      </c>
      <c r="O16" s="7"/>
      <c r="P16" s="7"/>
      <c r="Q16" s="23"/>
      <c r="R16" s="23"/>
      <c r="S16" s="23"/>
      <c r="T16" s="23"/>
      <c r="U16" s="5">
        <f t="shared" si="2"/>
        <v>0.0203080545472383</v>
      </c>
      <c r="V16" s="5">
        <f t="shared" si="3"/>
        <v>0.0753458255665653</v>
      </c>
      <c r="W16" s="25">
        <f t="shared" si="4"/>
        <v>0.269531249999999</v>
      </c>
      <c r="X16" s="3">
        <f t="shared" si="5"/>
        <v>7389.99999999999</v>
      </c>
      <c r="Y16" s="5">
        <f t="shared" si="6"/>
        <v>0.0362503678995389</v>
      </c>
      <c r="Z16" s="5">
        <f>IF(OR(AE16="",多次统计数据!$B$8=""),"",AE16-多次统计数据!$B$8)</f>
        <v>-0.0648743772364447</v>
      </c>
      <c r="AA16" s="8">
        <f t="shared" si="7"/>
        <v>46</v>
      </c>
      <c r="AB16" s="5">
        <f>IF(OR(A16="",多次统计数据!$B$8="",多次统计数据!$B$6&lt;=0,多次统计数据!$B$6&gt;=1),"",1-POWER(1+多次统计数据!$B$8,-多次统计数据!$B$6/(1-多次统计数据!$B$6)))</f>
        <v>0.0965082919530571</v>
      </c>
      <c r="AC16" s="6" t="str">
        <f>IF(OR(AB16="",多次统计数据!$B$9=""),"",IF(多次统计数据!$B$9&lt;AB16,"低于上限","达到或超过上限"))</f>
        <v>低于上限</v>
      </c>
      <c r="AD16" s="23"/>
      <c r="AE16" s="5">
        <f t="shared" si="8"/>
        <v>0.0333355887858898</v>
      </c>
      <c r="AG16" s="23" t="s">
        <v>45</v>
      </c>
      <c r="AH16" s="23" t="s">
        <v>46</v>
      </c>
      <c r="AI16" s="23" t="s">
        <v>51</v>
      </c>
      <c r="AJ16" s="6" t="str">
        <f t="shared" si="9"/>
        <v>匹配</v>
      </c>
      <c r="AK16" s="26">
        <f>IF(A16="","",COUNTIFS(加仓管理!$A$2:$A$1001,A16,加仓管理!$G$2:$G$1001,"&gt;0"))</f>
        <v>4</v>
      </c>
      <c r="AL16" s="26">
        <f>IF(A16="","",SUMIFS(加仓管理!$G$2:$G$1001,加仓管理!$A$2:$A$1001,A16))</f>
        <v>8000</v>
      </c>
      <c r="AM16" s="27">
        <f>IF(AK16=0,"",IFERROR(LOOKUP(2,1/((加仓管理!$A$2:$A$1001=A16)*(加仓管理!$G$2:$G$1001&gt;0)),加仓管理!$D$2:$D$1001),""))</f>
        <v>16.98</v>
      </c>
      <c r="AN16" s="27">
        <f>IF(AK16=0,"",IFERROR(LOOKUP(2,1/((加仓管理!$A$2:$A$1001=A16)*(加仓管理!$G$2:$G$1001&gt;0)),加仓管理!$E$2:$E$1001),""))</f>
        <v>16.5</v>
      </c>
      <c r="AO16" s="27">
        <f>IF(OR(A16="",H16="",H16&lt;=0),"",(E16*H16+SUMIFS(加仓管理!$H$2:$H$1001,加仓管理!$A$2:$A$1001,A16))/AP16)</f>
        <v>15.6815384615385</v>
      </c>
      <c r="AP16" s="26">
        <f t="shared" si="10"/>
        <v>13000</v>
      </c>
      <c r="AQ16" s="27">
        <f>IF(A16="","",IF(M16&lt;&gt;"",0,IF(OR(H16="",N16=""),"",MAX((E16*H16+SUMIFS(加仓管理!$H$2:$H$1001,加仓管理!$A$2:$A$1001,A16))-MAX(N16,AN16)*AP16,0))))</f>
        <v>0</v>
      </c>
      <c r="AR16" s="27" t="str">
        <f ca="1"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>违规：请检查加仓管理表</v>
      </c>
    </row>
    <row r="17" s="20" customFormat="1" ht="17" spans="1:44">
      <c r="A17" s="28">
        <v>16</v>
      </c>
      <c r="B17" s="28" t="s">
        <v>44</v>
      </c>
      <c r="C17" s="29">
        <v>229075</v>
      </c>
      <c r="D17" s="30">
        <v>0.02</v>
      </c>
      <c r="E17" s="29">
        <v>17.22</v>
      </c>
      <c r="F17" s="31">
        <f t="shared" si="0"/>
        <v>6300</v>
      </c>
      <c r="G17" s="31" t="str">
        <f ca="1"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7" s="28">
        <v>6300</v>
      </c>
      <c r="I17" s="32">
        <v>44055</v>
      </c>
      <c r="J17" s="29">
        <v>20</v>
      </c>
      <c r="K17" s="29">
        <v>16.84</v>
      </c>
      <c r="L17" s="31">
        <f t="shared" si="1"/>
        <v>12300</v>
      </c>
      <c r="M17" s="32">
        <v>44103</v>
      </c>
      <c r="N17" s="29">
        <v>16.5</v>
      </c>
      <c r="O17" s="29"/>
      <c r="P17" s="29"/>
      <c r="Q17" s="28"/>
      <c r="R17" s="28"/>
      <c r="S17" s="28"/>
      <c r="T17" s="28"/>
      <c r="U17" s="33">
        <f t="shared" si="2"/>
        <v>0.0925272909764352</v>
      </c>
      <c r="V17" s="33">
        <f t="shared" si="3"/>
        <v>0.0986649849444409</v>
      </c>
      <c r="W17" s="34">
        <f t="shared" si="4"/>
        <v>0.93779258192294</v>
      </c>
      <c r="X17" s="35">
        <f t="shared" si="5"/>
        <v>-18034</v>
      </c>
      <c r="Y17" s="33">
        <f t="shared" si="6"/>
        <v>-0.0800920209978415</v>
      </c>
      <c r="Z17" s="33">
        <f>IF(OR(AE17="",多次统计数据!$B$8=""),"",AE17-多次统计数据!$B$8)</f>
        <v>-0.176935274327475</v>
      </c>
      <c r="AA17" s="36">
        <f t="shared" si="7"/>
        <v>48</v>
      </c>
      <c r="AB17" s="33">
        <f>IF(OR(A17="",多次统计数据!$B$8="",多次统计数据!$B$6&lt;=0,多次统计数据!$B$6&gt;=1),"",1-POWER(1+多次统计数据!$B$8,-多次统计数据!$B$6/(1-多次统计数据!$B$6)))</f>
        <v>0.0965082919530571</v>
      </c>
      <c r="AC17" s="31" t="str">
        <f>IF(OR(AB17="",多次统计数据!$B$9=""),"",IF(多次统计数据!$B$9&lt;AB17,"低于上限","达到或超过上限"))</f>
        <v>低于上限</v>
      </c>
      <c r="AD17" s="28"/>
      <c r="AE17" s="33">
        <f t="shared" si="8"/>
        <v>-0.0787253083051402</v>
      </c>
      <c r="AG17" s="28" t="s">
        <v>52</v>
      </c>
      <c r="AH17" s="28" t="s">
        <v>49</v>
      </c>
      <c r="AI17" s="28" t="s">
        <v>51</v>
      </c>
      <c r="AJ17" s="31" t="str">
        <f t="shared" si="9"/>
        <v>匹配</v>
      </c>
      <c r="AK17" s="37">
        <f>IF(A17="","",COUNTIFS(加仓管理!$A$2:$A$1001,A17,加仓管理!$G$2:$G$1001,"&gt;0"))</f>
        <v>3</v>
      </c>
      <c r="AL17" s="37">
        <f>IF(A17="","",SUMIFS(加仓管理!$G$2:$G$1001,加仓管理!$A$2:$A$1001,A17))</f>
        <v>6000</v>
      </c>
      <c r="AM17" s="38">
        <f>IF(AK17=0,"",IFERROR(LOOKUP(2,1/((加仓管理!$A$2:$A$1001=A17)*(加仓管理!$G$2:$G$1001&gt;0)),加仓管理!$D$2:$D$1001),""))</f>
        <v>20.23</v>
      </c>
      <c r="AN17" s="38">
        <f>IF(AK17=0,"",IFERROR(LOOKUP(2,1/((加仓管理!$A$2:$A$1001=A17)*(加仓管理!$G$2:$G$1001&gt;0)),加仓管理!$E$2:$E$1001),""))</f>
        <v>19.5</v>
      </c>
      <c r="AO17" s="38">
        <f>IF(OR(A17="",H17="",H17&lt;=0),"",(E17*H17+SUMIFS(加仓管理!$H$2:$H$1001,加仓管理!$A$2:$A$1001,A17))/AP17)</f>
        <v>18.3061788617886</v>
      </c>
      <c r="AP17" s="37">
        <f t="shared" si="10"/>
        <v>12300</v>
      </c>
      <c r="AQ17" s="38">
        <f>IF(A17="","",IF(M17&lt;&gt;"",0,IF(OR(H17="",N17=""),"",MAX((E17*H17+SUMIFS(加仓管理!$H$2:$H$1001,加仓管理!$A$2:$A$1001,A17))-MAX(N17,AN17)*AP17,0))))</f>
        <v>0</v>
      </c>
      <c r="AR17" s="38" t="str">
        <f ca="1"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>通过</v>
      </c>
    </row>
    <row r="18" ht="17" spans="1:44">
      <c r="A18" s="23">
        <v>17</v>
      </c>
      <c r="B18" s="23" t="s">
        <v>44</v>
      </c>
      <c r="C18" s="7">
        <v>211041</v>
      </c>
      <c r="D18" s="4">
        <v>0.02</v>
      </c>
      <c r="E18" s="7">
        <v>16.35</v>
      </c>
      <c r="F18" s="6">
        <f t="shared" si="0"/>
        <v>4900</v>
      </c>
      <c r="G18" s="6" t="str">
        <f ca="1"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8" s="23">
        <v>4900</v>
      </c>
      <c r="I18" s="24">
        <v>44131</v>
      </c>
      <c r="J18" s="7">
        <v>18</v>
      </c>
      <c r="K18" s="7">
        <v>18.3</v>
      </c>
      <c r="L18" s="6">
        <f t="shared" si="1"/>
        <v>11500</v>
      </c>
      <c r="M18" s="24">
        <v>44161</v>
      </c>
      <c r="N18" s="7">
        <v>15.5</v>
      </c>
      <c r="O18" s="7"/>
      <c r="P18" s="7"/>
      <c r="Q18" s="23"/>
      <c r="R18" s="23"/>
      <c r="S18" s="23"/>
      <c r="T18" s="23"/>
      <c r="U18" s="5">
        <f t="shared" si="2"/>
        <v>0.0313849955904554</v>
      </c>
      <c r="V18" s="5">
        <f t="shared" si="3"/>
        <v>0.111862920463775</v>
      </c>
      <c r="W18" s="25">
        <f t="shared" si="4"/>
        <v>0.28056656719077</v>
      </c>
      <c r="X18" s="3">
        <f t="shared" si="5"/>
        <v>9748.99999999999</v>
      </c>
      <c r="Y18" s="5">
        <f t="shared" si="6"/>
        <v>0.048574745516963</v>
      </c>
      <c r="Z18" s="5">
        <f>IF(OR(AE18="",多次统计数据!$B$8=""),"",AE18-多次统计数据!$B$8)</f>
        <v>-0.0520151507968571</v>
      </c>
      <c r="AA18" s="8">
        <f t="shared" si="7"/>
        <v>30</v>
      </c>
      <c r="AB18" s="5">
        <f>IF(OR(A18="",多次统计数据!$B$8="",多次统计数据!$B$6&lt;=0,多次统计数据!$B$6&gt;=1),"",1-POWER(1+多次统计数据!$B$8,-多次统计数据!$B$6/(1-多次统计数据!$B$6)))</f>
        <v>0.0965082919530571</v>
      </c>
      <c r="AC18" s="6" t="str">
        <f>IF(OR(AB18="",多次统计数据!$B$9=""),"",IF(多次统计数据!$B$9&lt;AB18,"低于上限","达到或超过上限"))</f>
        <v>低于上限</v>
      </c>
      <c r="AD18" s="23"/>
      <c r="AE18" s="5">
        <f t="shared" si="8"/>
        <v>0.0461948152254775</v>
      </c>
      <c r="AG18" s="23" t="s">
        <v>45</v>
      </c>
      <c r="AH18" s="23" t="s">
        <v>46</v>
      </c>
      <c r="AI18" s="23" t="s">
        <v>51</v>
      </c>
      <c r="AJ18" s="6" t="str">
        <f t="shared" si="9"/>
        <v>匹配</v>
      </c>
      <c r="AK18" s="26">
        <f>IF(A18="","",COUNTIFS(加仓管理!$A$2:$A$1001,A18,加仓管理!$G$2:$G$1001,"&gt;0"))</f>
        <v>4</v>
      </c>
      <c r="AL18" s="26">
        <f>IF(A18="","",SUMIFS(加仓管理!$G$2:$G$1001,加仓管理!$A$2:$A$1001,A18))</f>
        <v>6600</v>
      </c>
      <c r="AM18" s="27">
        <f>IF(AK18=0,"",IFERROR(LOOKUP(2,1/((加仓管理!$A$2:$A$1001=A18)*(加仓管理!$G$2:$G$1001&gt;0)),加仓管理!$D$2:$D$1001),""))</f>
        <v>19.41</v>
      </c>
      <c r="AN18" s="27">
        <f>IF(AK18=0,"",IFERROR(LOOKUP(2,1/((加仓管理!$A$2:$A$1001=A18)*(加仓管理!$G$2:$G$1001&gt;0)),加仓管理!$E$2:$E$1001),""))</f>
        <v>18.4</v>
      </c>
      <c r="AO18" s="27">
        <f>IF(OR(A18="",H18="",H18&lt;=0),"",(E18*H18+SUMIFS(加仓管理!$H$2:$H$1001,加仓管理!$A$2:$A$1001,A18))/AP18)</f>
        <v>17.4522608695652</v>
      </c>
      <c r="AP18" s="26">
        <f t="shared" si="10"/>
        <v>11500</v>
      </c>
      <c r="AQ18" s="27">
        <f>IF(A18="","",IF(M18&lt;&gt;"",0,IF(OR(H18="",N18=""),"",MAX((E18*H18+SUMIFS(加仓管理!$H$2:$H$1001,加仓管理!$A$2:$A$1001,A18))-MAX(N18,AN18)*AP18,0))))</f>
        <v>0</v>
      </c>
      <c r="AR18" s="27" t="str">
        <f ca="1"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>违规：请检查加仓管理表</v>
      </c>
    </row>
    <row r="19" ht="17" spans="1:44">
      <c r="A19" s="23">
        <v>18</v>
      </c>
      <c r="B19" s="23" t="s">
        <v>44</v>
      </c>
      <c r="C19" s="7">
        <v>220790</v>
      </c>
      <c r="D19" s="4">
        <v>0.02</v>
      </c>
      <c r="E19" s="7">
        <v>19.48</v>
      </c>
      <c r="F19" s="6">
        <f t="shared" si="0"/>
        <v>9100</v>
      </c>
      <c r="G19" s="6" t="str">
        <f ca="1"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9" s="23">
        <v>9100</v>
      </c>
      <c r="I19" s="24">
        <v>44174</v>
      </c>
      <c r="J19" s="7">
        <v>21</v>
      </c>
      <c r="K19" s="7">
        <v>18.33</v>
      </c>
      <c r="L19" s="6">
        <f t="shared" si="1"/>
        <v>9100</v>
      </c>
      <c r="M19" s="24">
        <v>44187</v>
      </c>
      <c r="N19" s="7">
        <v>19</v>
      </c>
      <c r="O19" s="7"/>
      <c r="P19" s="7"/>
      <c r="Q19" s="23"/>
      <c r="R19" s="23"/>
      <c r="S19" s="23"/>
      <c r="T19" s="23"/>
      <c r="U19" s="5">
        <f t="shared" si="2"/>
        <v>0.0780287474332649</v>
      </c>
      <c r="V19" s="5">
        <f t="shared" si="3"/>
        <v>0.0246406570841889</v>
      </c>
      <c r="W19" s="25">
        <f t="shared" si="4"/>
        <v>3.16666666666666</v>
      </c>
      <c r="X19" s="3">
        <f t="shared" si="5"/>
        <v>-10465</v>
      </c>
      <c r="Y19" s="5">
        <f t="shared" si="6"/>
        <v>-0.059034907597536</v>
      </c>
      <c r="Z19" s="5">
        <f>IF(OR(AE19="",多次统计数据!$B$8=""),"",AE19-多次统计数据!$B$8)</f>
        <v>-0.145607946003312</v>
      </c>
      <c r="AA19" s="8">
        <f t="shared" si="7"/>
        <v>13</v>
      </c>
      <c r="AB19" s="5">
        <f>IF(OR(A19="",多次统计数据!$B$8="",多次统计数据!$B$6&lt;=0,多次统计数据!$B$6&gt;=1),"",1-POWER(1+多次统计数据!$B$8,-多次统计数据!$B$6/(1-多次统计数据!$B$6)))</f>
        <v>0.0965082919530571</v>
      </c>
      <c r="AC19" s="6" t="str">
        <f>IF(OR(AB19="",多次统计数据!$B$9=""),"",IF(多次统计数据!$B$9&lt;AB19,"低于上限","达到或超过上限"))</f>
        <v>低于上限</v>
      </c>
      <c r="AD19" s="23"/>
      <c r="AE19" s="5">
        <f t="shared" si="8"/>
        <v>-0.0473979799809775</v>
      </c>
      <c r="AG19" s="23" t="s">
        <v>52</v>
      </c>
      <c r="AH19" s="23" t="s">
        <v>49</v>
      </c>
      <c r="AI19" s="23" t="s">
        <v>53</v>
      </c>
      <c r="AJ19" s="6" t="str">
        <f t="shared" si="9"/>
        <v>匹配</v>
      </c>
      <c r="AK19" s="26">
        <f>IF(A19="","",COUNTIFS(加仓管理!$A$2:$A$1001,A19,加仓管理!$G$2:$G$1001,"&gt;0"))</f>
        <v>0</v>
      </c>
      <c r="AL19" s="26">
        <f>IF(A19="","",SUMIFS(加仓管理!$G$2:$G$1001,加仓管理!$A$2:$A$1001,A19))</f>
        <v>0</v>
      </c>
      <c r="AM19" s="27" t="str">
        <f>IF(AK19=0,"",IFERROR(LOOKUP(2,1/((加仓管理!$A$2:$A$1001=A19)*(加仓管理!$G$2:$G$1001&gt;0)),加仓管理!$D$2:$D$1001),""))</f>
        <v/>
      </c>
      <c r="AN19" s="27" t="str">
        <f>IF(AK19=0,"",IFERROR(LOOKUP(2,1/((加仓管理!$A$2:$A$1001=A19)*(加仓管理!$G$2:$G$1001&gt;0)),加仓管理!$E$2:$E$1001),""))</f>
        <v/>
      </c>
      <c r="AO19" s="27">
        <f>IF(OR(A19="",H19="",H19&lt;=0),"",(E19*H19+SUMIFS(加仓管理!$H$2:$H$1001,加仓管理!$A$2:$A$1001,A19))/AP19)</f>
        <v>19.48</v>
      </c>
      <c r="AP19" s="26">
        <f t="shared" si="10"/>
        <v>9100</v>
      </c>
      <c r="AQ19" s="27">
        <f>IF(A19="","",IF(M19&lt;&gt;"",0,IF(OR(H19="",N19=""),"",MAX((E19*H19+SUMIFS(加仓管理!$H$2:$H$1001,加仓管理!$A$2:$A$1001,A19))-MAX(N19,AN19)*AP19,0))))</f>
        <v>0</v>
      </c>
      <c r="AR19" s="27" t="str">
        <f ca="1"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>通过</v>
      </c>
    </row>
    <row r="20" ht="17" spans="1:44">
      <c r="A20" s="23">
        <v>19</v>
      </c>
      <c r="B20" s="23" t="s">
        <v>44</v>
      </c>
      <c r="C20" s="7">
        <v>210325</v>
      </c>
      <c r="D20" s="4">
        <v>0.02</v>
      </c>
      <c r="E20" s="7">
        <v>18.99</v>
      </c>
      <c r="F20" s="6">
        <f t="shared" si="0"/>
        <v>8500</v>
      </c>
      <c r="G20" s="6" t="str">
        <f ca="1"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0" s="23">
        <v>8500</v>
      </c>
      <c r="I20" s="24">
        <v>44194</v>
      </c>
      <c r="J20" s="7">
        <v>21</v>
      </c>
      <c r="K20" s="7">
        <v>23.77</v>
      </c>
      <c r="L20" s="6">
        <f t="shared" si="1"/>
        <v>10500</v>
      </c>
      <c r="M20" s="24">
        <v>44264</v>
      </c>
      <c r="N20" s="7">
        <v>18.5</v>
      </c>
      <c r="O20" s="7"/>
      <c r="P20" s="7"/>
      <c r="Q20" s="23"/>
      <c r="R20" s="23"/>
      <c r="S20" s="23"/>
      <c r="T20" s="23"/>
      <c r="U20" s="5">
        <f t="shared" si="2"/>
        <v>0.0572750593368656</v>
      </c>
      <c r="V20" s="5">
        <f t="shared" si="3"/>
        <v>0.0685910191556184</v>
      </c>
      <c r="W20" s="25">
        <f t="shared" si="4"/>
        <v>0.835022719328906</v>
      </c>
      <c r="X20" s="3">
        <f t="shared" si="5"/>
        <v>41030</v>
      </c>
      <c r="Y20" s="5">
        <f t="shared" si="6"/>
        <v>0.196734674306538</v>
      </c>
      <c r="Z20" s="5">
        <f>IF(OR(AE20="",多次统计数据!$B$8=""),"",AE20-多次统计数据!$B$8)</f>
        <v>0.0968690783138118</v>
      </c>
      <c r="AA20" s="8">
        <f t="shared" si="7"/>
        <v>70</v>
      </c>
      <c r="AB20" s="5">
        <f>IF(OR(A20="",多次统计数据!$B$8="",多次统计数据!$B$6&lt;=0,多次统计数据!$B$6&gt;=1),"",1-POWER(1+多次统计数据!$B$8,-多次统计数据!$B$6/(1-多次统计数据!$B$6)))</f>
        <v>0.0965082919530571</v>
      </c>
      <c r="AC20" s="6" t="str">
        <f>IF(OR(AB20="",多次统计数据!$B$9=""),"",IF(多次统计数据!$B$9&lt;AB20,"低于上限","达到或超过上限"))</f>
        <v>低于上限</v>
      </c>
      <c r="AD20" s="23"/>
      <c r="AE20" s="5">
        <f t="shared" si="8"/>
        <v>0.195079044336146</v>
      </c>
      <c r="AG20" s="23" t="s">
        <v>45</v>
      </c>
      <c r="AH20" s="23" t="s">
        <v>46</v>
      </c>
      <c r="AI20" s="23" t="s">
        <v>51</v>
      </c>
      <c r="AJ20" s="6" t="str">
        <f t="shared" si="9"/>
        <v>匹配</v>
      </c>
      <c r="AK20" s="26">
        <f>IF(A20="","",COUNTIFS(加仓管理!$A$2:$A$1001,A20,加仓管理!$G$2:$G$1001,"&gt;0"))</f>
        <v>1</v>
      </c>
      <c r="AL20" s="26">
        <f>IF(A20="","",SUMIFS(加仓管理!$G$2:$G$1001,加仓管理!$A$2:$A$1001,A20))</f>
        <v>2000</v>
      </c>
      <c r="AM20" s="27">
        <f>IF(AK20=0,"",IFERROR(LOOKUP(2,1/((加仓管理!$A$2:$A$1001=A20)*(加仓管理!$G$2:$G$1001&gt;0)),加仓管理!$D$2:$D$1001),""))</f>
        <v>23.57</v>
      </c>
      <c r="AN20" s="27">
        <f>IF(AK20=0,"",IFERROR(LOOKUP(2,1/((加仓管理!$A$2:$A$1001=A20)*(加仓管理!$G$2:$G$1001&gt;0)),加仓管理!$E$2:$E$1001),""))</f>
        <v>20</v>
      </c>
      <c r="AO20" s="27">
        <f>IF(OR(A20="",H20="",H20&lt;=0),"",(E20*H20+SUMIFS(加仓管理!$H$2:$H$1001,加仓管理!$A$2:$A$1001,A20))/AP20)</f>
        <v>19.862380952381</v>
      </c>
      <c r="AP20" s="26">
        <f t="shared" si="10"/>
        <v>10500</v>
      </c>
      <c r="AQ20" s="27">
        <f>IF(A20="","",IF(M20&lt;&gt;"",0,IF(OR(H20="",N20=""),"",MAX((E20*H20+SUMIFS(加仓管理!$H$2:$H$1001,加仓管理!$A$2:$A$1001,A20))-MAX(N20,AN20)*AP20,0))))</f>
        <v>0</v>
      </c>
      <c r="AR20" s="27" t="str">
        <f ca="1"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>通过</v>
      </c>
    </row>
    <row r="21" s="20" customFormat="1" ht="17" spans="1:44">
      <c r="A21" s="28">
        <v>20</v>
      </c>
      <c r="B21" s="28" t="s">
        <v>44</v>
      </c>
      <c r="C21" s="29">
        <v>251355</v>
      </c>
      <c r="D21" s="30">
        <v>0.02</v>
      </c>
      <c r="E21" s="29">
        <v>24.75</v>
      </c>
      <c r="F21" s="31">
        <f t="shared" si="0"/>
        <v>6700</v>
      </c>
      <c r="G21" s="31" t="str">
        <f ca="1"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1" s="28">
        <v>6700</v>
      </c>
      <c r="I21" s="32">
        <v>44333</v>
      </c>
      <c r="J21" s="29">
        <v>30</v>
      </c>
      <c r="K21" s="29">
        <v>21.6</v>
      </c>
      <c r="L21" s="31">
        <f t="shared" si="1"/>
        <v>8700</v>
      </c>
      <c r="M21" s="32">
        <v>44363</v>
      </c>
      <c r="N21" s="29">
        <v>24</v>
      </c>
      <c r="O21" s="29"/>
      <c r="P21" s="29"/>
      <c r="Q21" s="28"/>
      <c r="R21" s="28"/>
      <c r="S21" s="28"/>
      <c r="T21" s="28"/>
      <c r="U21" s="33">
        <f t="shared" si="2"/>
        <v>0.233430211951514</v>
      </c>
      <c r="V21" s="33">
        <f t="shared" si="3"/>
        <v>0.0132558304387892</v>
      </c>
      <c r="W21" s="34">
        <f t="shared" si="4"/>
        <v>17.6096256684493</v>
      </c>
      <c r="X21" s="35">
        <f t="shared" si="5"/>
        <v>-23685</v>
      </c>
      <c r="Y21" s="33">
        <f t="shared" si="6"/>
        <v>-0.11193024739491</v>
      </c>
      <c r="Z21" s="33">
        <f>IF(OR(AE21="",多次统计数据!$B$8=""),"",AE21-多次统计数据!$B$8)</f>
        <v>-0.192439243339277</v>
      </c>
      <c r="AA21" s="36">
        <f t="shared" si="7"/>
        <v>30</v>
      </c>
      <c r="AB21" s="33">
        <f>IF(OR(A21="",多次统计数据!$B$8="",多次统计数据!$B$6&lt;=0,多次统计数据!$B$6&gt;=1),"",1-POWER(1+多次统计数据!$B$8,-多次统计数据!$B$6/(1-多次统计数据!$B$6)))</f>
        <v>0.0965082919530571</v>
      </c>
      <c r="AC21" s="31" t="str">
        <f>IF(OR(AB21="",多次统计数据!$B$9=""),"",IF(多次统计数据!$B$9&lt;AB21,"低于上限","达到或超过上限"))</f>
        <v>低于上限</v>
      </c>
      <c r="AD21" s="28"/>
      <c r="AE21" s="33">
        <f t="shared" si="8"/>
        <v>-0.0942292773169421</v>
      </c>
      <c r="AG21" s="28" t="s">
        <v>45</v>
      </c>
      <c r="AH21" s="28" t="s">
        <v>46</v>
      </c>
      <c r="AI21" s="28" t="s">
        <v>51</v>
      </c>
      <c r="AJ21" s="31" t="str">
        <f t="shared" si="9"/>
        <v>匹配</v>
      </c>
      <c r="AK21" s="37">
        <f>IF(A21="","",COUNTIFS(加仓管理!$A$2:$A$1001,A21,加仓管理!$G$2:$G$1001,"&gt;0"))</f>
        <v>1</v>
      </c>
      <c r="AL21" s="37">
        <f>IF(A21="","",SUMIFS(加仓管理!$G$2:$G$1001,加仓管理!$A$2:$A$1001,A21))</f>
        <v>2000</v>
      </c>
      <c r="AM21" s="38">
        <f>IF(AK21=0,"",IFERROR(LOOKUP(2,1/((加仓管理!$A$2:$A$1001=A21)*(加仓管理!$G$2:$G$1001&gt;0)),加仓管理!$D$2:$D$1001),""))</f>
        <v>22.89</v>
      </c>
      <c r="AN21" s="38">
        <f>IF(AK21=0,"",IFERROR(LOOKUP(2,1/((加仓管理!$A$2:$A$1001=A21)*(加仓管理!$G$2:$G$1001&gt;0)),加仓管理!$E$2:$E$1001),""))</f>
        <v>22</v>
      </c>
      <c r="AO21" s="38">
        <f>IF(OR(A21="",H21="",H21&lt;=0),"",(E21*H21+SUMIFS(加仓管理!$H$2:$H$1001,加仓管理!$A$2:$A$1001,A21))/AP21)</f>
        <v>24.3224137931034</v>
      </c>
      <c r="AP21" s="37">
        <f t="shared" si="10"/>
        <v>8700</v>
      </c>
      <c r="AQ21" s="38">
        <f>IF(A21="","",IF(M21&lt;&gt;"",0,IF(OR(H21="",N21=""),"",MAX((E21*H21+SUMIFS(加仓管理!$H$2:$H$1001,加仓管理!$A$2:$A$1001,A21))-MAX(N21,AN21)*AP21,0))))</f>
        <v>0</v>
      </c>
      <c r="AR21" s="38" t="str">
        <f ca="1"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>违规：请检查加仓管理表</v>
      </c>
    </row>
    <row r="22" s="20" customFormat="1" ht="17" spans="1:44">
      <c r="A22" s="28">
        <v>21</v>
      </c>
      <c r="B22" s="28" t="s">
        <v>44</v>
      </c>
      <c r="C22" s="29">
        <v>227670</v>
      </c>
      <c r="D22" s="30">
        <v>0.02</v>
      </c>
      <c r="E22" s="29">
        <v>21.06</v>
      </c>
      <c r="F22" s="31">
        <f t="shared" si="0"/>
        <v>4200</v>
      </c>
      <c r="G22" s="31" t="str">
        <f ca="1"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2" s="28">
        <v>3000</v>
      </c>
      <c r="I22" s="32">
        <v>44369</v>
      </c>
      <c r="J22" s="29">
        <v>24</v>
      </c>
      <c r="K22" s="29">
        <v>20.98</v>
      </c>
      <c r="L22" s="31">
        <f t="shared" si="1"/>
        <v>10500</v>
      </c>
      <c r="M22" s="32">
        <v>44531</v>
      </c>
      <c r="N22" s="29">
        <v>20</v>
      </c>
      <c r="O22" s="29"/>
      <c r="P22" s="29"/>
      <c r="Q22" s="28"/>
      <c r="R22" s="28"/>
      <c r="S22" s="28"/>
      <c r="T22" s="28"/>
      <c r="U22" s="33">
        <f t="shared" si="2"/>
        <v>0.167774971616581</v>
      </c>
      <c r="V22" s="33">
        <f t="shared" si="3"/>
        <v>0.0268541903195162</v>
      </c>
      <c r="W22" s="34">
        <f t="shared" si="4"/>
        <v>6.24762726488352</v>
      </c>
      <c r="X22" s="35">
        <f t="shared" si="5"/>
        <v>4495</v>
      </c>
      <c r="Y22" s="33">
        <f t="shared" si="6"/>
        <v>0.0208299543548275</v>
      </c>
      <c r="Z22" s="33">
        <f>IF(OR(AE22="",多次统计数据!$B$8=""),"",AE22-多次统计数据!$B$8)</f>
        <v>-0.0784664776400268</v>
      </c>
      <c r="AA22" s="36">
        <f t="shared" si="7"/>
        <v>162</v>
      </c>
      <c r="AB22" s="33">
        <f>IF(OR(A22="",多次统计数据!$B$8="",多次统计数据!$B$6&lt;=0,多次统计数据!$B$6&gt;=1),"",1-POWER(1+多次统计数据!$B$8,-多次统计数据!$B$6/(1-多次统计数据!$B$6)))</f>
        <v>0.0965082919530571</v>
      </c>
      <c r="AC22" s="31" t="str">
        <f>IF(OR(AB22="",多次统计数据!$B$9=""),"",IF(多次统计数据!$B$9&lt;AB22,"低于上限","达到或超过上限"))</f>
        <v>低于上限</v>
      </c>
      <c r="AD22" s="28"/>
      <c r="AE22" s="33">
        <f t="shared" si="8"/>
        <v>0.0197434883823077</v>
      </c>
      <c r="AG22" s="28" t="s">
        <v>45</v>
      </c>
      <c r="AH22" s="28" t="s">
        <v>54</v>
      </c>
      <c r="AI22" s="28" t="s">
        <v>51</v>
      </c>
      <c r="AJ22" s="31" t="str">
        <f t="shared" si="9"/>
        <v>匹配</v>
      </c>
      <c r="AK22" s="37">
        <f>IF(A22="","",COUNTIFS(加仓管理!$A$2:$A$1001,A22,加仓管理!$G$2:$G$1001,"&gt;0"))</f>
        <v>4</v>
      </c>
      <c r="AL22" s="37">
        <f>IF(A22="","",SUMIFS(加仓管理!$G$2:$G$1001,加仓管理!$A$2:$A$1001,A22))</f>
        <v>7500</v>
      </c>
      <c r="AM22" s="38">
        <f>IF(AK22=0,"",IFERROR(LOOKUP(2,1/((加仓管理!$A$2:$A$1001=A22)*(加仓管理!$G$2:$G$1001&gt;0)),加仓管理!$D$2:$D$1001),""))</f>
        <v>19.89</v>
      </c>
      <c r="AN22" s="38">
        <f>IF(AK22=0,"",IFERROR(LOOKUP(2,1/((加仓管理!$A$2:$A$1001=A22)*(加仓管理!$G$2:$G$1001&gt;0)),加仓管理!$E$2:$E$1001),""))</f>
        <v>19.5</v>
      </c>
      <c r="AO22" s="38">
        <f>IF(OR(A22="",H22="",H22&lt;=0),"",(E22*H22+SUMIFS(加仓管理!$H$2:$H$1001,加仓管理!$A$2:$A$1001,A22))/AP22)</f>
        <v>20.5519047619048</v>
      </c>
      <c r="AP22" s="37">
        <f t="shared" si="10"/>
        <v>10500</v>
      </c>
      <c r="AQ22" s="38">
        <f>IF(A22="","",IF(M22&lt;&gt;"",0,IF(OR(H22="",N22=""),"",MAX((E22*H22+SUMIFS(加仓管理!$H$2:$H$1001,加仓管理!$A$2:$A$1001,A22))-MAX(N22,AN22)*AP22,0))))</f>
        <v>0</v>
      </c>
      <c r="AR22" s="38" t="str">
        <f ca="1"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>违规：请检查加仓管理表</v>
      </c>
    </row>
    <row r="23" ht="17" spans="1:44">
      <c r="A23" s="23">
        <v>22</v>
      </c>
      <c r="B23" s="23" t="s">
        <v>44</v>
      </c>
      <c r="C23" s="7">
        <v>232165</v>
      </c>
      <c r="D23" s="4">
        <v>0.02</v>
      </c>
      <c r="E23" s="7">
        <v>22.7</v>
      </c>
      <c r="F23" s="6">
        <f t="shared" si="0"/>
        <v>2700</v>
      </c>
      <c r="G23" s="6" t="str">
        <f ca="1"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3" s="23">
        <v>2700</v>
      </c>
      <c r="I23" s="24">
        <v>44561</v>
      </c>
      <c r="J23" s="7">
        <v>25</v>
      </c>
      <c r="K23" s="7">
        <v>24.59</v>
      </c>
      <c r="L23" s="6">
        <f t="shared" si="1"/>
        <v>8700</v>
      </c>
      <c r="M23" s="24">
        <v>44628</v>
      </c>
      <c r="N23" s="7">
        <v>21</v>
      </c>
      <c r="O23" s="7"/>
      <c r="P23" s="7"/>
      <c r="Q23" s="23"/>
      <c r="R23" s="23"/>
      <c r="S23" s="23"/>
      <c r="T23" s="23"/>
      <c r="U23" s="5">
        <f t="shared" si="2"/>
        <v>0.0705320667421371</v>
      </c>
      <c r="V23" s="5">
        <f t="shared" si="3"/>
        <v>0.100753063936605</v>
      </c>
      <c r="W23" s="25">
        <f t="shared" si="4"/>
        <v>0.700048851978505</v>
      </c>
      <c r="X23" s="3">
        <f t="shared" si="5"/>
        <v>10763</v>
      </c>
      <c r="Y23" s="5">
        <f t="shared" si="6"/>
        <v>0.052975340847566</v>
      </c>
      <c r="Z23" s="5">
        <f>IF(OR(AE23="",多次统计数据!$B$8=""),"",AE23-多次统计数据!$B$8)</f>
        <v>-0.0518506956758138</v>
      </c>
      <c r="AA23" s="8">
        <f t="shared" si="7"/>
        <v>67</v>
      </c>
      <c r="AB23" s="5">
        <f>IF(OR(A23="",多次统计数据!$B$8="",多次统计数据!$B$6&lt;=0,多次统计数据!$B$6&gt;=1),"",1-POWER(1+多次统计数据!$B$8,-多次统计数据!$B$6/(1-多次统计数据!$B$6)))</f>
        <v>0.0965082919530571</v>
      </c>
      <c r="AC23" s="6" t="str">
        <f>IF(OR(AB23="",多次统计数据!$B$9=""),"",IF(多次统计数据!$B$9&lt;AB23,"低于上限","达到或超过上限"))</f>
        <v>低于上限</v>
      </c>
      <c r="AD23" s="23"/>
      <c r="AE23" s="5">
        <f t="shared" si="8"/>
        <v>0.0463592703465208</v>
      </c>
      <c r="AG23" s="23" t="s">
        <v>52</v>
      </c>
      <c r="AH23" s="23" t="s">
        <v>46</v>
      </c>
      <c r="AI23" s="23" t="s">
        <v>51</v>
      </c>
      <c r="AJ23" s="6" t="str">
        <f t="shared" si="9"/>
        <v>匹配</v>
      </c>
      <c r="AK23" s="26">
        <f>IF(A23="","",COUNTIFS(加仓管理!$A$2:$A$1001,A23,加仓管理!$G$2:$G$1001,"&gt;0"))</f>
        <v>3</v>
      </c>
      <c r="AL23" s="26">
        <f>IF(A23="","",SUMIFS(加仓管理!$G$2:$G$1001,加仓管理!$A$2:$A$1001,A23))</f>
        <v>6000</v>
      </c>
      <c r="AM23" s="27">
        <f>IF(AK23=0,"",IFERROR(LOOKUP(2,1/((加仓管理!$A$2:$A$1001=A23)*(加仓管理!$G$2:$G$1001&gt;0)),加仓管理!$D$2:$D$1001),""))</f>
        <v>24.96</v>
      </c>
      <c r="AN23" s="27">
        <f>IF(AK23=0,"",IFERROR(LOOKUP(2,1/((加仓管理!$A$2:$A$1001=A23)*(加仓管理!$G$2:$G$1001&gt;0)),加仓管理!$E$2:$E$1001),""))</f>
        <v>24</v>
      </c>
      <c r="AO23" s="27">
        <f>IF(OR(A23="",H23="",H23&lt;=0),"",(E23*H23+SUMIFS(加仓管理!$H$2:$H$1001,加仓管理!$A$2:$A$1001,A23))/AP23)</f>
        <v>23.3528735632184</v>
      </c>
      <c r="AP23" s="26">
        <f t="shared" si="10"/>
        <v>8700</v>
      </c>
      <c r="AQ23" s="27">
        <f>IF(A23="","",IF(M23&lt;&gt;"",0,IF(OR(H23="",N23=""),"",MAX((E23*H23+SUMIFS(加仓管理!$H$2:$H$1001,加仓管理!$A$2:$A$1001,A23))-MAX(N23,AN23)*AP23,0))))</f>
        <v>0</v>
      </c>
      <c r="AR23" s="27" t="str">
        <f ca="1"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>违规：请检查加仓管理表</v>
      </c>
    </row>
    <row r="24" ht="17" spans="1:44">
      <c r="A24" s="23">
        <v>23</v>
      </c>
      <c r="B24" s="23" t="s">
        <v>44</v>
      </c>
      <c r="C24" s="7">
        <v>242928</v>
      </c>
      <c r="D24" s="4">
        <v>0.02</v>
      </c>
      <c r="E24" s="7">
        <v>26.77</v>
      </c>
      <c r="F24" s="6">
        <f>IF(OR(C24="",D24="",E24="",N24="",C24&lt;=0,D24&lt;=0,E24&lt;=N24),"",ROUNDDOWN((C24*D24)/(E24-N24)/100,0)*100)</f>
        <v>2700</v>
      </c>
      <c r="G24" s="6" t="str">
        <f ca="1"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4" s="23">
        <v>2700</v>
      </c>
      <c r="I24" s="24">
        <v>44631</v>
      </c>
      <c r="J24" s="7">
        <v>22.73</v>
      </c>
      <c r="K24" s="7">
        <v>22.73</v>
      </c>
      <c r="L24" s="6">
        <f t="shared" si="1"/>
        <v>6700</v>
      </c>
      <c r="M24" s="24">
        <v>44665</v>
      </c>
      <c r="N24" s="7">
        <v>25</v>
      </c>
      <c r="O24" s="7"/>
      <c r="P24" s="7"/>
      <c r="Q24" s="23"/>
      <c r="R24" s="23"/>
      <c r="S24" s="23"/>
      <c r="T24" s="23"/>
      <c r="U24" s="5">
        <f t="shared" si="2"/>
        <v>-0.113757645237693</v>
      </c>
      <c r="V24" s="5">
        <f t="shared" si="3"/>
        <v>0.0252503797158968</v>
      </c>
      <c r="W24" s="25">
        <f t="shared" si="4"/>
        <v>-4.50518552661904</v>
      </c>
      <c r="X24" s="3">
        <f t="shared" si="5"/>
        <v>-19548</v>
      </c>
      <c r="Y24" s="5">
        <f t="shared" si="6"/>
        <v>-0.113757645237693</v>
      </c>
      <c r="Z24" s="5">
        <f>IF(OR(AE24="",多次统计数据!$B$8=""),"",AE24-多次统计数据!$B$8)</f>
        <v>-0.178678252922157</v>
      </c>
      <c r="AA24" s="8">
        <f t="shared" si="7"/>
        <v>34</v>
      </c>
      <c r="AB24" s="5">
        <f>IF(OR(A24="",多次统计数据!$B$8="",多次统计数据!$B$6&lt;=0,多次统计数据!$B$6&gt;=1),"",1-POWER(1+多次统计数据!$B$8,-多次统计数据!$B$6/(1-多次统计数据!$B$6)))</f>
        <v>0.0965082919530571</v>
      </c>
      <c r="AC24" s="6" t="str">
        <f>IF(OR(AB24="",多次统计数据!$B$9=""),"",IF(多次统计数据!$B$9&lt;AB24,"低于上限","达到或超过上限"))</f>
        <v>低于上限</v>
      </c>
      <c r="AD24" s="23"/>
      <c r="AE24" s="5">
        <f t="shared" si="8"/>
        <v>-0.0804682868998221</v>
      </c>
      <c r="AG24" s="23" t="s">
        <v>52</v>
      </c>
      <c r="AH24" s="23" t="s">
        <v>46</v>
      </c>
      <c r="AI24" s="23" t="s">
        <v>51</v>
      </c>
      <c r="AJ24" s="6" t="str">
        <f t="shared" si="9"/>
        <v>匹配</v>
      </c>
      <c r="AK24" s="26">
        <f>IF(A24="","",COUNTIFS(加仓管理!$A$2:$A$1001,A24,加仓管理!$G$2:$G$1001,"&gt;0"))</f>
        <v>2</v>
      </c>
      <c r="AL24" s="26">
        <f>IF(A24="","",SUMIFS(加仓管理!$G$2:$G$1001,加仓管理!$A$2:$A$1001,A24))</f>
        <v>4000</v>
      </c>
      <c r="AM24" s="27">
        <f>IF(AK24=0,"",IFERROR(LOOKUP(2,1/((加仓管理!$A$2:$A$1001=A24)*(加仓管理!$G$2:$G$1001&gt;0)),加仓管理!$D$2:$D$1001),""))</f>
        <v>24.85</v>
      </c>
      <c r="AN24" s="27">
        <f>IF(AK24=0,"",IFERROR(LOOKUP(2,1/((加仓管理!$A$2:$A$1001=A24)*(加仓管理!$G$2:$G$1001&gt;0)),加仓管理!$E$2:$E$1001),""))</f>
        <v>23</v>
      </c>
      <c r="AO24" s="27">
        <f>IF(OR(A24="",H24="",H24&lt;=0),"",(E24*H24+SUMIFS(加仓管理!$H$2:$H$1001,加仓管理!$A$2:$A$1001,A24))/AP24)</f>
        <v>25.6476119402985</v>
      </c>
      <c r="AP24" s="26">
        <f t="shared" si="10"/>
        <v>6700</v>
      </c>
      <c r="AQ24" s="27">
        <f>IF(A24="","",IF(M24&lt;&gt;"",0,IF(OR(H24="",N24=""),"",MAX((E24*H24+SUMIFS(加仓管理!$H$2:$H$1001,加仓管理!$A$2:$A$1001,A24))-MAX(N24,AN24)*AP24,0))))</f>
        <v>0</v>
      </c>
      <c r="AR24" s="27" t="str">
        <f ca="1"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>违规：请检查加仓管理表</v>
      </c>
    </row>
    <row r="25" ht="17" spans="1:44">
      <c r="A25" s="23">
        <v>24</v>
      </c>
      <c r="B25" s="23" t="s">
        <v>44</v>
      </c>
      <c r="C25" s="7">
        <v>223380</v>
      </c>
      <c r="D25" s="4">
        <v>0.02</v>
      </c>
      <c r="E25" s="7">
        <v>17.9</v>
      </c>
      <c r="F25" s="6">
        <f t="shared" si="0"/>
        <v>3700</v>
      </c>
      <c r="G25" s="6" t="str">
        <f ca="1"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5" s="23">
        <v>3700</v>
      </c>
      <c r="I25" s="24">
        <v>44707</v>
      </c>
      <c r="J25" s="7">
        <v>20</v>
      </c>
      <c r="K25" s="7">
        <v>19.82</v>
      </c>
      <c r="L25" s="6">
        <f t="shared" si="1"/>
        <v>11200</v>
      </c>
      <c r="M25" s="24">
        <v>44804</v>
      </c>
      <c r="N25" s="7">
        <v>16.7</v>
      </c>
      <c r="O25" s="7"/>
      <c r="P25" s="7"/>
      <c r="Q25" s="23"/>
      <c r="R25" s="23"/>
      <c r="S25" s="23"/>
      <c r="T25" s="23"/>
      <c r="U25" s="5">
        <f t="shared" si="2"/>
        <v>0.0709504685408299</v>
      </c>
      <c r="V25" s="5">
        <f t="shared" si="3"/>
        <v>0.105756358768407</v>
      </c>
      <c r="W25" s="25">
        <f t="shared" si="4"/>
        <v>0.670886075949366</v>
      </c>
      <c r="X25" s="3">
        <f t="shared" si="5"/>
        <v>12824</v>
      </c>
      <c r="Y25" s="5">
        <f t="shared" si="6"/>
        <v>0.0613119143239625</v>
      </c>
      <c r="Z25" s="5">
        <f>IF(OR(AE25="",多次统计数据!$B$8=""),"",AE25-多次统计数据!$B$8)</f>
        <v>-0.0408010663894221</v>
      </c>
      <c r="AA25" s="8">
        <f t="shared" si="7"/>
        <v>97</v>
      </c>
      <c r="AB25" s="5">
        <f>IF(OR(A25="",多次统计数据!$B$8="",多次统计数据!$B$6&lt;=0,多次统计数据!$B$6&gt;=1),"",1-POWER(1+多次统计数据!$B$8,-多次统计数据!$B$6/(1-多次统计数据!$B$6)))</f>
        <v>0.0965082919530571</v>
      </c>
      <c r="AC25" s="6" t="str">
        <f>IF(OR(AB25="",多次统计数据!$B$9=""),"",IF(多次统计数据!$B$9&lt;AB25,"低于上限","达到或超过上限"))</f>
        <v>低于上限</v>
      </c>
      <c r="AD25" s="23"/>
      <c r="AE25" s="5">
        <f t="shared" si="8"/>
        <v>0.0574088996329125</v>
      </c>
      <c r="AG25" s="23" t="s">
        <v>48</v>
      </c>
      <c r="AH25" s="23" t="s">
        <v>49</v>
      </c>
      <c r="AI25" s="23" t="s">
        <v>51</v>
      </c>
      <c r="AJ25" s="6" t="str">
        <f t="shared" si="9"/>
        <v>匹配</v>
      </c>
      <c r="AK25" s="26">
        <f>IF(A25="","",COUNTIFS(加仓管理!$A$2:$A$1001,A25,加仓管理!$G$2:$G$1001,"&gt;0"))</f>
        <v>4</v>
      </c>
      <c r="AL25" s="26">
        <f>IF(A25="","",SUMIFS(加仓管理!$G$2:$G$1001,加仓管理!$A$2:$A$1001,A25))</f>
        <v>7500</v>
      </c>
      <c r="AM25" s="27">
        <f>IF(AK25=0,"",IFERROR(LOOKUP(2,1/((加仓管理!$A$2:$A$1001=A25)*(加仓管理!$G$2:$G$1001&gt;0)),加仓管理!$D$2:$D$1001),""))</f>
        <v>17.34</v>
      </c>
      <c r="AN25" s="27">
        <f>IF(AK25=0,"",IFERROR(LOOKUP(2,1/((加仓管理!$A$2:$A$1001=A25)*(加仓管理!$G$2:$G$1001&gt;0)),加仓管理!$E$2:$E$1001),""))</f>
        <v>17</v>
      </c>
      <c r="AO25" s="27">
        <f>IF(OR(A25="",H25="",H25&lt;=0),"",(E25*H25+SUMIFS(加仓管理!$H$2:$H$1001,加仓管理!$A$2:$A$1001,A25))/AP25)</f>
        <v>18.675</v>
      </c>
      <c r="AP25" s="26">
        <f t="shared" si="10"/>
        <v>11200</v>
      </c>
      <c r="AQ25" s="27">
        <f>IF(A25="","",IF(M25&lt;&gt;"",0,IF(OR(H25="",N25=""),"",MAX((E25*H25+SUMIFS(加仓管理!$H$2:$H$1001,加仓管理!$A$2:$A$1001,A25))-MAX(N25,AN25)*AP25,0))))</f>
        <v>0</v>
      </c>
      <c r="AR25" s="27" t="str">
        <f ca="1"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>违规：请检查加仓管理表</v>
      </c>
    </row>
    <row r="26" s="20" customFormat="1" ht="17" spans="1:44">
      <c r="A26" s="28">
        <v>25</v>
      </c>
      <c r="B26" s="28" t="s">
        <v>44</v>
      </c>
      <c r="C26" s="29">
        <v>236204</v>
      </c>
      <c r="D26" s="30">
        <v>0.02</v>
      </c>
      <c r="E26" s="29">
        <v>21.48</v>
      </c>
      <c r="F26" s="31">
        <f t="shared" si="0"/>
        <v>2300</v>
      </c>
      <c r="G26" s="31" t="str">
        <f ca="1"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6" s="28">
        <v>2300</v>
      </c>
      <c r="I26" s="32">
        <v>44806</v>
      </c>
      <c r="J26" s="29">
        <v>25</v>
      </c>
      <c r="K26" s="29">
        <v>14.19</v>
      </c>
      <c r="L26" s="31">
        <f t="shared" si="1"/>
        <v>12300</v>
      </c>
      <c r="M26" s="32">
        <v>45175</v>
      </c>
      <c r="N26" s="29">
        <v>19.5</v>
      </c>
      <c r="O26" s="29"/>
      <c r="P26" s="29"/>
      <c r="Q26" s="28"/>
      <c r="R26" s="28"/>
      <c r="S26" s="28"/>
      <c r="T26" s="28"/>
      <c r="U26" s="33">
        <f t="shared" si="2"/>
        <v>0.365671244070988</v>
      </c>
      <c r="V26" s="33">
        <f t="shared" si="3"/>
        <v>-0.0652235703753709</v>
      </c>
      <c r="W26" s="34" t="str">
        <f t="shared" si="4"/>
        <v/>
      </c>
      <c r="X26" s="35">
        <f t="shared" si="5"/>
        <v>-50627</v>
      </c>
      <c r="Y26" s="33">
        <f t="shared" si="6"/>
        <v>-0.224845001865307</v>
      </c>
      <c r="Z26" s="33">
        <f>IF(OR(AE26="",多次统计数据!$B$8=""),"",AE26-多次统计数据!$B$8)</f>
        <v>-0.312545879046669</v>
      </c>
      <c r="AA26" s="36">
        <f t="shared" si="7"/>
        <v>369</v>
      </c>
      <c r="AB26" s="33">
        <f>IF(OR(A26="",多次统计数据!$B$8="",多次统计数据!$B$6&lt;=0,多次统计数据!$B$6&gt;=1),"",1-POWER(1+多次统计数据!$B$8,-多次统计数据!$B$6/(1-多次统计数据!$B$6)))</f>
        <v>0.0965082919530571</v>
      </c>
      <c r="AC26" s="31" t="str">
        <f>IF(OR(AB26="",多次统计数据!$B$9=""),"",IF(多次统计数据!$B$9&lt;AB26,"低于上限","达到或超过上限"))</f>
        <v>低于上限</v>
      </c>
      <c r="AD26" s="28"/>
      <c r="AE26" s="33">
        <f t="shared" si="8"/>
        <v>-0.214335913024335</v>
      </c>
      <c r="AG26" s="28" t="s">
        <v>45</v>
      </c>
      <c r="AH26" s="28" t="s">
        <v>54</v>
      </c>
      <c r="AI26" s="28" t="s">
        <v>51</v>
      </c>
      <c r="AJ26" s="31" t="str">
        <f t="shared" si="9"/>
        <v>匹配</v>
      </c>
      <c r="AK26" s="37">
        <f>IF(A26="","",COUNTIFS(加仓管理!$A$2:$A$1001,A26,加仓管理!$G$2:$G$1001,"&gt;0"))</f>
        <v>4</v>
      </c>
      <c r="AL26" s="37">
        <f>IF(A26="","",SUMIFS(加仓管理!$G$2:$G$1001,加仓管理!$A$2:$A$1001,A26))</f>
        <v>10000</v>
      </c>
      <c r="AM26" s="38">
        <f>IF(AK26=0,"",IFERROR(LOOKUP(2,1/((加仓管理!$A$2:$A$1001=A26)*(加仓管理!$G$2:$G$1001&gt;0)),加仓管理!$D$2:$D$1001),""))</f>
        <v>16.37</v>
      </c>
      <c r="AN26" s="38">
        <f>IF(AK26=0,"",IFERROR(LOOKUP(2,1/((加仓管理!$A$2:$A$1001=A26)*(加仓管理!$G$2:$G$1001&gt;0)),加仓管理!$E$2:$E$1001),""))</f>
        <v>15.12</v>
      </c>
      <c r="AO26" s="38">
        <f>IF(OR(A26="",H26="",H26&lt;=0),"",(E26*H26+SUMIFS(加仓管理!$H$2:$H$1001,加仓管理!$A$2:$A$1001,A26))/AP26)</f>
        <v>18.3060162601626</v>
      </c>
      <c r="AP26" s="37">
        <f t="shared" si="10"/>
        <v>12300</v>
      </c>
      <c r="AQ26" s="38">
        <f>IF(A26="","",IF(M26&lt;&gt;"",0,IF(OR(H26="",N26=""),"",MAX((E26*H26+SUMIFS(加仓管理!$H$2:$H$1001,加仓管理!$A$2:$A$1001,A26))-MAX(N26,AN26)*AP26,0))))</f>
        <v>0</v>
      </c>
      <c r="AR26" s="38" t="str">
        <f ca="1"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>违规：请检查加仓管理表</v>
      </c>
    </row>
    <row r="27" ht="17" spans="1:44">
      <c r="A27" s="23">
        <v>26</v>
      </c>
      <c r="B27" s="23" t="s">
        <v>44</v>
      </c>
      <c r="C27" s="7">
        <v>185577</v>
      </c>
      <c r="D27" s="4">
        <v>0.02</v>
      </c>
      <c r="E27" s="7">
        <v>14.19</v>
      </c>
      <c r="F27" s="6">
        <f t="shared" si="0"/>
        <v>3100</v>
      </c>
      <c r="G27" s="6" t="str">
        <f ca="1"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7" s="23">
        <v>3100</v>
      </c>
      <c r="I27" s="24">
        <v>45175</v>
      </c>
      <c r="J27" s="7">
        <v>15</v>
      </c>
      <c r="K27" s="7">
        <v>17.12</v>
      </c>
      <c r="L27" s="6">
        <f t="shared" si="1"/>
        <v>13100</v>
      </c>
      <c r="M27" s="24">
        <v>45558</v>
      </c>
      <c r="N27" s="7">
        <v>13</v>
      </c>
      <c r="O27" s="7"/>
      <c r="P27" s="7"/>
      <c r="Q27" s="23"/>
      <c r="R27" s="23"/>
      <c r="S27" s="23"/>
      <c r="T27" s="23"/>
      <c r="U27" s="5">
        <f t="shared" si="2"/>
        <v>0.064527138670235</v>
      </c>
      <c r="V27" s="5">
        <f t="shared" si="3"/>
        <v>0.077409813152463</v>
      </c>
      <c r="W27" s="25">
        <f t="shared" si="4"/>
        <v>0.833578276996292</v>
      </c>
      <c r="X27" s="3">
        <f t="shared" si="5"/>
        <v>39683</v>
      </c>
      <c r="Y27" s="5">
        <f t="shared" si="6"/>
        <v>0.214980307602295</v>
      </c>
      <c r="Z27" s="5">
        <f>IF(OR(AE27="",多次统计数据!$B$8=""),"",AE27-多次统计数据!$B$8)</f>
        <v>0.115625800263358</v>
      </c>
      <c r="AA27" s="8">
        <f t="shared" si="7"/>
        <v>383</v>
      </c>
      <c r="AB27" s="5">
        <f>IF(OR(A27="",多次统计数据!$B$8="",多次统计数据!$B$6&lt;=0,多次统计数据!$B$6&gt;=1),"",1-POWER(1+多次统计数据!$B$8,-多次统计数据!$B$6/(1-多次统计数据!$B$6)))</f>
        <v>0.0965082919530571</v>
      </c>
      <c r="AC27" s="6" t="str">
        <f>IF(OR(AB27="",多次统计数据!$B$9=""),"",IF(多次统计数据!$B$9&lt;AB27,"低于上限","达到或超过上限"))</f>
        <v>低于上限</v>
      </c>
      <c r="AD27" s="23"/>
      <c r="AE27" s="5">
        <f t="shared" si="8"/>
        <v>0.213835766285693</v>
      </c>
      <c r="AG27" s="23" t="s">
        <v>45</v>
      </c>
      <c r="AH27" s="23" t="s">
        <v>46</v>
      </c>
      <c r="AI27" s="23" t="s">
        <v>51</v>
      </c>
      <c r="AJ27" s="6" t="str">
        <f t="shared" si="9"/>
        <v>匹配</v>
      </c>
      <c r="AK27" s="26">
        <f>IF(A27="","",COUNTIFS(加仓管理!$A$2:$A$1001,A27,加仓管理!$G$2:$G$1001,"&gt;0"))</f>
        <v>3</v>
      </c>
      <c r="AL27" s="26">
        <f>IF(A27="","",SUMIFS(加仓管理!$G$2:$G$1001,加仓管理!$A$2:$A$1001,A27))</f>
        <v>10000</v>
      </c>
      <c r="AM27" s="27">
        <f>IF(AK27=0,"",IFERROR(LOOKUP(2,1/((加仓管理!$A$2:$A$1001=A27)*(加仓管理!$G$2:$G$1001&gt;0)),加仓管理!$D$2:$D$1001),""))</f>
        <v>13.32</v>
      </c>
      <c r="AN27" s="27">
        <f>IF(AK27=0,"",IFERROR(LOOKUP(2,1/((加仓管理!$A$2:$A$1001=A27)*(加仓管理!$G$2:$G$1001&gt;0)),加仓管理!$E$2:$E$1001),""))</f>
        <v>13</v>
      </c>
      <c r="AO27" s="27">
        <f>IF(OR(A27="",H27="",H27&lt;=0),"",(E27*H27+SUMIFS(加仓管理!$H$2:$H$1001,加仓管理!$A$2:$A$1001,A27))/AP27)</f>
        <v>14.0907633587786</v>
      </c>
      <c r="AP27" s="26">
        <f t="shared" si="10"/>
        <v>13100</v>
      </c>
      <c r="AQ27" s="27">
        <f>IF(A27="","",IF(M27&lt;&gt;"",0,IF(OR(H27="",N27=""),"",MAX((E27*H27+SUMIFS(加仓管理!$H$2:$H$1001,加仓管理!$A$2:$A$1001,A27))-MAX(N27,AN27)*AP27,0))))</f>
        <v>0</v>
      </c>
      <c r="AR27" s="27" t="str">
        <f ca="1"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>违规：请检查加仓管理表</v>
      </c>
    </row>
    <row r="28" ht="17" spans="1:44">
      <c r="A28" s="23">
        <v>27</v>
      </c>
      <c r="B28" s="23" t="s">
        <v>44</v>
      </c>
      <c r="C28" s="7">
        <v>225260</v>
      </c>
      <c r="D28" s="4">
        <v>0.02</v>
      </c>
      <c r="E28" s="7">
        <v>21.1</v>
      </c>
      <c r="F28" s="6">
        <f t="shared" si="0"/>
        <v>4000</v>
      </c>
      <c r="G28" s="6" t="str">
        <f ca="1"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8" s="23">
        <v>4000</v>
      </c>
      <c r="I28" s="24">
        <v>45574</v>
      </c>
      <c r="J28" s="7">
        <v>25</v>
      </c>
      <c r="K28" s="7">
        <v>20</v>
      </c>
      <c r="L28" s="6">
        <f t="shared" si="1"/>
        <v>8000</v>
      </c>
      <c r="M28" s="24">
        <v>45618</v>
      </c>
      <c r="N28" s="7">
        <v>20</v>
      </c>
      <c r="O28" s="7"/>
      <c r="P28" s="7"/>
      <c r="Q28" s="23"/>
      <c r="R28" s="23"/>
      <c r="S28" s="23"/>
      <c r="T28" s="23"/>
      <c r="U28" s="5">
        <f t="shared" si="2"/>
        <v>0.159285879897983</v>
      </c>
      <c r="V28" s="5">
        <f t="shared" si="3"/>
        <v>0.0725712960816138</v>
      </c>
      <c r="W28" s="25">
        <f t="shared" si="4"/>
        <v>2.19488817891373</v>
      </c>
      <c r="X28" s="3">
        <f t="shared" si="5"/>
        <v>-12520</v>
      </c>
      <c r="Y28" s="5">
        <f t="shared" si="6"/>
        <v>-0.0725712960816138</v>
      </c>
      <c r="Z28" s="5">
        <f>IF(OR(AE28="",多次统计数据!$B$8=""),"",AE28-多次统计数据!$B$8)</f>
        <v>-0.153790184436611</v>
      </c>
      <c r="AA28" s="8">
        <f t="shared" si="7"/>
        <v>44</v>
      </c>
      <c r="AB28" s="5">
        <f>IF(OR(A28="",多次统计数据!$B$8="",多次统计数据!$B$6&lt;=0,多次统计数据!$B$6&gt;=1),"",1-POWER(1+多次统计数据!$B$8,-多次统计数据!$B$6/(1-多次统计数据!$B$6)))</f>
        <v>0.0965082919530571</v>
      </c>
      <c r="AC28" s="6" t="str">
        <f>IF(OR(AB28="",多次统计数据!$B$9=""),"",IF(多次统计数据!$B$9&lt;AB28,"低于上限","达到或超过上限"))</f>
        <v>低于上限</v>
      </c>
      <c r="AD28" s="23"/>
      <c r="AE28" s="5">
        <f t="shared" si="8"/>
        <v>-0.0555802184142769</v>
      </c>
      <c r="AG28" s="23" t="s">
        <v>52</v>
      </c>
      <c r="AH28" s="23" t="s">
        <v>46</v>
      </c>
      <c r="AI28" s="23" t="s">
        <v>51</v>
      </c>
      <c r="AJ28" s="6" t="str">
        <f t="shared" si="9"/>
        <v>匹配</v>
      </c>
      <c r="AK28" s="26">
        <f>IF(A28="","",COUNTIFS(加仓管理!$A$2:$A$1001,A28,加仓管理!$G$2:$G$1001,"&gt;0"))</f>
        <v>2</v>
      </c>
      <c r="AL28" s="26">
        <f>IF(A28="","",SUMIFS(加仓管理!$G$2:$G$1001,加仓管理!$A$2:$A$1001,A28))</f>
        <v>4000</v>
      </c>
      <c r="AM28" s="27">
        <f>IF(AK28=0,"",IFERROR(LOOKUP(2,1/((加仓管理!$A$2:$A$1001=A28)*(加仓管理!$G$2:$G$1001&gt;0)),加仓管理!$D$2:$D$1001),""))</f>
        <v>21.22</v>
      </c>
      <c r="AN28" s="27">
        <f>IF(AK28=0,"",IFERROR(LOOKUP(2,1/((加仓管理!$A$2:$A$1001=A28)*(加仓管理!$G$2:$G$1001&gt;0)),加仓管理!$E$2:$E$1001),""))</f>
        <v>21</v>
      </c>
      <c r="AO28" s="27">
        <f>IF(OR(A28="",H28="",H28&lt;=0),"",(E28*H28+SUMIFS(加仓管理!$H$2:$H$1001,加仓管理!$A$2:$A$1001,A28))/AP28)</f>
        <v>21.565</v>
      </c>
      <c r="AP28" s="26">
        <f t="shared" si="10"/>
        <v>8000</v>
      </c>
      <c r="AQ28" s="27">
        <f>IF(A28="","",IF(M28&lt;&gt;"",0,IF(OR(H28="",N28=""),"",MAX((E28*H28+SUMIFS(加仓管理!$H$2:$H$1001,加仓管理!$A$2:$A$1001,A28))-MAX(N28,AN28)*AP28,0))))</f>
        <v>0</v>
      </c>
      <c r="AR28" s="27" t="str">
        <f ca="1"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>违规：请检查加仓管理表</v>
      </c>
    </row>
    <row r="29" ht="17" spans="1:44">
      <c r="A29" s="23">
        <v>28</v>
      </c>
      <c r="B29" s="23" t="s">
        <v>44</v>
      </c>
      <c r="C29" s="7">
        <v>212740</v>
      </c>
      <c r="D29" s="4">
        <v>0.02</v>
      </c>
      <c r="E29" s="7">
        <v>20.82</v>
      </c>
      <c r="F29" s="6">
        <f t="shared" si="0"/>
        <v>3200</v>
      </c>
      <c r="G29" s="6" t="str">
        <f ca="1"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9" s="23">
        <v>3200</v>
      </c>
      <c r="I29" s="24">
        <v>45694</v>
      </c>
      <c r="J29" s="7">
        <v>25</v>
      </c>
      <c r="K29" s="7">
        <v>20.64</v>
      </c>
      <c r="L29" s="6">
        <f t="shared" si="1"/>
        <v>10200</v>
      </c>
      <c r="M29" s="24">
        <v>45824</v>
      </c>
      <c r="N29" s="7">
        <v>19.5</v>
      </c>
      <c r="O29" s="7"/>
      <c r="P29" s="7"/>
      <c r="Q29" s="23"/>
      <c r="R29" s="23"/>
      <c r="S29" s="23"/>
      <c r="T29" s="23"/>
      <c r="U29" s="5">
        <f t="shared" si="2"/>
        <v>0.237960229920771</v>
      </c>
      <c r="V29" s="5">
        <f t="shared" si="3"/>
        <v>0.034391020661799</v>
      </c>
      <c r="W29" s="25">
        <f t="shared" si="4"/>
        <v>6.91925465838508</v>
      </c>
      <c r="X29" s="3">
        <f t="shared" si="5"/>
        <v>4544</v>
      </c>
      <c r="Y29" s="5">
        <f t="shared" si="6"/>
        <v>0.0220599658225882</v>
      </c>
      <c r="Z29" s="5">
        <f>IF(OR(AE29="",多次统计数据!$B$8=""),"",AE29-多次统计数据!$B$8)</f>
        <v>-0.0768505601748212</v>
      </c>
      <c r="AA29" s="8">
        <f t="shared" si="7"/>
        <v>130</v>
      </c>
      <c r="AB29" s="5">
        <f>IF(OR(A29="",多次统计数据!$B$8="",多次统计数据!$B$6&lt;=0,多次统计数据!$B$6&gt;=1),"",1-POWER(1+多次统计数据!$B$8,-多次统计数据!$B$6/(1-多次统计数据!$B$6)))</f>
        <v>0.0965082919530571</v>
      </c>
      <c r="AC29" s="6" t="str">
        <f>IF(OR(AB29="",多次统计数据!$B$9=""),"",IF(多次统计数据!$B$9&lt;AB29,"低于上限","达到或超过上限"))</f>
        <v>低于上限</v>
      </c>
      <c r="AD29" s="23"/>
      <c r="AE29" s="5">
        <f t="shared" si="8"/>
        <v>0.0213594058475134</v>
      </c>
      <c r="AG29" s="23" t="s">
        <v>45</v>
      </c>
      <c r="AH29" s="23" t="s">
        <v>54</v>
      </c>
      <c r="AI29" s="23" t="s">
        <v>51</v>
      </c>
      <c r="AJ29" s="6" t="str">
        <f t="shared" si="9"/>
        <v>匹配</v>
      </c>
      <c r="AK29" s="26">
        <f>IF(A29="","",COUNTIFS(加仓管理!$A$2:$A$1001,A29,加仓管理!$G$2:$G$1001,"&gt;0"))</f>
        <v>3</v>
      </c>
      <c r="AL29" s="26">
        <f>IF(A29="","",SUMIFS(加仓管理!$G$2:$G$1001,加仓管理!$A$2:$A$1001,A29))</f>
        <v>7000</v>
      </c>
      <c r="AM29" s="27">
        <f>IF(AK29=0,"",IFERROR(LOOKUP(2,1/((加仓管理!$A$2:$A$1001=A29)*(加仓管理!$G$2:$G$1001&gt;0)),加仓管理!$D$2:$D$1001),""))</f>
        <v>21.78</v>
      </c>
      <c r="AN29" s="27">
        <f>IF(AK29=0,"",IFERROR(LOOKUP(2,1/((加仓管理!$A$2:$A$1001=A29)*(加仓管理!$G$2:$G$1001&gt;0)),加仓管理!$E$2:$E$1001),""))</f>
        <v>20.5</v>
      </c>
      <c r="AO29" s="27">
        <f>IF(OR(A29="",H29="",H29&lt;=0),"",(E29*H29+SUMIFS(加仓管理!$H$2:$H$1001,加仓管理!$A$2:$A$1001,A29))/AP29)</f>
        <v>20.1945098039216</v>
      </c>
      <c r="AP29" s="26">
        <f t="shared" si="10"/>
        <v>10200</v>
      </c>
      <c r="AQ29" s="27">
        <f>IF(A29="","",IF(M29&lt;&gt;"",0,IF(OR(H29="",N29=""),"",MAX((E29*H29+SUMIFS(加仓管理!$H$2:$H$1001,加仓管理!$A$2:$A$1001,A29))-MAX(N29,AN29)*AP29,0))))</f>
        <v>0</v>
      </c>
      <c r="AR29" s="27" t="str">
        <f ca="1"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>违规：请检查加仓管理表</v>
      </c>
    </row>
    <row r="30" ht="17" spans="1:44">
      <c r="A30" s="23">
        <v>29</v>
      </c>
      <c r="B30" s="23" t="s">
        <v>55</v>
      </c>
      <c r="C30" s="7">
        <v>217284</v>
      </c>
      <c r="D30" s="4">
        <v>0.02</v>
      </c>
      <c r="E30" s="7">
        <v>11.88</v>
      </c>
      <c r="F30" s="6">
        <f t="shared" si="0"/>
        <v>4900</v>
      </c>
      <c r="G30" s="6" t="str">
        <f ca="1"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0" s="23">
        <v>4900</v>
      </c>
      <c r="I30" s="24">
        <v>41962</v>
      </c>
      <c r="J30" s="7">
        <v>14</v>
      </c>
      <c r="K30" s="7">
        <v>11.13</v>
      </c>
      <c r="L30" s="6">
        <f t="shared" si="1"/>
        <v>4900</v>
      </c>
      <c r="M30" s="24">
        <v>41974</v>
      </c>
      <c r="N30" s="7">
        <v>11</v>
      </c>
      <c r="O30" s="7"/>
      <c r="P30" s="7"/>
      <c r="Q30" s="23"/>
      <c r="R30" s="23"/>
      <c r="S30" s="23"/>
      <c r="T30" s="23"/>
      <c r="U30" s="5">
        <f t="shared" si="2"/>
        <v>0.178451178451178</v>
      </c>
      <c r="V30" s="5">
        <f t="shared" si="3"/>
        <v>0.0740740740740741</v>
      </c>
      <c r="W30" s="25">
        <f t="shared" si="4"/>
        <v>2.40909090909091</v>
      </c>
      <c r="X30" s="3">
        <f t="shared" si="5"/>
        <v>-3675</v>
      </c>
      <c r="Y30" s="5">
        <f t="shared" si="6"/>
        <v>-0.0631313131313131</v>
      </c>
      <c r="Z30" s="5">
        <f>IF(OR(AE30="",多次统计数据!$B$8=""),"",AE30-多次统计数据!$B$8)</f>
        <v>-0.115123314451119</v>
      </c>
      <c r="AA30" s="8">
        <f t="shared" si="7"/>
        <v>12</v>
      </c>
      <c r="AB30" s="5">
        <f>IF(OR(A30="",多次统计数据!$B$8="",多次统计数据!$B$6&lt;=0,多次统计数据!$B$6&gt;=1),"",1-POWER(1+多次统计数据!$B$8,-多次统计数据!$B$6/(1-多次统计数据!$B$6)))</f>
        <v>0.0965082919530571</v>
      </c>
      <c r="AC30" s="6" t="str">
        <f>IF(OR(AB30="",多次统计数据!$B$9=""),"",IF(多次统计数据!$B$9&lt;AB30,"低于上限","达到或超过上限"))</f>
        <v>低于上限</v>
      </c>
      <c r="AD30" s="23"/>
      <c r="AE30" s="5">
        <f t="shared" si="8"/>
        <v>-0.0169133484287844</v>
      </c>
      <c r="AG30" s="23" t="s">
        <v>52</v>
      </c>
      <c r="AH30" s="23" t="s">
        <v>49</v>
      </c>
      <c r="AI30" s="23" t="s">
        <v>53</v>
      </c>
      <c r="AJ30" s="6" t="str">
        <f t="shared" si="9"/>
        <v>匹配</v>
      </c>
      <c r="AK30" s="26">
        <f>IF(A30="","",COUNTIFS(加仓管理!$A$2:$A$1001,A30,加仓管理!$G$2:$G$1001,"&gt;0"))</f>
        <v>0</v>
      </c>
      <c r="AL30" s="26">
        <f>IF(A30="","",SUMIFS(加仓管理!$G$2:$G$1001,加仓管理!$A$2:$A$1001,A30))</f>
        <v>0</v>
      </c>
      <c r="AM30" s="27" t="str">
        <f>IF(AK30=0,"",IFERROR(LOOKUP(2,1/((加仓管理!$A$2:$A$1001=A30)*(加仓管理!$G$2:$G$1001&gt;0)),加仓管理!$D$2:$D$1001),""))</f>
        <v/>
      </c>
      <c r="AN30" s="27" t="str">
        <f>IF(AK30=0,"",IFERROR(LOOKUP(2,1/((加仓管理!$A$2:$A$1001=A30)*(加仓管理!$G$2:$G$1001&gt;0)),加仓管理!$E$2:$E$1001),""))</f>
        <v/>
      </c>
      <c r="AO30" s="27">
        <f>IF(OR(A30="",H30="",H30&lt;=0),"",(E30*H30+SUMIFS(加仓管理!$H$2:$H$1001,加仓管理!$A$2:$A$1001,A30))/AP30)</f>
        <v>11.88</v>
      </c>
      <c r="AP30" s="26">
        <f t="shared" si="10"/>
        <v>4900</v>
      </c>
      <c r="AQ30" s="27">
        <f>IF(A30="","",IF(M30&lt;&gt;"",0,IF(OR(H30="",N30=""),"",MAX((E30*H30+SUMIFS(加仓管理!$H$2:$H$1001,加仓管理!$A$2:$A$1001,A30))-MAX(N30,AN30)*AP30,0))))</f>
        <v>0</v>
      </c>
      <c r="AR30" s="27" t="str">
        <f ca="1"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>通过</v>
      </c>
    </row>
    <row r="31" ht="17" spans="1:44">
      <c r="A31" s="23">
        <v>30</v>
      </c>
      <c r="B31" s="23" t="s">
        <v>55</v>
      </c>
      <c r="C31" s="7">
        <v>213609</v>
      </c>
      <c r="D31" s="4">
        <v>0.02</v>
      </c>
      <c r="E31" s="7">
        <v>10.24</v>
      </c>
      <c r="F31" s="6">
        <f t="shared" si="0"/>
        <v>5700</v>
      </c>
      <c r="G31" s="6" t="str">
        <f ca="1"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1" s="23">
        <v>5700</v>
      </c>
      <c r="I31" s="24">
        <v>41988</v>
      </c>
      <c r="J31" s="7">
        <v>12</v>
      </c>
      <c r="K31" s="7">
        <v>14.7</v>
      </c>
      <c r="L31" s="6">
        <f t="shared" si="1"/>
        <v>19700</v>
      </c>
      <c r="M31" s="24">
        <v>42122</v>
      </c>
      <c r="N31" s="7">
        <v>9.5</v>
      </c>
      <c r="O31" s="7"/>
      <c r="P31" s="7"/>
      <c r="Q31" s="23"/>
      <c r="R31" s="23"/>
      <c r="S31" s="23"/>
      <c r="T31" s="23"/>
      <c r="U31" s="5">
        <f t="shared" si="2"/>
        <v>0.131761123718151</v>
      </c>
      <c r="V31" s="5">
        <f t="shared" si="3"/>
        <v>0.10402244372313</v>
      </c>
      <c r="W31" s="25">
        <f t="shared" si="4"/>
        <v>1.26666053019146</v>
      </c>
      <c r="X31" s="3">
        <f t="shared" si="5"/>
        <v>80712</v>
      </c>
      <c r="Y31" s="5">
        <f t="shared" si="6"/>
        <v>0.386407376554735</v>
      </c>
      <c r="Z31" s="5">
        <f>IF(OR(AE31="",多次统计数据!$B$8=""),"",AE31-多次统计数据!$B$8)</f>
        <v>0.279639281902612</v>
      </c>
      <c r="AA31" s="8">
        <f t="shared" si="7"/>
        <v>134</v>
      </c>
      <c r="AB31" s="5">
        <f>IF(OR(A31="",多次统计数据!$B$8="",多次统计数据!$B$6&lt;=0,多次统计数据!$B$6&gt;=1),"",1-POWER(1+多次统计数据!$B$8,-多次统计数据!$B$6/(1-多次统计数据!$B$6)))</f>
        <v>0.0965082919530571</v>
      </c>
      <c r="AC31" s="6" t="str">
        <f>IF(OR(AB31="",多次统计数据!$B$9=""),"",IF(多次统计数据!$B$9&lt;AB31,"低于上限","达到或超过上限"))</f>
        <v>低于上限</v>
      </c>
      <c r="AD31" s="23"/>
      <c r="AE31" s="5">
        <f t="shared" si="8"/>
        <v>0.377849247924947</v>
      </c>
      <c r="AG31" s="23" t="s">
        <v>45</v>
      </c>
      <c r="AH31" s="23" t="s">
        <v>46</v>
      </c>
      <c r="AI31" s="23" t="s">
        <v>51</v>
      </c>
      <c r="AJ31" s="6" t="str">
        <f t="shared" si="9"/>
        <v>匹配</v>
      </c>
      <c r="AK31" s="26">
        <f>IF(A31="","",COUNTIFS(加仓管理!$A$2:$A$1001,A31,加仓管理!$G$2:$G$1001,"&gt;0"))</f>
        <v>5</v>
      </c>
      <c r="AL31" s="26">
        <f>IF(A31="","",SUMIFS(加仓管理!$G$2:$G$1001,加仓管理!$A$2:$A$1001,A31))</f>
        <v>14000</v>
      </c>
      <c r="AM31" s="27">
        <f>IF(AK31=0,"",IFERROR(LOOKUP(2,1/((加仓管理!$A$2:$A$1001=A31)*(加仓管理!$G$2:$G$1001&gt;0)),加仓管理!$D$2:$D$1001),""))</f>
        <v>10.99</v>
      </c>
      <c r="AN31" s="27">
        <f>IF(AK31=0,"",IFERROR(LOOKUP(2,1/((加仓管理!$A$2:$A$1001=A31)*(加仓管理!$G$2:$G$1001&gt;0)),加仓管理!$E$2:$E$1001),""))</f>
        <v>10.5</v>
      </c>
      <c r="AO31" s="27">
        <f>IF(OR(A31="",H31="",H31&lt;=0),"",(E31*H31+SUMIFS(加仓管理!$H$2:$H$1001,加仓管理!$A$2:$A$1001,A31))/AP31)</f>
        <v>10.6029441624365</v>
      </c>
      <c r="AP31" s="26">
        <f t="shared" si="10"/>
        <v>19700</v>
      </c>
      <c r="AQ31" s="27">
        <f>IF(A31="","",IF(M31&lt;&gt;"",0,IF(OR(H31="",N31=""),"",MAX((E31*H31+SUMIFS(加仓管理!$H$2:$H$1001,加仓管理!$A$2:$A$1001,A31))-MAX(N31,AN31)*AP31,0))))</f>
        <v>0</v>
      </c>
      <c r="AR31" s="27" t="str">
        <f ca="1"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>违规：请检查加仓管理表</v>
      </c>
    </row>
    <row r="32" ht="17" spans="1:44">
      <c r="A32" s="23">
        <v>31</v>
      </c>
      <c r="B32" s="23" t="s">
        <v>55</v>
      </c>
      <c r="C32" s="7">
        <v>294321</v>
      </c>
      <c r="D32" s="4">
        <v>0.02</v>
      </c>
      <c r="E32" s="7">
        <v>15.71</v>
      </c>
      <c r="F32" s="6">
        <f t="shared" si="0"/>
        <v>8200</v>
      </c>
      <c r="G32" s="6" t="str">
        <f ca="1"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2" s="23">
        <v>8200</v>
      </c>
      <c r="I32" s="24">
        <v>42143</v>
      </c>
      <c r="J32" s="7">
        <v>18</v>
      </c>
      <c r="K32" s="7">
        <v>20.28</v>
      </c>
      <c r="L32" s="6">
        <f t="shared" si="1"/>
        <v>12200</v>
      </c>
      <c r="M32" s="24">
        <v>42167</v>
      </c>
      <c r="N32" s="7">
        <v>15</v>
      </c>
      <c r="O32" s="7"/>
      <c r="P32" s="7"/>
      <c r="Q32" s="23"/>
      <c r="R32" s="23"/>
      <c r="S32" s="23"/>
      <c r="T32" s="23"/>
      <c r="U32" s="5">
        <f t="shared" si="2"/>
        <v>0.0724646174583175</v>
      </c>
      <c r="V32" s="5">
        <f t="shared" si="3"/>
        <v>0.106279485451402</v>
      </c>
      <c r="W32" s="25">
        <f t="shared" si="4"/>
        <v>0.681830714088779</v>
      </c>
      <c r="X32" s="3">
        <f t="shared" si="5"/>
        <v>42654</v>
      </c>
      <c r="Y32" s="5">
        <f t="shared" si="6"/>
        <v>0.208310135669704</v>
      </c>
      <c r="Z32" s="5">
        <f>IF(OR(AE32="",多次统计数据!$B$8=""),"",AE32-多次统计数据!$B$8)</f>
        <v>0.0467134339389323</v>
      </c>
      <c r="AA32" s="8">
        <f t="shared" si="7"/>
        <v>24</v>
      </c>
      <c r="AB32" s="5">
        <f>IF(OR(A32="",多次统计数据!$B$8="",多次统计数据!$B$6&lt;=0,多次统计数据!$B$6&gt;=1),"",1-POWER(1+多次统计数据!$B$8,-多次统计数据!$B$6/(1-多次统计数据!$B$6)))</f>
        <v>0.0965082919530571</v>
      </c>
      <c r="AC32" s="6" t="str">
        <f>IF(OR(AB32="",多次统计数据!$B$9=""),"",IF(多次统计数据!$B$9&lt;AB32,"低于上限","达到或超过上限"))</f>
        <v>低于上限</v>
      </c>
      <c r="AD32" s="23"/>
      <c r="AE32" s="5">
        <f t="shared" si="8"/>
        <v>0.144923399961267</v>
      </c>
      <c r="AG32" s="23" t="s">
        <v>52</v>
      </c>
      <c r="AH32" s="23" t="s">
        <v>49</v>
      </c>
      <c r="AI32" s="23" t="s">
        <v>53</v>
      </c>
      <c r="AJ32" s="6" t="str">
        <f t="shared" si="9"/>
        <v>匹配</v>
      </c>
      <c r="AK32" s="26">
        <f>IF(A32="","",COUNTIFS(加仓管理!$A$2:$A$1001,A32,加仓管理!$G$2:$G$1001,"&gt;0"))</f>
        <v>2</v>
      </c>
      <c r="AL32" s="26">
        <f>IF(A32="","",SUMIFS(加仓管理!$G$2:$G$1001,加仓管理!$A$2:$A$1001,A32))</f>
        <v>4000</v>
      </c>
      <c r="AM32" s="27">
        <f>IF(AK32=0,"",IFERROR(LOOKUP(2,1/((加仓管理!$A$2:$A$1001=A32)*(加仓管理!$G$2:$G$1001&gt;0)),加仓管理!$D$2:$D$1001),""))</f>
        <v>19.23</v>
      </c>
      <c r="AN32" s="27">
        <f>IF(AK32=0,"",IFERROR(LOOKUP(2,1/((加仓管理!$A$2:$A$1001=A32)*(加仓管理!$G$2:$G$1001&gt;0)),加仓管理!$E$2:$E$1001),""))</f>
        <v>16.7</v>
      </c>
      <c r="AO32" s="27">
        <f>IF(OR(A32="",H32="",H32&lt;=0),"",(E32*H32+SUMIFS(加仓管理!$H$2:$H$1001,加仓管理!$A$2:$A$1001,A32))/AP32)</f>
        <v>16.7837704918033</v>
      </c>
      <c r="AP32" s="26">
        <f t="shared" si="10"/>
        <v>12200</v>
      </c>
      <c r="AQ32" s="27">
        <f>IF(A32="","",IF(M32&lt;&gt;"",0,IF(OR(H32="",N32=""),"",MAX((E32*H32+SUMIFS(加仓管理!$H$2:$H$1001,加仓管理!$A$2:$A$1001,A32))-MAX(N32,AN32)*AP32,0))))</f>
        <v>0</v>
      </c>
      <c r="AR32" s="27" t="str">
        <f ca="1"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>违规：请检查加仓管理表</v>
      </c>
    </row>
    <row r="33" ht="17" spans="1:44">
      <c r="A33" s="23">
        <v>32</v>
      </c>
      <c r="B33" s="23" t="s">
        <v>55</v>
      </c>
      <c r="C33" s="7">
        <v>336975</v>
      </c>
      <c r="D33" s="4">
        <v>0.02</v>
      </c>
      <c r="E33" s="7">
        <v>18.34</v>
      </c>
      <c r="F33" s="6">
        <f t="shared" si="0"/>
        <v>4600</v>
      </c>
      <c r="G33" s="6" t="str">
        <f ca="1"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3" s="23">
        <v>2000</v>
      </c>
      <c r="I33" s="24">
        <v>42178</v>
      </c>
      <c r="J33" s="7">
        <v>20</v>
      </c>
      <c r="K33" s="7">
        <v>15.52</v>
      </c>
      <c r="L33" s="6">
        <f t="shared" si="1"/>
        <v>13000</v>
      </c>
      <c r="M33" s="24">
        <v>42223</v>
      </c>
      <c r="N33" s="7">
        <v>16.89</v>
      </c>
      <c r="O33" s="7"/>
      <c r="P33" s="7"/>
      <c r="Q33" s="23"/>
      <c r="R33" s="23"/>
      <c r="S33" s="23"/>
      <c r="T33" s="23"/>
      <c r="U33" s="5">
        <f t="shared" si="2"/>
        <v>0.455685571916466</v>
      </c>
      <c r="V33" s="5">
        <f t="shared" si="3"/>
        <v>-0.229326465483456</v>
      </c>
      <c r="W33" s="25" t="str">
        <f t="shared" si="4"/>
        <v/>
      </c>
      <c r="X33" s="3">
        <f t="shared" si="5"/>
        <v>23150</v>
      </c>
      <c r="Y33" s="5">
        <f t="shared" si="6"/>
        <v>0.129612003807178</v>
      </c>
      <c r="Z33" s="5">
        <f>IF(OR(AE33="",多次统计数据!$B$8=""),"",AE33-多次统计数据!$B$8)</f>
        <v>-0.0295105076055381</v>
      </c>
      <c r="AA33" s="8">
        <f t="shared" si="7"/>
        <v>45</v>
      </c>
      <c r="AB33" s="5">
        <f>IF(OR(A33="",多次统计数据!$B$8="",多次统计数据!$B$6&lt;=0,多次统计数据!$B$6&gt;=1),"",1-POWER(1+多次统计数据!$B$8,-多次统计数据!$B$6/(1-多次统计数据!$B$6)))</f>
        <v>0.0965082919530571</v>
      </c>
      <c r="AC33" s="6" t="str">
        <f>IF(OR(AB33="",多次统计数据!$B$9=""),"",IF(多次统计数据!$B$9&lt;AB33,"低于上限","达到或超过上限"))</f>
        <v>低于上限</v>
      </c>
      <c r="AD33" s="23"/>
      <c r="AE33" s="5">
        <f t="shared" si="8"/>
        <v>0.0686994584167965</v>
      </c>
      <c r="AG33" s="23" t="s">
        <v>45</v>
      </c>
      <c r="AH33" s="23" t="s">
        <v>46</v>
      </c>
      <c r="AI33" s="23" t="s">
        <v>51</v>
      </c>
      <c r="AJ33" s="6" t="str">
        <f t="shared" si="9"/>
        <v>匹配</v>
      </c>
      <c r="AK33" s="26">
        <f>IF(A33="","",COUNTIFS(加仓管理!$A$2:$A$1001,A33,加仓管理!$G$2:$G$1001,"&gt;0"))</f>
        <v>4</v>
      </c>
      <c r="AL33" s="26">
        <f>IF(A33="","",SUMIFS(加仓管理!$G$2:$G$1001,加仓管理!$A$2:$A$1001,A33))</f>
        <v>11000</v>
      </c>
      <c r="AM33" s="27">
        <f>IF(AK33=0,"",IFERROR(LOOKUP(2,1/((加仓管理!$A$2:$A$1001=A33)*(加仓管理!$G$2:$G$1001&gt;0)),加仓管理!$D$2:$D$1001),""))</f>
        <v>10.91</v>
      </c>
      <c r="AN33" s="27">
        <f>IF(AK33=0,"",IFERROR(LOOKUP(2,1/((加仓管理!$A$2:$A$1001=A33)*(加仓管理!$G$2:$G$1001&gt;0)),加仓管理!$E$2:$E$1001),""))</f>
        <v>10</v>
      </c>
      <c r="AO33" s="27">
        <f>IF(OR(A33="",H33="",H33&lt;=0),"",(E33*H33+SUMIFS(加仓管理!$H$2:$H$1001,加仓管理!$A$2:$A$1001,A33))/AP33)</f>
        <v>13.7392307692308</v>
      </c>
      <c r="AP33" s="26">
        <f t="shared" si="10"/>
        <v>13000</v>
      </c>
      <c r="AQ33" s="27">
        <f>IF(A33="","",IF(M33&lt;&gt;"",0,IF(OR(H33="",N33=""),"",MAX((E33*H33+SUMIFS(加仓管理!$H$2:$H$1001,加仓管理!$A$2:$A$1001,A33))-MAX(N33,AN33)*AP33,0))))</f>
        <v>0</v>
      </c>
      <c r="AR33" s="27" t="str">
        <f ca="1"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>违规：请检查加仓管理表</v>
      </c>
    </row>
    <row r="34" s="20" customFormat="1" ht="17" spans="1:44">
      <c r="A34" s="28">
        <v>33</v>
      </c>
      <c r="B34" s="28" t="s">
        <v>55</v>
      </c>
      <c r="C34" s="29">
        <v>360125</v>
      </c>
      <c r="D34" s="30">
        <v>0.02</v>
      </c>
      <c r="E34" s="29">
        <v>9.73</v>
      </c>
      <c r="F34" s="31">
        <f t="shared" si="0"/>
        <v>9800</v>
      </c>
      <c r="G34" s="31" t="str">
        <f ca="1"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4" s="28">
        <v>3000</v>
      </c>
      <c r="I34" s="32">
        <v>42241</v>
      </c>
      <c r="J34" s="29">
        <v>11.26</v>
      </c>
      <c r="K34" s="29">
        <v>11.26</v>
      </c>
      <c r="L34" s="31">
        <f t="shared" si="1"/>
        <v>20000</v>
      </c>
      <c r="M34" s="32">
        <v>42493</v>
      </c>
      <c r="N34" s="29">
        <v>9</v>
      </c>
      <c r="O34" s="29"/>
      <c r="P34" s="29"/>
      <c r="Q34" s="28"/>
      <c r="R34" s="28"/>
      <c r="S34" s="28"/>
      <c r="T34" s="28"/>
      <c r="U34" s="33">
        <f t="shared" si="2"/>
        <v>-0.0392081573445966</v>
      </c>
      <c r="V34" s="33">
        <f t="shared" si="3"/>
        <v>0.232049148854473</v>
      </c>
      <c r="W34" s="34">
        <f t="shared" si="4"/>
        <v>-0.168964883250598</v>
      </c>
      <c r="X34" s="35">
        <f t="shared" si="5"/>
        <v>-9190.00000000001</v>
      </c>
      <c r="Y34" s="33">
        <f t="shared" si="6"/>
        <v>-0.0392081573445966</v>
      </c>
      <c r="Z34" s="33">
        <f>IF(OR(AE34="",多次统计数据!$B$8=""),"",AE34-多次统计数据!$B$8)</f>
        <v>-0.123728883065028</v>
      </c>
      <c r="AA34" s="36">
        <f t="shared" si="7"/>
        <v>252</v>
      </c>
      <c r="AB34" s="33">
        <f>IF(OR(A34="",多次统计数据!$B$8="",多次统计数据!$B$6&lt;=0,多次统计数据!$B$6&gt;=1),"",1-POWER(1+多次统计数据!$B$8,-多次统计数据!$B$6/(1-多次统计数据!$B$6)))</f>
        <v>0.0965082919530571</v>
      </c>
      <c r="AC34" s="31" t="str">
        <f>IF(OR(AB34="",多次统计数据!$B$9=""),"",IF(多次统计数据!$B$9&lt;AB34,"低于上限","达到或超过上限"))</f>
        <v>低于上限</v>
      </c>
      <c r="AD34" s="28"/>
      <c r="AE34" s="33">
        <f t="shared" si="8"/>
        <v>-0.0255189170426935</v>
      </c>
      <c r="AG34" s="28" t="s">
        <v>48</v>
      </c>
      <c r="AH34" s="28" t="s">
        <v>49</v>
      </c>
      <c r="AI34" s="28" t="s">
        <v>50</v>
      </c>
      <c r="AJ34" s="31" t="str">
        <f t="shared" si="9"/>
        <v>匹配</v>
      </c>
      <c r="AK34" s="37">
        <f>IF(A34="","",COUNTIFS(加仓管理!$A$2:$A$1001,A34,加仓管理!$G$2:$G$1001,"&gt;0"))</f>
        <v>5</v>
      </c>
      <c r="AL34" s="37">
        <f>IF(A34="","",SUMIFS(加仓管理!$G$2:$G$1001,加仓管理!$A$2:$A$1001,A34))</f>
        <v>17000</v>
      </c>
      <c r="AM34" s="38">
        <f>IF(AK34=0,"",IFERROR(LOOKUP(2,1/((加仓管理!$A$2:$A$1001=A34)*(加仓管理!$G$2:$G$1001&gt;0)),加仓管理!$D$2:$D$1001),""))</f>
        <v>13.2</v>
      </c>
      <c r="AN34" s="38">
        <f>IF(AK34=0,"",IFERROR(LOOKUP(2,1/((加仓管理!$A$2:$A$1001=A34)*(加仓管理!$G$2:$G$1001&gt;0)),加仓管理!$E$2:$E$1001),""))</f>
        <v>12</v>
      </c>
      <c r="AO34" s="38">
        <f>IF(OR(A34="",H34="",H34&lt;=0),"",(E34*H34+SUMIFS(加仓管理!$H$2:$H$1001,加仓管理!$A$2:$A$1001,A34))/AP34)</f>
        <v>11.7195</v>
      </c>
      <c r="AP34" s="37">
        <f t="shared" si="10"/>
        <v>20000</v>
      </c>
      <c r="AQ34" s="38">
        <f>IF(A34="","",IF(M34&lt;&gt;"",0,IF(OR(H34="",N34=""),"",MAX((E34*H34+SUMIFS(加仓管理!$H$2:$H$1001,加仓管理!$A$2:$A$1001,A34))-MAX(N34,AN34)*AP34,0))))</f>
        <v>0</v>
      </c>
      <c r="AR34" s="38" t="str">
        <f ca="1"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>违规：请检查加仓管理表</v>
      </c>
    </row>
    <row r="35" ht="17" spans="1:44">
      <c r="A35" s="23">
        <v>34</v>
      </c>
      <c r="B35" s="23" t="s">
        <v>55</v>
      </c>
      <c r="C35" s="7">
        <v>350935</v>
      </c>
      <c r="D35" s="4">
        <v>0.02</v>
      </c>
      <c r="E35" s="7">
        <v>10.96</v>
      </c>
      <c r="F35" s="6">
        <f>IF(OR(C35="",D35="",E35="",N35="",C35&lt;=0,D35&lt;=0,E35&lt;=N35),"",ROUNDDOWN((C35*D35)/(E35-N35)/100,0)*100)</f>
        <v>7300</v>
      </c>
      <c r="G35" s="6" t="str">
        <f ca="1"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5" s="23">
        <v>4000</v>
      </c>
      <c r="I35" s="24">
        <v>42496</v>
      </c>
      <c r="J35" s="7">
        <v>12</v>
      </c>
      <c r="K35" s="7">
        <v>11.84</v>
      </c>
      <c r="L35" s="6">
        <f t="shared" si="1"/>
        <v>22000</v>
      </c>
      <c r="M35" s="24">
        <v>42726</v>
      </c>
      <c r="N35" s="7">
        <v>10</v>
      </c>
      <c r="O35" s="7"/>
      <c r="P35" s="7"/>
      <c r="Q35" s="23"/>
      <c r="R35" s="23"/>
      <c r="S35" s="23"/>
      <c r="T35" s="23"/>
      <c r="U35" s="5">
        <f t="shared" si="2"/>
        <v>0.150828247602441</v>
      </c>
      <c r="V35" s="5">
        <f t="shared" si="3"/>
        <v>0.0409764603312991</v>
      </c>
      <c r="W35" s="25">
        <f t="shared" si="4"/>
        <v>3.68085106382978</v>
      </c>
      <c r="X35" s="3">
        <f t="shared" si="5"/>
        <v>31080</v>
      </c>
      <c r="Y35" s="5">
        <f t="shared" si="6"/>
        <v>0.135483870967742</v>
      </c>
      <c r="Z35" s="5">
        <f>IF(OR(AE35="",多次统计数据!$B$8=""),"",AE35-多次统计数据!$B$8)</f>
        <v>-0.00964655684399675</v>
      </c>
      <c r="AA35" s="8">
        <f t="shared" si="7"/>
        <v>230</v>
      </c>
      <c r="AB35" s="5">
        <f>IF(OR(A35="",多次统计数据!$B$8="",多次统计数据!$B$6&lt;=0,多次统计数据!$B$6&gt;=1),"",1-POWER(1+多次统计数据!$B$8,-多次统计数据!$B$6/(1-多次统计数据!$B$6)))</f>
        <v>0.0965082919530571</v>
      </c>
      <c r="AC35" s="6" t="str">
        <f>IF(OR(AB35="",多次统计数据!$B$9=""),"",IF(多次统计数据!$B$9&lt;AB35,"低于上限","达到或超过上限"))</f>
        <v>低于上限</v>
      </c>
      <c r="AD35" s="23"/>
      <c r="AE35" s="5">
        <f t="shared" si="8"/>
        <v>0.0885634091783378</v>
      </c>
      <c r="AG35" s="23" t="s">
        <v>45</v>
      </c>
      <c r="AH35" s="23" t="s">
        <v>54</v>
      </c>
      <c r="AI35" s="23" t="s">
        <v>51</v>
      </c>
      <c r="AJ35" s="6" t="str">
        <f t="shared" si="9"/>
        <v>匹配</v>
      </c>
      <c r="AK35" s="26">
        <f>IF(A35="","",COUNTIFS(加仓管理!$A$2:$A$1001,A35,加仓管理!$G$2:$G$1001,"&gt;0"))</f>
        <v>4</v>
      </c>
      <c r="AL35" s="26">
        <f>IF(A35="","",SUMIFS(加仓管理!$G$2:$G$1001,加仓管理!$A$2:$A$1001,A35))</f>
        <v>18000</v>
      </c>
      <c r="AM35" s="27">
        <f>IF(AK35=0,"",IFERROR(LOOKUP(2,1/((加仓管理!$A$2:$A$1001=A35)*(加仓管理!$G$2:$G$1001&gt;0)),加仓管理!$D$2:$D$1001),""))</f>
        <v>10.33</v>
      </c>
      <c r="AN35" s="27">
        <f>IF(AK35=0,"",IFERROR(LOOKUP(2,1/((加仓管理!$A$2:$A$1001=A35)*(加仓管理!$G$2:$G$1001&gt;0)),加仓管理!$E$2:$E$1001),""))</f>
        <v>10</v>
      </c>
      <c r="AO35" s="27">
        <f>IF(OR(A35="",H35="",H35&lt;=0),"",(E35*H35+SUMIFS(加仓管理!$H$2:$H$1001,加仓管理!$A$2:$A$1001,A35))/AP35)</f>
        <v>10.4272727272727</v>
      </c>
      <c r="AP35" s="26">
        <f t="shared" si="10"/>
        <v>22000</v>
      </c>
      <c r="AQ35" s="27">
        <f>IF(A35="","",IF(M35&lt;&gt;"",0,IF(OR(H35="",N35=""),"",MAX((E35*H35+SUMIFS(加仓管理!$H$2:$H$1001,加仓管理!$A$2:$A$1001,A35))-MAX(N35,AN35)*AP35,0))))</f>
        <v>0</v>
      </c>
      <c r="AR35" s="27" t="str">
        <f ca="1"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>违规：请检查加仓管理表</v>
      </c>
    </row>
    <row r="36" ht="17" spans="1:44">
      <c r="A36" s="23">
        <v>35</v>
      </c>
      <c r="B36" s="23" t="s">
        <v>55</v>
      </c>
      <c r="C36" s="7">
        <v>382015</v>
      </c>
      <c r="D36" s="4">
        <v>0.02</v>
      </c>
      <c r="E36" s="7">
        <v>12.65</v>
      </c>
      <c r="F36" s="6">
        <f t="shared" si="0"/>
        <v>11700</v>
      </c>
      <c r="G36" s="6" t="str">
        <f ca="1"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6" s="23">
        <v>5000</v>
      </c>
      <c r="I36" s="24">
        <v>42781</v>
      </c>
      <c r="J36" s="7">
        <v>14</v>
      </c>
      <c r="K36" s="7">
        <v>12.14</v>
      </c>
      <c r="L36" s="6">
        <f t="shared" si="1"/>
        <v>15000</v>
      </c>
      <c r="M36" s="24">
        <v>42912</v>
      </c>
      <c r="N36" s="7">
        <v>12</v>
      </c>
      <c r="O36" s="7"/>
      <c r="P36" s="7"/>
      <c r="Q36" s="23"/>
      <c r="R36" s="23"/>
      <c r="S36" s="23"/>
      <c r="T36" s="23"/>
      <c r="U36" s="5">
        <f t="shared" si="2"/>
        <v>0.147540983606557</v>
      </c>
      <c r="V36" s="5">
        <f t="shared" si="3"/>
        <v>0.0163934426229508</v>
      </c>
      <c r="W36" s="25">
        <f t="shared" si="4"/>
        <v>9.00000000000004</v>
      </c>
      <c r="X36" s="3">
        <f t="shared" si="5"/>
        <v>-899.999999999981</v>
      </c>
      <c r="Y36" s="5">
        <f t="shared" si="6"/>
        <v>-0.00491803278688514</v>
      </c>
      <c r="Z36" s="5">
        <f>IF(OR(AE36="",多次统计数据!$B$8=""),"",AE36-多次统计数据!$B$8)</f>
        <v>-0.100565894454464</v>
      </c>
      <c r="AA36" s="8">
        <f t="shared" si="7"/>
        <v>131</v>
      </c>
      <c r="AB36" s="5">
        <f>IF(OR(A36="",多次统计数据!$B$8="",多次统计数据!$B$6&lt;=0,多次统计数据!$B$6&gt;=1),"",1-POWER(1+多次统计数据!$B$8,-多次统计数据!$B$6/(1-多次统计数据!$B$6)))</f>
        <v>0.0965082919530571</v>
      </c>
      <c r="AC36" s="6" t="str">
        <f>IF(OR(AB36="",多次统计数据!$B$9=""),"",IF(多次统计数据!$B$9&lt;AB36,"低于上限","达到或超过上限"))</f>
        <v>低于上限</v>
      </c>
      <c r="AD36" s="23"/>
      <c r="AE36" s="5">
        <f t="shared" si="8"/>
        <v>-0.00235592843212958</v>
      </c>
      <c r="AG36" s="23" t="s">
        <v>45</v>
      </c>
      <c r="AH36" s="23" t="s">
        <v>46</v>
      </c>
      <c r="AI36" s="23" t="s">
        <v>51</v>
      </c>
      <c r="AJ36" s="6" t="str">
        <f t="shared" si="9"/>
        <v>匹配</v>
      </c>
      <c r="AK36" s="26">
        <f>IF(A36="","",COUNTIFS(加仓管理!$A$2:$A$1001,A36,加仓管理!$G$2:$G$1001,"&gt;0"))</f>
        <v>3</v>
      </c>
      <c r="AL36" s="26">
        <f>IF(A36="","",SUMIFS(加仓管理!$G$2:$G$1001,加仓管理!$A$2:$A$1001,A36))</f>
        <v>10000</v>
      </c>
      <c r="AM36" s="27">
        <f>IF(AK36=0,"",IFERROR(LOOKUP(2,1/((加仓管理!$A$2:$A$1001=A36)*(加仓管理!$G$2:$G$1001&gt;0)),加仓管理!$D$2:$D$1001),""))</f>
        <v>11.79</v>
      </c>
      <c r="AN36" s="27">
        <f>IF(AK36=0,"",IFERROR(LOOKUP(2,1/((加仓管理!$A$2:$A$1001=A36)*(加仓管理!$G$2:$G$1001&gt;0)),加仓管理!$E$2:$E$1001),""))</f>
        <v>11.5</v>
      </c>
      <c r="AO36" s="27">
        <f>IF(OR(A36="",H36="",H36&lt;=0),"",(E36*H36+SUMIFS(加仓管理!$H$2:$H$1001,加仓管理!$A$2:$A$1001,A36))/AP36)</f>
        <v>12.2</v>
      </c>
      <c r="AP36" s="26">
        <f t="shared" si="10"/>
        <v>15000</v>
      </c>
      <c r="AQ36" s="27">
        <f>IF(A36="","",IF(M36&lt;&gt;"",0,IF(OR(H36="",N36=""),"",MAX((E36*H36+SUMIFS(加仓管理!$H$2:$H$1001,加仓管理!$A$2:$A$1001,A36))-MAX(N36,AN36)*AP36,0))))</f>
        <v>0</v>
      </c>
      <c r="AR36" s="27" t="str">
        <f ca="1"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>违规：请检查加仓管理表</v>
      </c>
    </row>
    <row r="37" ht="17" spans="1:44">
      <c r="A37" s="23">
        <v>36</v>
      </c>
      <c r="B37" s="23" t="s">
        <v>55</v>
      </c>
      <c r="C37" s="7">
        <v>381115</v>
      </c>
      <c r="D37" s="4">
        <v>0.02</v>
      </c>
      <c r="E37" s="7">
        <v>12.16</v>
      </c>
      <c r="F37" s="6">
        <f t="shared" si="0"/>
        <v>47600</v>
      </c>
      <c r="G37" s="6" t="str">
        <f ca="1"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7" s="23">
        <v>5000</v>
      </c>
      <c r="I37" s="24">
        <v>42922</v>
      </c>
      <c r="J37" s="7">
        <v>14</v>
      </c>
      <c r="K37" s="7">
        <v>13.56</v>
      </c>
      <c r="L37" s="6">
        <f t="shared" si="1"/>
        <v>22000</v>
      </c>
      <c r="M37" s="24">
        <v>43018</v>
      </c>
      <c r="N37" s="7">
        <v>12</v>
      </c>
      <c r="O37" s="7"/>
      <c r="P37" s="7"/>
      <c r="Q37" s="23"/>
      <c r="R37" s="23"/>
      <c r="S37" s="23"/>
      <c r="T37" s="23"/>
      <c r="U37" s="5">
        <f t="shared" si="2"/>
        <v>0.150885584037068</v>
      </c>
      <c r="V37" s="5">
        <f t="shared" si="3"/>
        <v>0.0135266422539421</v>
      </c>
      <c r="W37" s="25">
        <f t="shared" si="4"/>
        <v>11.1546961325967</v>
      </c>
      <c r="X37" s="3">
        <f t="shared" si="5"/>
        <v>30700</v>
      </c>
      <c r="Y37" s="5">
        <f t="shared" si="6"/>
        <v>0.114714894253045</v>
      </c>
      <c r="Z37" s="5">
        <f>IF(OR(AE37="",多次统计数据!$B$8=""),"",AE37-多次统计数据!$B$8)</f>
        <v>-0.0176568521328261</v>
      </c>
      <c r="AA37" s="8">
        <f t="shared" si="7"/>
        <v>96</v>
      </c>
      <c r="AB37" s="5">
        <f>IF(OR(A37="",多次统计数据!$B$8="",多次统计数据!$B$6&lt;=0,多次统计数据!$B$6&gt;=1),"",1-POWER(1+多次统计数据!$B$8,-多次统计数据!$B$6/(1-多次统计数据!$B$6)))</f>
        <v>0.0965082919530571</v>
      </c>
      <c r="AC37" s="6" t="str">
        <f>IF(OR(AB37="",多次统计数据!$B$9=""),"",IF(多次统计数据!$B$9&lt;AB37,"低于上限","达到或超过上限"))</f>
        <v>低于上限</v>
      </c>
      <c r="AD37" s="23"/>
      <c r="AE37" s="5">
        <f t="shared" si="8"/>
        <v>0.0805531138895085</v>
      </c>
      <c r="AG37" s="23" t="s">
        <v>52</v>
      </c>
      <c r="AH37" s="23" t="s">
        <v>46</v>
      </c>
      <c r="AI37" s="23" t="s">
        <v>51</v>
      </c>
      <c r="AJ37" s="6" t="str">
        <f t="shared" si="9"/>
        <v>匹配</v>
      </c>
      <c r="AK37" s="26">
        <f>IF(A37="","",COUNTIFS(加仓管理!$A$2:$A$1001,A37,加仓管理!$G$2:$G$1001,"&gt;0"))</f>
        <v>5</v>
      </c>
      <c r="AL37" s="26">
        <f>IF(A37="","",SUMIFS(加仓管理!$G$2:$G$1001,加仓管理!$A$2:$A$1001,A37))</f>
        <v>17000</v>
      </c>
      <c r="AM37" s="27">
        <f>IF(AK37=0,"",IFERROR(LOOKUP(2,1/((加仓管理!$A$2:$A$1001=A37)*(加仓管理!$G$2:$G$1001&gt;0)),加仓管理!$D$2:$D$1001),""))</f>
        <v>13.82</v>
      </c>
      <c r="AN37" s="27">
        <f>IF(AK37=0,"",IFERROR(LOOKUP(2,1/((加仓管理!$A$2:$A$1001=A37)*(加仓管理!$G$2:$G$1001&gt;0)),加仓管理!$E$2:$E$1001),""))</f>
        <v>13</v>
      </c>
      <c r="AO37" s="27">
        <f>IF(OR(A37="",H37="",H37&lt;=0),"",(E37*H37+SUMIFS(加仓管理!$H$2:$H$1001,加仓管理!$A$2:$A$1001,A37))/AP37)</f>
        <v>12.1645454545455</v>
      </c>
      <c r="AP37" s="26">
        <f t="shared" si="10"/>
        <v>22000</v>
      </c>
      <c r="AQ37" s="27">
        <f>IF(A37="","",IF(M37&lt;&gt;"",0,IF(OR(H37="",N37=""),"",MAX((E37*H37+SUMIFS(加仓管理!$H$2:$H$1001,加仓管理!$A$2:$A$1001,A37))-MAX(N37,AN37)*AP37,0))))</f>
        <v>0</v>
      </c>
      <c r="AR37" s="27" t="str">
        <f ca="1"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>违规：请检查加仓管理表</v>
      </c>
    </row>
    <row r="38" ht="17" spans="1:44">
      <c r="A38" s="23">
        <v>37</v>
      </c>
      <c r="B38" s="23" t="s">
        <v>55</v>
      </c>
      <c r="C38" s="7">
        <v>411815</v>
      </c>
      <c r="D38" s="4">
        <v>0.02</v>
      </c>
      <c r="E38" s="7">
        <v>14.79</v>
      </c>
      <c r="F38" s="6">
        <f t="shared" si="0"/>
        <v>6300</v>
      </c>
      <c r="G38" s="6" t="str">
        <f ca="1"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8" s="23">
        <v>6300</v>
      </c>
      <c r="I38" s="24">
        <v>43019</v>
      </c>
      <c r="J38" s="7">
        <v>17</v>
      </c>
      <c r="K38" s="7">
        <v>17.69</v>
      </c>
      <c r="L38" s="6">
        <f t="shared" si="1"/>
        <v>24300</v>
      </c>
      <c r="M38" s="24">
        <v>43053</v>
      </c>
      <c r="N38" s="7">
        <v>13.5</v>
      </c>
      <c r="O38" s="7"/>
      <c r="P38" s="7"/>
      <c r="Q38" s="23"/>
      <c r="R38" s="23"/>
      <c r="S38" s="23"/>
      <c r="T38" s="23"/>
      <c r="U38" s="5">
        <f t="shared" si="2"/>
        <v>0.0410865001499508</v>
      </c>
      <c r="V38" s="5">
        <f t="shared" si="3"/>
        <v>0.173254838116216</v>
      </c>
      <c r="W38" s="25">
        <f t="shared" si="4"/>
        <v>0.237144893595357</v>
      </c>
      <c r="X38" s="3">
        <f t="shared" si="5"/>
        <v>33070</v>
      </c>
      <c r="Y38" s="5">
        <f t="shared" si="6"/>
        <v>0.0833423639795665</v>
      </c>
      <c r="Z38" s="5">
        <f>IF(OR(AE38="",多次统计数据!$B$8=""),"",AE38-多次统计数据!$B$8)</f>
        <v>-0.0179069173232827</v>
      </c>
      <c r="AA38" s="8">
        <f t="shared" si="7"/>
        <v>34</v>
      </c>
      <c r="AB38" s="5">
        <f>IF(OR(A38="",多次统计数据!$B$8="",多次统计数据!$B$6&lt;=0,多次统计数据!$B$6&gt;=1),"",1-POWER(1+多次统计数据!$B$8,-多次统计数据!$B$6/(1-多次统计数据!$B$6)))</f>
        <v>0.0965082919530571</v>
      </c>
      <c r="AC38" s="6" t="str">
        <f>IF(OR(AB38="",多次统计数据!$B$9=""),"",IF(多次统计数据!$B$9&lt;AB38,"低于上限","达到或超过上限"))</f>
        <v>低于上限</v>
      </c>
      <c r="AD38" s="23"/>
      <c r="AE38" s="5">
        <f t="shared" si="8"/>
        <v>0.0803030486990519</v>
      </c>
      <c r="AG38" s="23" t="s">
        <v>52</v>
      </c>
      <c r="AH38" s="23" t="s">
        <v>49</v>
      </c>
      <c r="AI38" s="23" t="s">
        <v>51</v>
      </c>
      <c r="AJ38" s="6" t="str">
        <f t="shared" si="9"/>
        <v>匹配</v>
      </c>
      <c r="AK38" s="26">
        <f>IF(A38="","",COUNTIFS(加仓管理!$A$2:$A$1001,A38,加仓管理!$G$2:$G$1001,"&gt;0"))</f>
        <v>4</v>
      </c>
      <c r="AL38" s="26">
        <f>IF(A38="","",SUMIFS(加仓管理!$G$2:$G$1001,加仓管理!$A$2:$A$1001,A38))</f>
        <v>18000</v>
      </c>
      <c r="AM38" s="27">
        <f>IF(AK38=0,"",IFERROR(LOOKUP(2,1/((加仓管理!$A$2:$A$1001=A38)*(加仓管理!$G$2:$G$1001&gt;0)),加仓管理!$D$2:$D$1001),""))</f>
        <v>19.38</v>
      </c>
      <c r="AN38" s="27">
        <f>IF(AK38=0,"",IFERROR(LOOKUP(2,1/((加仓管理!$A$2:$A$1001=A38)*(加仓管理!$G$2:$G$1001&gt;0)),加仓管理!$E$2:$E$1001),""))</f>
        <v>18</v>
      </c>
      <c r="AO38" s="27">
        <f>IF(OR(A38="",H38="",H38&lt;=0),"",(E38*H38+SUMIFS(加仓管理!$H$2:$H$1001,加仓管理!$A$2:$A$1001,A38))/AP38)</f>
        <v>16.3290946502058</v>
      </c>
      <c r="AP38" s="26">
        <f t="shared" si="10"/>
        <v>24300</v>
      </c>
      <c r="AQ38" s="27">
        <f>IF(A38="","",IF(M38&lt;&gt;"",0,IF(OR(H38="",N38=""),"",MAX((E38*H38+SUMIFS(加仓管理!$H$2:$H$1001,加仓管理!$A$2:$A$1001,A38))-MAX(N38,AN38)*AP38,0))))</f>
        <v>0</v>
      </c>
      <c r="AR38" s="27" t="str">
        <f ca="1"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>违规：请检查加仓管理表</v>
      </c>
    </row>
    <row r="39" ht="17" spans="1:44">
      <c r="A39" s="23">
        <v>38</v>
      </c>
      <c r="B39" s="23" t="s">
        <v>55</v>
      </c>
      <c r="C39" s="7">
        <v>444885</v>
      </c>
      <c r="D39" s="4">
        <v>0.02</v>
      </c>
      <c r="E39" s="7">
        <v>16.53</v>
      </c>
      <c r="F39" s="6">
        <f t="shared" si="0"/>
        <v>5800</v>
      </c>
      <c r="G39" s="6" t="str">
        <f ca="1"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39" s="23">
        <v>2000</v>
      </c>
      <c r="I39" s="24">
        <v>43062</v>
      </c>
      <c r="J39" s="7">
        <v>21.07</v>
      </c>
      <c r="K39" s="7">
        <v>21.07</v>
      </c>
      <c r="L39" s="6">
        <f t="shared" si="1"/>
        <v>22000</v>
      </c>
      <c r="M39" s="24">
        <v>43118</v>
      </c>
      <c r="N39" s="7">
        <v>15</v>
      </c>
      <c r="O39" s="7"/>
      <c r="P39" s="7"/>
      <c r="Q39" s="23"/>
      <c r="R39" s="23"/>
      <c r="S39" s="23"/>
      <c r="T39" s="23"/>
      <c r="U39" s="5">
        <f t="shared" si="2"/>
        <v>0.0275087003746148</v>
      </c>
      <c r="V39" s="5">
        <f t="shared" si="3"/>
        <v>0.268503535566245</v>
      </c>
      <c r="W39" s="25">
        <f t="shared" si="4"/>
        <v>0.102451911169817</v>
      </c>
      <c r="X39" s="3">
        <f t="shared" si="5"/>
        <v>12410</v>
      </c>
      <c r="Y39" s="5">
        <f t="shared" si="6"/>
        <v>0.0275087003746148</v>
      </c>
      <c r="Z39" s="5">
        <f>IF(OR(AE39="",多次统计数据!$B$8=""),"",AE39-多次统计数据!$B$8)</f>
        <v>-0.0703151167916346</v>
      </c>
      <c r="AA39" s="8">
        <f t="shared" si="7"/>
        <v>56</v>
      </c>
      <c r="AB39" s="5">
        <f>IF(OR(A39="",多次统计数据!$B$8="",多次统计数据!$B$6&lt;=0,多次统计数据!$B$6&gt;=1),"",1-POWER(1+多次统计数据!$B$8,-多次统计数据!$B$6/(1-多次统计数据!$B$6)))</f>
        <v>0.0965082919530571</v>
      </c>
      <c r="AC39" s="6" t="str">
        <f>IF(OR(AB39="",多次统计数据!$B$9=""),"",IF(多次统计数据!$B$9&lt;AB39,"低于上限","达到或超过上限"))</f>
        <v>低于上限</v>
      </c>
      <c r="AD39" s="23"/>
      <c r="AE39" s="5">
        <f t="shared" si="8"/>
        <v>0.0278948492307</v>
      </c>
      <c r="AG39" s="23" t="s">
        <v>48</v>
      </c>
      <c r="AH39" s="23" t="s">
        <v>49</v>
      </c>
      <c r="AI39" s="23" t="s">
        <v>50</v>
      </c>
      <c r="AJ39" s="6" t="str">
        <f t="shared" si="9"/>
        <v>匹配</v>
      </c>
      <c r="AK39" s="26">
        <f>IF(A39="","",COUNTIFS(加仓管理!$A$2:$A$1001,A39,加仓管理!$G$2:$G$1001,"&gt;0"))</f>
        <v>5</v>
      </c>
      <c r="AL39" s="26">
        <f>IF(A39="","",SUMIFS(加仓管理!$G$2:$G$1001,加仓管理!$A$2:$A$1001,A39))</f>
        <v>20000</v>
      </c>
      <c r="AM39" s="27">
        <f>IF(AK39=0,"",IFERROR(LOOKUP(2,1/((加仓管理!$A$2:$A$1001=A39)*(加仓管理!$G$2:$G$1001&gt;0)),加仓管理!$D$2:$D$1001),""))</f>
        <v>22.96</v>
      </c>
      <c r="AN39" s="27">
        <f>IF(AK39=0,"",IFERROR(LOOKUP(2,1/((加仓管理!$A$2:$A$1001=A39)*(加仓管理!$G$2:$G$1001&gt;0)),加仓管理!$E$2:$E$1001),""))</f>
        <v>21.4</v>
      </c>
      <c r="AO39" s="27">
        <f>IF(OR(A39="",H39="",H39&lt;=0),"",(E39*H39+SUMIFS(加仓管理!$H$2:$H$1001,加仓管理!$A$2:$A$1001,A39))/AP39)</f>
        <v>20.5059090909091</v>
      </c>
      <c r="AP39" s="26">
        <f t="shared" si="10"/>
        <v>22000</v>
      </c>
      <c r="AQ39" s="27">
        <f>IF(A39="","",IF(M39&lt;&gt;"",0,IF(OR(H39="",N39=""),"",MAX((E39*H39+SUMIFS(加仓管理!$H$2:$H$1001,加仓管理!$A$2:$A$1001,A39))-MAX(N39,AN39)*AP39,0))))</f>
        <v>0</v>
      </c>
      <c r="AR39" s="27" t="str">
        <f ca="1"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>违规：请检查加仓管理表</v>
      </c>
    </row>
    <row r="40" ht="17" spans="1:44">
      <c r="A40" s="23">
        <v>39</v>
      </c>
      <c r="B40" s="23" t="s">
        <v>55</v>
      </c>
      <c r="C40" s="7">
        <v>457295</v>
      </c>
      <c r="D40" s="4">
        <v>0.02</v>
      </c>
      <c r="E40" s="7">
        <v>19.87</v>
      </c>
      <c r="F40" s="6">
        <f t="shared" si="0"/>
        <v>10500</v>
      </c>
      <c r="G40" s="6" t="str">
        <f ca="1"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0" s="23">
        <v>5000</v>
      </c>
      <c r="I40" s="24">
        <v>43129</v>
      </c>
      <c r="J40" s="7">
        <v>21</v>
      </c>
      <c r="K40" s="7">
        <v>19.52</v>
      </c>
      <c r="L40" s="6">
        <f t="shared" si="1"/>
        <v>5000</v>
      </c>
      <c r="M40" s="24">
        <v>43132</v>
      </c>
      <c r="N40" s="7">
        <v>19</v>
      </c>
      <c r="O40" s="7"/>
      <c r="P40" s="7"/>
      <c r="Q40" s="23"/>
      <c r="R40" s="23"/>
      <c r="S40" s="23"/>
      <c r="T40" s="23"/>
      <c r="U40" s="5">
        <f t="shared" si="2"/>
        <v>0.0568696527428283</v>
      </c>
      <c r="V40" s="5">
        <f t="shared" si="3"/>
        <v>0.0437845998993458</v>
      </c>
      <c r="W40" s="25">
        <f t="shared" si="4"/>
        <v>1.29885057471264</v>
      </c>
      <c r="X40" s="3">
        <f t="shared" si="5"/>
        <v>-1750.00000000001</v>
      </c>
      <c r="Y40" s="5">
        <f t="shared" si="6"/>
        <v>-0.0176144942123805</v>
      </c>
      <c r="Z40" s="5">
        <f>IF(OR(AE40="",多次统计数据!$B$8=""),"",AE40-多次统计数据!$B$8)</f>
        <v>-0.102036817398361</v>
      </c>
      <c r="AA40" s="8">
        <f t="shared" si="7"/>
        <v>3</v>
      </c>
      <c r="AB40" s="5">
        <f>IF(OR(A40="",多次统计数据!$B$8="",多次统计数据!$B$6&lt;=0,多次统计数据!$B$6&gt;=1),"",1-POWER(1+多次统计数据!$B$8,-多次统计数据!$B$6/(1-多次统计数据!$B$6)))</f>
        <v>0.0965082919530571</v>
      </c>
      <c r="AC40" s="6" t="str">
        <f>IF(OR(AB40="",多次统计数据!$B$9=""),"",IF(多次统计数据!$B$9&lt;AB40,"低于上限","达到或超过上限"))</f>
        <v>低于上限</v>
      </c>
      <c r="AD40" s="23"/>
      <c r="AE40" s="5">
        <f t="shared" si="8"/>
        <v>-0.00382685137602643</v>
      </c>
      <c r="AG40" s="23" t="s">
        <v>48</v>
      </c>
      <c r="AH40" s="23" t="s">
        <v>49</v>
      </c>
      <c r="AI40" s="23" t="s">
        <v>50</v>
      </c>
      <c r="AJ40" s="6" t="str">
        <f t="shared" si="9"/>
        <v>匹配</v>
      </c>
      <c r="AK40" s="26">
        <f>IF(A40="","",COUNTIFS(加仓管理!$A$2:$A$1001,A40,加仓管理!$G$2:$G$1001,"&gt;0"))</f>
        <v>0</v>
      </c>
      <c r="AL40" s="26">
        <f>IF(A40="","",SUMIFS(加仓管理!$G$2:$G$1001,加仓管理!$A$2:$A$1001,A40))</f>
        <v>0</v>
      </c>
      <c r="AM40" s="27" t="str">
        <f>IF(AK40=0,"",IFERROR(LOOKUP(2,1/((加仓管理!$A$2:$A$1001=A40)*(加仓管理!$G$2:$G$1001&gt;0)),加仓管理!$D$2:$D$1001),""))</f>
        <v/>
      </c>
      <c r="AN40" s="27" t="str">
        <f>IF(AK40=0,"",IFERROR(LOOKUP(2,1/((加仓管理!$A$2:$A$1001=A40)*(加仓管理!$G$2:$G$1001&gt;0)),加仓管理!$E$2:$E$1001),""))</f>
        <v/>
      </c>
      <c r="AO40" s="27">
        <f>IF(OR(A40="",H40="",H40&lt;=0),"",(E40*H40+SUMIFS(加仓管理!$H$2:$H$1001,加仓管理!$A$2:$A$1001,A40))/AP40)</f>
        <v>19.87</v>
      </c>
      <c r="AP40" s="26">
        <f t="shared" si="10"/>
        <v>5000</v>
      </c>
      <c r="AQ40" s="27">
        <f>IF(A40="","",IF(M40&lt;&gt;"",0,IF(OR(H40="",N40=""),"",MAX((E40*H40+SUMIFS(加仓管理!$H$2:$H$1001,加仓管理!$A$2:$A$1001,A40))-MAX(N40,AN40)*AP40,0))))</f>
        <v>0</v>
      </c>
      <c r="AR40" s="27" t="str">
        <f ca="1"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>通过</v>
      </c>
    </row>
    <row r="41" ht="17" spans="1:44">
      <c r="A41" s="23">
        <v>40</v>
      </c>
      <c r="B41" s="23" t="s">
        <v>55</v>
      </c>
      <c r="C41" s="7">
        <v>455545</v>
      </c>
      <c r="D41" s="4">
        <v>0.02</v>
      </c>
      <c r="E41" s="7">
        <v>20.52</v>
      </c>
      <c r="F41" s="6">
        <f t="shared" si="0"/>
        <v>4500</v>
      </c>
      <c r="G41" s="6" t="str">
        <f ca="1"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1" s="23">
        <v>4500</v>
      </c>
      <c r="I41" s="24">
        <v>43132</v>
      </c>
      <c r="J41" s="7">
        <v>25.63</v>
      </c>
      <c r="K41" s="7">
        <v>25.63</v>
      </c>
      <c r="L41" s="6">
        <f t="shared" si="1"/>
        <v>16500</v>
      </c>
      <c r="M41" s="24">
        <v>43173</v>
      </c>
      <c r="N41" s="7">
        <v>18.5</v>
      </c>
      <c r="O41" s="7"/>
      <c r="P41" s="7"/>
      <c r="Q41" s="23"/>
      <c r="R41" s="23"/>
      <c r="S41" s="23"/>
      <c r="T41" s="23"/>
      <c r="U41" s="5">
        <f t="shared" si="2"/>
        <v>0.163013585611352</v>
      </c>
      <c r="V41" s="5">
        <f t="shared" si="3"/>
        <v>0.160524723612563</v>
      </c>
      <c r="W41" s="25">
        <f t="shared" si="4"/>
        <v>1.01550454000343</v>
      </c>
      <c r="X41" s="3">
        <f t="shared" si="5"/>
        <v>59275</v>
      </c>
      <c r="Y41" s="5">
        <f t="shared" si="6"/>
        <v>0.163013585611352</v>
      </c>
      <c r="Z41" s="5">
        <f>IF(OR(AE41="",多次统计数据!$B$8=""),"",AE41-多次统计数据!$B$8)</f>
        <v>0.0319089025855965</v>
      </c>
      <c r="AA41" s="8">
        <f t="shared" si="7"/>
        <v>41</v>
      </c>
      <c r="AB41" s="5">
        <f>IF(OR(A41="",多次统计数据!$B$8="",多次统计数据!$B$6&lt;=0,多次统计数据!$B$6&gt;=1),"",1-POWER(1+多次统计数据!$B$8,-多次统计数据!$B$6/(1-多次统计数据!$B$6)))</f>
        <v>0.0965082919530571</v>
      </c>
      <c r="AC41" s="6" t="str">
        <f>IF(OR(AB41="",多次统计数据!$B$9=""),"",IF(多次统计数据!$B$9&lt;AB41,"低于上限","达到或超过上限"))</f>
        <v>低于上限</v>
      </c>
      <c r="AD41" s="23"/>
      <c r="AE41" s="5">
        <f t="shared" si="8"/>
        <v>0.130118868607931</v>
      </c>
      <c r="AG41" s="23" t="s">
        <v>45</v>
      </c>
      <c r="AH41" s="23" t="s">
        <v>46</v>
      </c>
      <c r="AI41" s="23" t="s">
        <v>51</v>
      </c>
      <c r="AJ41" s="6" t="str">
        <f t="shared" si="9"/>
        <v>匹配</v>
      </c>
      <c r="AK41" s="26">
        <f>IF(A41="","",COUNTIFS(加仓管理!$A$2:$A$1001,A41,加仓管理!$G$2:$G$1001,"&gt;0"))</f>
        <v>3</v>
      </c>
      <c r="AL41" s="26">
        <f>IF(A41="","",SUMIFS(加仓管理!$G$2:$G$1001,加仓管理!$A$2:$A$1001,A41))</f>
        <v>12000</v>
      </c>
      <c r="AM41" s="27">
        <f>IF(AK41=0,"",IFERROR(LOOKUP(2,1/((加仓管理!$A$2:$A$1001=A41)*(加仓管理!$G$2:$G$1001&gt;0)),加仓管理!$D$2:$D$1001),""))</f>
        <v>25.69</v>
      </c>
      <c r="AN41" s="27">
        <f>IF(AK41=0,"",IFERROR(LOOKUP(2,1/((加仓管理!$A$2:$A$1001=A41)*(加仓管理!$G$2:$G$1001&gt;0)),加仓管理!$E$2:$E$1001),""))</f>
        <v>23</v>
      </c>
      <c r="AO41" s="27">
        <f>IF(OR(A41="",H41="",H41&lt;=0),"",(E41*H41+SUMIFS(加仓管理!$H$2:$H$1001,加仓管理!$A$2:$A$1001,A41))/AP41)</f>
        <v>22.0375757575758</v>
      </c>
      <c r="AP41" s="26">
        <f t="shared" si="10"/>
        <v>16500</v>
      </c>
      <c r="AQ41" s="27">
        <f>IF(A41="","",IF(M41&lt;&gt;"",0,IF(OR(H41="",N41=""),"",MAX((E41*H41+SUMIFS(加仓管理!$H$2:$H$1001,加仓管理!$A$2:$A$1001,A41))-MAX(N41,AN41)*AP41,0))))</f>
        <v>0</v>
      </c>
      <c r="AR41" s="27" t="str">
        <f ca="1"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>违规：请检查加仓管理表</v>
      </c>
    </row>
    <row r="42" ht="17" spans="1:44">
      <c r="A42" s="23">
        <v>41</v>
      </c>
      <c r="B42" s="23" t="s">
        <v>55</v>
      </c>
      <c r="C42" s="7">
        <v>514820</v>
      </c>
      <c r="D42" s="4">
        <v>0.02</v>
      </c>
      <c r="E42" s="7">
        <v>27.44</v>
      </c>
      <c r="F42" s="6">
        <f t="shared" si="0"/>
        <v>3500</v>
      </c>
      <c r="G42" s="6" t="str">
        <f ca="1"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2" s="23">
        <v>3500</v>
      </c>
      <c r="I42" s="24">
        <v>43178</v>
      </c>
      <c r="J42" s="7">
        <v>30</v>
      </c>
      <c r="K42" s="7">
        <v>24.74</v>
      </c>
      <c r="L42" s="6">
        <f t="shared" si="1"/>
        <v>3500</v>
      </c>
      <c r="M42" s="24">
        <v>43181</v>
      </c>
      <c r="N42" s="7">
        <v>24.5</v>
      </c>
      <c r="O42" s="7"/>
      <c r="P42" s="7"/>
      <c r="Q42" s="23"/>
      <c r="R42" s="23"/>
      <c r="S42" s="23"/>
      <c r="T42" s="23"/>
      <c r="U42" s="5">
        <f t="shared" si="2"/>
        <v>0.0932944606413994</v>
      </c>
      <c r="V42" s="5">
        <f t="shared" si="3"/>
        <v>0.107142857142857</v>
      </c>
      <c r="W42" s="25">
        <f t="shared" si="4"/>
        <v>0.870748299319727</v>
      </c>
      <c r="X42" s="3">
        <f t="shared" si="5"/>
        <v>-9450.00000000001</v>
      </c>
      <c r="Y42" s="5">
        <f t="shared" si="6"/>
        <v>-0.098396501457726</v>
      </c>
      <c r="Z42" s="5">
        <f>IF(OR(AE42="",多次统计数据!$B$8=""),"",AE42-多次统计数据!$B$8)</f>
        <v>-0.116565896250375</v>
      </c>
      <c r="AA42" s="8">
        <f t="shared" si="7"/>
        <v>3</v>
      </c>
      <c r="AB42" s="5">
        <f>IF(OR(A42="",多次统计数据!$B$8="",多次统计数据!$B$6&lt;=0,多次统计数据!$B$6&gt;=1),"",1-POWER(1+多次统计数据!$B$8,-多次统计数据!$B$6/(1-多次统计数据!$B$6)))</f>
        <v>0.0965082919530571</v>
      </c>
      <c r="AC42" s="6" t="str">
        <f>IF(OR(AB42="",多次统计数据!$B$9=""),"",IF(多次统计数据!$B$9&lt;AB42,"低于上限","达到或超过上限"))</f>
        <v>低于上限</v>
      </c>
      <c r="AD42" s="23"/>
      <c r="AE42" s="5">
        <f t="shared" si="8"/>
        <v>-0.0183559302280409</v>
      </c>
      <c r="AG42" s="23" t="s">
        <v>52</v>
      </c>
      <c r="AH42" s="23" t="s">
        <v>49</v>
      </c>
      <c r="AI42" s="23" t="s">
        <v>53</v>
      </c>
      <c r="AJ42" s="6" t="str">
        <f t="shared" si="9"/>
        <v>匹配</v>
      </c>
      <c r="AK42" s="26">
        <f>IF(A42="","",COUNTIFS(加仓管理!$A$2:$A$1001,A42,加仓管理!$G$2:$G$1001,"&gt;0"))</f>
        <v>0</v>
      </c>
      <c r="AL42" s="26">
        <f>IF(A42="","",SUMIFS(加仓管理!$G$2:$G$1001,加仓管理!$A$2:$A$1001,A42))</f>
        <v>0</v>
      </c>
      <c r="AM42" s="27" t="str">
        <f>IF(AK42=0,"",IFERROR(LOOKUP(2,1/((加仓管理!$A$2:$A$1001=A42)*(加仓管理!$G$2:$G$1001&gt;0)),加仓管理!$D$2:$D$1001),""))</f>
        <v/>
      </c>
      <c r="AN42" s="27" t="str">
        <f>IF(AK42=0,"",IFERROR(LOOKUP(2,1/((加仓管理!$A$2:$A$1001=A42)*(加仓管理!$G$2:$G$1001&gt;0)),加仓管理!$E$2:$E$1001),""))</f>
        <v/>
      </c>
      <c r="AO42" s="27">
        <f>IF(OR(A42="",H42="",H42&lt;=0),"",(E42*H42+SUMIFS(加仓管理!$H$2:$H$1001,加仓管理!$A$2:$A$1001,A42))/AP42)</f>
        <v>27.44</v>
      </c>
      <c r="AP42" s="26">
        <f t="shared" si="10"/>
        <v>3500</v>
      </c>
      <c r="AQ42" s="27">
        <f>IF(A42="","",IF(M42&lt;&gt;"",0,IF(OR(H42="",N42=""),"",MAX((E42*H42+SUMIFS(加仓管理!$H$2:$H$1001,加仓管理!$A$2:$A$1001,A42))-MAX(N42,AN42)*AP42,0))))</f>
        <v>0</v>
      </c>
      <c r="AR42" s="27" t="str">
        <f ca="1"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>通过</v>
      </c>
    </row>
    <row r="43" ht="17" spans="1:44">
      <c r="A43" s="23">
        <v>42</v>
      </c>
      <c r="B43" s="23" t="s">
        <v>55</v>
      </c>
      <c r="C43" s="7">
        <v>505370</v>
      </c>
      <c r="D43" s="4">
        <v>0.02</v>
      </c>
      <c r="E43" s="7">
        <v>27.02</v>
      </c>
      <c r="F43" s="6">
        <f t="shared" si="0"/>
        <v>6600</v>
      </c>
      <c r="G43" s="6" t="str">
        <f ca="1"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3" s="23">
        <v>3500</v>
      </c>
      <c r="I43" s="24">
        <v>43215</v>
      </c>
      <c r="J43" s="7">
        <v>30</v>
      </c>
      <c r="K43" s="7">
        <v>27.63</v>
      </c>
      <c r="L43" s="6">
        <f t="shared" si="1"/>
        <v>11500</v>
      </c>
      <c r="M43" s="24">
        <v>43250</v>
      </c>
      <c r="N43" s="7">
        <v>25.5</v>
      </c>
      <c r="O43" s="7"/>
      <c r="P43" s="7"/>
      <c r="Q43" s="23"/>
      <c r="R43" s="23"/>
      <c r="S43" s="23"/>
      <c r="T43" s="23"/>
      <c r="U43" s="5">
        <f t="shared" si="2"/>
        <v>0.0289600047719884</v>
      </c>
      <c r="V43" s="5">
        <f t="shared" si="3"/>
        <v>0.12538399594381</v>
      </c>
      <c r="W43" s="25">
        <f t="shared" si="4"/>
        <v>0.230970504281636</v>
      </c>
      <c r="X43" s="3">
        <f t="shared" si="5"/>
        <v>-17545</v>
      </c>
      <c r="Y43" s="5">
        <f t="shared" si="6"/>
        <v>-0.0523278356049987</v>
      </c>
      <c r="Z43" s="5">
        <f>IF(OR(AE43="",多次统计数据!$B$8=""),"",AE43-多次统计数据!$B$8)</f>
        <v>-0.132927103960875</v>
      </c>
      <c r="AA43" s="8">
        <f t="shared" si="7"/>
        <v>35</v>
      </c>
      <c r="AB43" s="5">
        <f>IF(OR(A43="",多次统计数据!$B$8="",多次统计数据!$B$6&lt;=0,多次统计数据!$B$6&gt;=1),"",1-POWER(1+多次统计数据!$B$8,-多次统计数据!$B$6/(1-多次统计数据!$B$6)))</f>
        <v>0.0965082919530571</v>
      </c>
      <c r="AC43" s="6" t="str">
        <f>IF(OR(AB43="",多次统计数据!$B$9=""),"",IF(多次统计数据!$B$9&lt;AB43,"低于上限","达到或超过上限"))</f>
        <v>低于上限</v>
      </c>
      <c r="AD43" s="23"/>
      <c r="AE43" s="5">
        <f t="shared" si="8"/>
        <v>-0.0347171379385401</v>
      </c>
      <c r="AG43" s="23" t="s">
        <v>52</v>
      </c>
      <c r="AH43" s="23" t="s">
        <v>46</v>
      </c>
      <c r="AI43" s="23" t="s">
        <v>53</v>
      </c>
      <c r="AJ43" s="6" t="str">
        <f t="shared" si="9"/>
        <v>匹配</v>
      </c>
      <c r="AK43" s="26">
        <f>IF(A43="","",COUNTIFS(加仓管理!$A$2:$A$1001,A43,加仓管理!$G$2:$G$1001,"&gt;0"))</f>
        <v>2</v>
      </c>
      <c r="AL43" s="26">
        <f>IF(A43="","",SUMIFS(加仓管理!$G$2:$G$1001,加仓管理!$A$2:$A$1001,A43))</f>
        <v>8000</v>
      </c>
      <c r="AM43" s="27">
        <f>IF(AK43=0,"",IFERROR(LOOKUP(2,1/((加仓管理!$A$2:$A$1001=A43)*(加仓管理!$G$2:$G$1001&gt;0)),加仓管理!$D$2:$D$1001),""))</f>
        <v>31.44</v>
      </c>
      <c r="AN43" s="27">
        <f>IF(AK43=0,"",IFERROR(LOOKUP(2,1/((加仓管理!$A$2:$A$1001=A43)*(加仓管理!$G$2:$G$1001&gt;0)),加仓管理!$E$2:$E$1001),""))</f>
        <v>30</v>
      </c>
      <c r="AO43" s="27">
        <f>IF(OR(A43="",H43="",H43&lt;=0),"",(E43*H43+SUMIFS(加仓管理!$H$2:$H$1001,加仓管理!$A$2:$A$1001,A43))/AP43)</f>
        <v>29.155652173913</v>
      </c>
      <c r="AP43" s="26">
        <f t="shared" si="10"/>
        <v>11500</v>
      </c>
      <c r="AQ43" s="27">
        <f>IF(A43="","",IF(M43&lt;&gt;"",0,IF(OR(H43="",N43=""),"",MAX((E43*H43+SUMIFS(加仓管理!$H$2:$H$1001,加仓管理!$A$2:$A$1001,A43))-MAX(N43,AN43)*AP43,0))))</f>
        <v>0</v>
      </c>
      <c r="AR43" s="27" t="str">
        <f ca="1"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>违规：请检查加仓管理表</v>
      </c>
    </row>
    <row r="44" ht="17" spans="1:44">
      <c r="A44" s="23">
        <v>43</v>
      </c>
      <c r="B44" s="23" t="s">
        <v>55</v>
      </c>
      <c r="C44" s="7">
        <v>487825</v>
      </c>
      <c r="D44" s="4">
        <v>0.02</v>
      </c>
      <c r="E44" s="7">
        <v>24.51</v>
      </c>
      <c r="F44" s="6">
        <f t="shared" si="0"/>
        <v>14500</v>
      </c>
      <c r="G44" s="6" t="str">
        <f ca="1"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4" s="23">
        <v>5000</v>
      </c>
      <c r="I44" s="24">
        <v>43203</v>
      </c>
      <c r="J44" s="7">
        <v>30</v>
      </c>
      <c r="K44" s="7">
        <v>22.45</v>
      </c>
      <c r="L44" s="6">
        <f t="shared" si="1"/>
        <v>5000</v>
      </c>
      <c r="M44" s="24">
        <v>43318</v>
      </c>
      <c r="N44" s="7">
        <v>23.84</v>
      </c>
      <c r="O44" s="7"/>
      <c r="P44" s="7"/>
      <c r="Q44" s="23"/>
      <c r="R44" s="23"/>
      <c r="S44" s="23"/>
      <c r="T44" s="23"/>
      <c r="U44" s="5">
        <f t="shared" si="2"/>
        <v>0.223990208078335</v>
      </c>
      <c r="V44" s="5">
        <f t="shared" si="3"/>
        <v>0.0273357813137496</v>
      </c>
      <c r="W44" s="25">
        <f t="shared" si="4"/>
        <v>8.19402985074625</v>
      </c>
      <c r="X44" s="3">
        <f t="shared" si="5"/>
        <v>-10300</v>
      </c>
      <c r="Y44" s="5">
        <f t="shared" si="6"/>
        <v>-0.0840473276213791</v>
      </c>
      <c r="Z44" s="5">
        <f>IF(OR(AE44="",多次统计数据!$B$8=""),"",AE44-多次统计数据!$B$8)</f>
        <v>-0.119324095064512</v>
      </c>
      <c r="AA44" s="8">
        <f t="shared" si="7"/>
        <v>115</v>
      </c>
      <c r="AB44" s="5">
        <f>IF(OR(A44="",多次统计数据!$B$8="",多次统计数据!$B$6&lt;=0,多次统计数据!$B$6&gt;=1),"",1-POWER(1+多次统计数据!$B$8,-多次统计数据!$B$6/(1-多次统计数据!$B$6)))</f>
        <v>0.0965082919530571</v>
      </c>
      <c r="AC44" s="6" t="str">
        <f>IF(OR(AB44="",多次统计数据!$B$9=""),"",IF(多次统计数据!$B$9&lt;AB44,"低于上限","达到或超过上限"))</f>
        <v>低于上限</v>
      </c>
      <c r="AD44" s="23"/>
      <c r="AE44" s="5">
        <f t="shared" si="8"/>
        <v>-0.021114129042177</v>
      </c>
      <c r="AG44" s="23" t="s">
        <v>48</v>
      </c>
      <c r="AH44" s="23" t="s">
        <v>49</v>
      </c>
      <c r="AI44" s="23" t="s">
        <v>50</v>
      </c>
      <c r="AJ44" s="6" t="str">
        <f t="shared" si="9"/>
        <v>匹配</v>
      </c>
      <c r="AK44" s="26">
        <f>IF(A44="","",COUNTIFS(加仓管理!$A$2:$A$1001,A44,加仓管理!$G$2:$G$1001,"&gt;0"))</f>
        <v>0</v>
      </c>
      <c r="AL44" s="26">
        <f>IF(A44="","",SUMIFS(加仓管理!$G$2:$G$1001,加仓管理!$A$2:$A$1001,A44))</f>
        <v>0</v>
      </c>
      <c r="AM44" s="27" t="str">
        <f>IF(AK44=0,"",IFERROR(LOOKUP(2,1/((加仓管理!$A$2:$A$1001=A44)*(加仓管理!$G$2:$G$1001&gt;0)),加仓管理!$D$2:$D$1001),""))</f>
        <v/>
      </c>
      <c r="AN44" s="27" t="str">
        <f>IF(AK44=0,"",IFERROR(LOOKUP(2,1/((加仓管理!$A$2:$A$1001=A44)*(加仓管理!$G$2:$G$1001&gt;0)),加仓管理!$E$2:$E$1001),""))</f>
        <v/>
      </c>
      <c r="AO44" s="27">
        <f>IF(OR(A44="",H44="",H44&lt;=0),"",(E44*H44+SUMIFS(加仓管理!$H$2:$H$1001,加仓管理!$A$2:$A$1001,A44))/AP44)</f>
        <v>24.51</v>
      </c>
      <c r="AP44" s="26">
        <f t="shared" si="10"/>
        <v>5000</v>
      </c>
      <c r="AQ44" s="27">
        <f>IF(A44="","",IF(M44&lt;&gt;"",0,IF(OR(H44="",N44=""),"",MAX((E44*H44+SUMIFS(加仓管理!$H$2:$H$1001,加仓管理!$A$2:$A$1001,A44))-MAX(N44,AN44)*AP44,0))))</f>
        <v>0</v>
      </c>
      <c r="AR44" s="27" t="str">
        <f ca="1"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>通过</v>
      </c>
    </row>
    <row r="45" ht="17" spans="1:44">
      <c r="A45" s="23">
        <v>44</v>
      </c>
      <c r="B45" s="23" t="s">
        <v>55</v>
      </c>
      <c r="C45" s="7">
        <v>477525</v>
      </c>
      <c r="D45" s="4">
        <v>0.02</v>
      </c>
      <c r="E45" s="7">
        <v>23.99</v>
      </c>
      <c r="F45" s="6">
        <f t="shared" si="0"/>
        <v>3600</v>
      </c>
      <c r="G45" s="6" t="str">
        <f ca="1"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5" s="23">
        <v>3600</v>
      </c>
      <c r="I45" s="24">
        <v>43343</v>
      </c>
      <c r="J45" s="7">
        <v>30</v>
      </c>
      <c r="K45" s="7">
        <v>21.65</v>
      </c>
      <c r="L45" s="6">
        <f t="shared" si="1"/>
        <v>3600</v>
      </c>
      <c r="M45" s="24">
        <v>43355</v>
      </c>
      <c r="N45" s="7">
        <v>21.37</v>
      </c>
      <c r="O45" s="7"/>
      <c r="P45" s="7"/>
      <c r="Q45" s="23"/>
      <c r="R45" s="23"/>
      <c r="S45" s="23"/>
      <c r="T45" s="23"/>
      <c r="U45" s="5">
        <f t="shared" si="2"/>
        <v>0.250521050437682</v>
      </c>
      <c r="V45" s="5">
        <f t="shared" si="3"/>
        <v>0.109212171738224</v>
      </c>
      <c r="W45" s="25">
        <f t="shared" si="4"/>
        <v>2.293893129771</v>
      </c>
      <c r="X45" s="3">
        <f t="shared" si="5"/>
        <v>-8424</v>
      </c>
      <c r="Y45" s="5">
        <f t="shared" si="6"/>
        <v>-0.0975406419341392</v>
      </c>
      <c r="Z45" s="5">
        <f>IF(OR(AE45="",多次统计数据!$B$8=""),"",AE45-多次统计数据!$B$8)</f>
        <v>-0.115850927228554</v>
      </c>
      <c r="AA45" s="8">
        <f t="shared" si="7"/>
        <v>12</v>
      </c>
      <c r="AB45" s="5">
        <f>IF(OR(A45="",多次统计数据!$B$8="",多次统计数据!$B$6&lt;=0,多次统计数据!$B$6&gt;=1),"",1-POWER(1+多次统计数据!$B$8,-多次统计数据!$B$6/(1-多次统计数据!$B$6)))</f>
        <v>0.0965082919530571</v>
      </c>
      <c r="AC45" s="6" t="str">
        <f>IF(OR(AB45="",多次统计数据!$B$9=""),"",IF(多次统计数据!$B$9&lt;AB45,"低于上限","达到或超过上限"))</f>
        <v>低于上限</v>
      </c>
      <c r="AD45" s="23"/>
      <c r="AE45" s="5">
        <f t="shared" si="8"/>
        <v>-0.0176409612062196</v>
      </c>
      <c r="AG45" s="23" t="s">
        <v>48</v>
      </c>
      <c r="AH45" s="23" t="s">
        <v>49</v>
      </c>
      <c r="AI45" s="23" t="s">
        <v>50</v>
      </c>
      <c r="AJ45" s="6" t="str">
        <f t="shared" si="9"/>
        <v>匹配</v>
      </c>
      <c r="AK45" s="26">
        <f>IF(A45="","",COUNTIFS(加仓管理!$A$2:$A$1001,A45,加仓管理!$G$2:$G$1001,"&gt;0"))</f>
        <v>0</v>
      </c>
      <c r="AL45" s="26">
        <f>IF(A45="","",SUMIFS(加仓管理!$G$2:$G$1001,加仓管理!$A$2:$A$1001,A45))</f>
        <v>0</v>
      </c>
      <c r="AM45" s="27" t="str">
        <f>IF(AK45=0,"",IFERROR(LOOKUP(2,1/((加仓管理!$A$2:$A$1001=A45)*(加仓管理!$G$2:$G$1001&gt;0)),加仓管理!$D$2:$D$1001),""))</f>
        <v/>
      </c>
      <c r="AN45" s="27" t="str">
        <f>IF(AK45=0,"",IFERROR(LOOKUP(2,1/((加仓管理!$A$2:$A$1001=A45)*(加仓管理!$G$2:$G$1001&gt;0)),加仓管理!$E$2:$E$1001),""))</f>
        <v/>
      </c>
      <c r="AO45" s="27">
        <f>IF(OR(A45="",H45="",H45&lt;=0),"",(E45*H45+SUMIFS(加仓管理!$H$2:$H$1001,加仓管理!$A$2:$A$1001,A45))/AP45)</f>
        <v>23.99</v>
      </c>
      <c r="AP45" s="26">
        <f t="shared" si="10"/>
        <v>3600</v>
      </c>
      <c r="AQ45" s="27">
        <f>IF(A45="","",IF(M45&lt;&gt;"",0,IF(OR(H45="",N45=""),"",MAX((E45*H45+SUMIFS(加仓管理!$H$2:$H$1001,加仓管理!$A$2:$A$1001,A45))-MAX(N45,AN45)*AP45,0))))</f>
        <v>0</v>
      </c>
      <c r="AR45" s="27" t="str">
        <f ca="1"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>通过</v>
      </c>
    </row>
    <row r="46" s="20" customFormat="1" ht="17" spans="1:44">
      <c r="A46" s="28">
        <v>45</v>
      </c>
      <c r="B46" s="28" t="s">
        <v>55</v>
      </c>
      <c r="C46" s="29">
        <v>469101</v>
      </c>
      <c r="D46" s="30">
        <v>0.02</v>
      </c>
      <c r="E46" s="29">
        <v>17.9</v>
      </c>
      <c r="F46" s="31">
        <f t="shared" si="0"/>
        <v>6700</v>
      </c>
      <c r="G46" s="31" t="str">
        <f ca="1"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6" s="28">
        <v>6700</v>
      </c>
      <c r="I46" s="32">
        <v>43444</v>
      </c>
      <c r="J46" s="29">
        <v>20</v>
      </c>
      <c r="K46" s="29">
        <v>23.39</v>
      </c>
      <c r="L46" s="31">
        <f t="shared" si="1"/>
        <v>24700</v>
      </c>
      <c r="M46" s="32">
        <v>43733</v>
      </c>
      <c r="N46" s="29">
        <v>16.5</v>
      </c>
      <c r="O46" s="29"/>
      <c r="P46" s="29"/>
      <c r="Q46" s="28"/>
      <c r="R46" s="28"/>
      <c r="S46" s="28"/>
      <c r="T46" s="28"/>
      <c r="U46" s="33">
        <f t="shared" si="2"/>
        <v>0.0811047402284765</v>
      </c>
      <c r="V46" s="33">
        <f t="shared" si="3"/>
        <v>0.108088589311507</v>
      </c>
      <c r="W46" s="34">
        <f t="shared" si="4"/>
        <v>0.750354322737397</v>
      </c>
      <c r="X46" s="35">
        <f t="shared" si="5"/>
        <v>120793</v>
      </c>
      <c r="Y46" s="33">
        <f t="shared" si="6"/>
        <v>0.264351993697203</v>
      </c>
      <c r="Z46" s="33">
        <f>IF(OR(AE46="",多次统计数据!$B$8=""),"",AE46-多次统计数据!$B$8)</f>
        <v>0.159288952121093</v>
      </c>
      <c r="AA46" s="36">
        <f t="shared" si="7"/>
        <v>289</v>
      </c>
      <c r="AB46" s="33">
        <f>IF(OR(A46="",多次统计数据!$B$8="",多次统计数据!$B$6&lt;=0,多次统计数据!$B$6&gt;=1),"",1-POWER(1+多次统计数据!$B$8,-多次统计数据!$B$6/(1-多次统计数据!$B$6)))</f>
        <v>0.0965082919530571</v>
      </c>
      <c r="AC46" s="31" t="str">
        <f>IF(OR(AB46="",多次统计数据!$B$9=""),"",IF(多次统计数据!$B$9&lt;AB46,"低于上限","达到或超过上限"))</f>
        <v>低于上限</v>
      </c>
      <c r="AD46" s="28"/>
      <c r="AE46" s="33">
        <f t="shared" si="8"/>
        <v>0.257498918143428</v>
      </c>
      <c r="AG46" s="28" t="s">
        <v>48</v>
      </c>
      <c r="AH46" s="28" t="s">
        <v>49</v>
      </c>
      <c r="AI46" s="28" t="s">
        <v>50</v>
      </c>
      <c r="AJ46" s="31" t="str">
        <f t="shared" si="9"/>
        <v>匹配</v>
      </c>
      <c r="AK46" s="37">
        <f>IF(A46="","",COUNTIFS(加仓管理!$A$2:$A$1001,A46,加仓管理!$G$2:$G$1001,"&gt;0"))</f>
        <v>5</v>
      </c>
      <c r="AL46" s="37">
        <f>IF(A46="","",SUMIFS(加仓管理!$G$2:$G$1001,加仓管理!$A$2:$A$1001,A46))</f>
        <v>18000</v>
      </c>
      <c r="AM46" s="38">
        <f>IF(AK46=0,"",IFERROR(LOOKUP(2,1/((加仓管理!$A$2:$A$1001=A46)*(加仓管理!$G$2:$G$1001&gt;0)),加仓管理!$D$2:$D$1001),""))</f>
        <v>20.62</v>
      </c>
      <c r="AN46" s="38">
        <f>IF(AK46=0,"",IFERROR(LOOKUP(2,1/((加仓管理!$A$2:$A$1001=A46)*(加仓管理!$G$2:$G$1001&gt;0)),加仓管理!$E$2:$E$1001),""))</f>
        <v>19.5</v>
      </c>
      <c r="AO46" s="38">
        <f>IF(OR(A46="",H46="",H46&lt;=0),"",(E46*H46+SUMIFS(加仓管理!$H$2:$H$1001,加仓管理!$A$2:$A$1001,A46))/AP46)</f>
        <v>18.4995951417004</v>
      </c>
      <c r="AP46" s="37">
        <f t="shared" si="10"/>
        <v>24700</v>
      </c>
      <c r="AQ46" s="38">
        <f>IF(A46="","",IF(M46&lt;&gt;"",0,IF(OR(H46="",N46=""),"",MAX((E46*H46+SUMIFS(加仓管理!$H$2:$H$1001,加仓管理!$A$2:$A$1001,A46))-MAX(N46,AN46)*AP46,0))))</f>
        <v>0</v>
      </c>
      <c r="AR46" s="38" t="str">
        <f ca="1"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>违规：请检查加仓管理表</v>
      </c>
    </row>
    <row r="47" ht="17" spans="1:44">
      <c r="A47" s="23">
        <v>46</v>
      </c>
      <c r="B47" s="23" t="s">
        <v>55</v>
      </c>
      <c r="C47" s="7">
        <v>589894</v>
      </c>
      <c r="D47" s="4">
        <v>0.02</v>
      </c>
      <c r="E47" s="7">
        <v>20.5</v>
      </c>
      <c r="F47" s="6">
        <f t="shared" si="0"/>
        <v>11700</v>
      </c>
      <c r="G47" s="6" t="str">
        <f ca="1"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7" s="23">
        <v>7000</v>
      </c>
      <c r="I47" s="24">
        <v>43756</v>
      </c>
      <c r="J47" s="7">
        <v>23</v>
      </c>
      <c r="K47" s="7">
        <v>20.12</v>
      </c>
      <c r="L47" s="6">
        <f t="shared" si="1"/>
        <v>7000</v>
      </c>
      <c r="M47" s="24">
        <v>43768</v>
      </c>
      <c r="N47" s="7">
        <v>19.5</v>
      </c>
      <c r="O47" s="7"/>
      <c r="P47" s="7"/>
      <c r="Q47" s="23"/>
      <c r="R47" s="23"/>
      <c r="S47" s="23"/>
      <c r="T47" s="23"/>
      <c r="U47" s="5">
        <f t="shared" si="2"/>
        <v>0.121951219512195</v>
      </c>
      <c r="V47" s="5">
        <f t="shared" si="3"/>
        <v>0.0487804878048781</v>
      </c>
      <c r="W47" s="25">
        <f t="shared" si="4"/>
        <v>2.5</v>
      </c>
      <c r="X47" s="3">
        <f t="shared" si="5"/>
        <v>-2659.99999999999</v>
      </c>
      <c r="Y47" s="5">
        <f t="shared" si="6"/>
        <v>-0.0185365853658536</v>
      </c>
      <c r="Z47" s="5">
        <f>IF(OR(AE47="",多次统计数据!$B$8=""),"",AE47-多次统计数据!$B$8)</f>
        <v>-0.102719250741284</v>
      </c>
      <c r="AA47" s="8">
        <f t="shared" si="7"/>
        <v>12</v>
      </c>
      <c r="AB47" s="5">
        <f>IF(OR(A47="",多次统计数据!$B$8="",多次统计数据!$B$6&lt;=0,多次统计数据!$B$6&gt;=1),"",1-POWER(1+多次统计数据!$B$8,-多次统计数据!$B$6/(1-多次统计数据!$B$6)))</f>
        <v>0.0965082919530571</v>
      </c>
      <c r="AC47" s="6" t="str">
        <f>IF(OR(AB47="",多次统计数据!$B$9=""),"",IF(多次统计数据!$B$9&lt;AB47,"低于上限","达到或超过上限"))</f>
        <v>低于上限</v>
      </c>
      <c r="AD47" s="23"/>
      <c r="AE47" s="5">
        <f t="shared" si="8"/>
        <v>-0.00450928471894949</v>
      </c>
      <c r="AG47" s="23" t="s">
        <v>48</v>
      </c>
      <c r="AH47" s="23" t="s">
        <v>49</v>
      </c>
      <c r="AI47" s="23" t="s">
        <v>50</v>
      </c>
      <c r="AJ47" s="6" t="str">
        <f t="shared" si="9"/>
        <v>匹配</v>
      </c>
      <c r="AK47" s="26">
        <f>IF(A47="","",COUNTIFS(加仓管理!$A$2:$A$1001,A47,加仓管理!$G$2:$G$1001,"&gt;0"))</f>
        <v>0</v>
      </c>
      <c r="AL47" s="26">
        <f>IF(A47="","",SUMIFS(加仓管理!$G$2:$G$1001,加仓管理!$A$2:$A$1001,A47))</f>
        <v>0</v>
      </c>
      <c r="AM47" s="27" t="str">
        <f>IF(AK47=0,"",IFERROR(LOOKUP(2,1/((加仓管理!$A$2:$A$1001=A47)*(加仓管理!$G$2:$G$1001&gt;0)),加仓管理!$D$2:$D$1001),""))</f>
        <v/>
      </c>
      <c r="AN47" s="27" t="str">
        <f>IF(AK47=0,"",IFERROR(LOOKUP(2,1/((加仓管理!$A$2:$A$1001=A47)*(加仓管理!$G$2:$G$1001&gt;0)),加仓管理!$E$2:$E$1001),""))</f>
        <v/>
      </c>
      <c r="AO47" s="27">
        <f>IF(OR(A47="",H47="",H47&lt;=0),"",(E47*H47+SUMIFS(加仓管理!$H$2:$H$1001,加仓管理!$A$2:$A$1001,A47))/AP47)</f>
        <v>20.5</v>
      </c>
      <c r="AP47" s="26">
        <f t="shared" si="10"/>
        <v>7000</v>
      </c>
      <c r="AQ47" s="27">
        <f>IF(A47="","",IF(M47&lt;&gt;"",0,IF(OR(H47="",N47=""),"",MAX((E47*H47+SUMIFS(加仓管理!$H$2:$H$1001,加仓管理!$A$2:$A$1001,A47))-MAX(N47,AN47)*AP47,0))))</f>
        <v>0</v>
      </c>
      <c r="AR47" s="27" t="str">
        <f ca="1"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>通过</v>
      </c>
    </row>
    <row r="48" ht="17" spans="1:44">
      <c r="A48" s="23">
        <v>47</v>
      </c>
      <c r="B48" s="23" t="s">
        <v>55</v>
      </c>
      <c r="C48" s="7">
        <v>587234</v>
      </c>
      <c r="D48" s="4">
        <v>0.02</v>
      </c>
      <c r="E48" s="7">
        <v>19.83</v>
      </c>
      <c r="F48" s="6">
        <f t="shared" si="0"/>
        <v>14100</v>
      </c>
      <c r="G48" s="6" t="str">
        <f ca="1"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8" s="23">
        <v>10000</v>
      </c>
      <c r="I48" s="24">
        <v>43770</v>
      </c>
      <c r="J48" s="7">
        <v>20.12</v>
      </c>
      <c r="K48" s="7">
        <v>20.12</v>
      </c>
      <c r="L48" s="6">
        <f t="shared" si="1"/>
        <v>10000</v>
      </c>
      <c r="M48" s="24">
        <v>43780</v>
      </c>
      <c r="N48" s="7">
        <v>19</v>
      </c>
      <c r="O48" s="7"/>
      <c r="P48" s="7"/>
      <c r="Q48" s="23"/>
      <c r="R48" s="23"/>
      <c r="S48" s="23"/>
      <c r="T48" s="23"/>
      <c r="U48" s="5">
        <f t="shared" si="2"/>
        <v>0.0146243066061524</v>
      </c>
      <c r="V48" s="5">
        <f t="shared" si="3"/>
        <v>0.0418557740796772</v>
      </c>
      <c r="W48" s="25">
        <f t="shared" si="4"/>
        <v>0.34939759036145</v>
      </c>
      <c r="X48" s="3">
        <f t="shared" si="5"/>
        <v>2900.00000000003</v>
      </c>
      <c r="Y48" s="5">
        <f t="shared" si="6"/>
        <v>0.0146243066061524</v>
      </c>
      <c r="Z48" s="5">
        <f>IF(OR(AE48="",多次统计数据!$B$8=""),"",AE48-多次统计数据!$B$8)</f>
        <v>-0.0932715598673776</v>
      </c>
      <c r="AA48" s="8">
        <f t="shared" si="7"/>
        <v>10</v>
      </c>
      <c r="AB48" s="5">
        <f>IF(OR(A48="",多次统计数据!$B$8="",多次统计数据!$B$6&lt;=0,多次统计数据!$B$6&gt;=1),"",1-POWER(1+多次统计数据!$B$8,-多次统计数据!$B$6/(1-多次统计数据!$B$6)))</f>
        <v>0.0965082919530571</v>
      </c>
      <c r="AC48" s="6" t="str">
        <f>IF(OR(AB48="",多次统计数据!$B$9=""),"",IF(多次统计数据!$B$9&lt;AB48,"低于上限","达到或超过上限"))</f>
        <v>低于上限</v>
      </c>
      <c r="AD48" s="23"/>
      <c r="AE48" s="5">
        <f t="shared" si="8"/>
        <v>0.00493840615495701</v>
      </c>
      <c r="AG48" s="23" t="s">
        <v>48</v>
      </c>
      <c r="AH48" s="23" t="s">
        <v>49</v>
      </c>
      <c r="AI48" s="23" t="s">
        <v>50</v>
      </c>
      <c r="AJ48" s="6" t="str">
        <f t="shared" si="9"/>
        <v>匹配</v>
      </c>
      <c r="AK48" s="26">
        <f>IF(A48="","",COUNTIFS(加仓管理!$A$2:$A$1001,A48,加仓管理!$G$2:$G$1001,"&gt;0"))</f>
        <v>0</v>
      </c>
      <c r="AL48" s="26">
        <f>IF(A48="","",SUMIFS(加仓管理!$G$2:$G$1001,加仓管理!$A$2:$A$1001,A48))</f>
        <v>0</v>
      </c>
      <c r="AM48" s="27" t="str">
        <f>IF(AK48=0,"",IFERROR(LOOKUP(2,1/((加仓管理!$A$2:$A$1001=A48)*(加仓管理!$G$2:$G$1001&gt;0)),加仓管理!$D$2:$D$1001),""))</f>
        <v/>
      </c>
      <c r="AN48" s="27" t="str">
        <f>IF(AK48=0,"",IFERROR(LOOKUP(2,1/((加仓管理!$A$2:$A$1001=A48)*(加仓管理!$G$2:$G$1001&gt;0)),加仓管理!$E$2:$E$1001),""))</f>
        <v/>
      </c>
      <c r="AO48" s="27">
        <f>IF(OR(A48="",H48="",H48&lt;=0),"",(E48*H48+SUMIFS(加仓管理!$H$2:$H$1001,加仓管理!$A$2:$A$1001,A48))/AP48)</f>
        <v>19.83</v>
      </c>
      <c r="AP48" s="26">
        <f t="shared" si="10"/>
        <v>10000</v>
      </c>
      <c r="AQ48" s="27">
        <f>IF(A48="","",IF(M48&lt;&gt;"",0,IF(OR(H48="",N48=""),"",MAX((E48*H48+SUMIFS(加仓管理!$H$2:$H$1001,加仓管理!$A$2:$A$1001,A48))-MAX(N48,AN48)*AP48,0))))</f>
        <v>0</v>
      </c>
      <c r="AR48" s="27" t="str">
        <f ca="1"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>通过</v>
      </c>
    </row>
    <row r="49" s="20" customFormat="1" ht="17" spans="1:44">
      <c r="A49" s="28">
        <v>48</v>
      </c>
      <c r="B49" s="28" t="s">
        <v>55</v>
      </c>
      <c r="C49" s="29">
        <v>590134</v>
      </c>
      <c r="D49" s="30">
        <v>0.02</v>
      </c>
      <c r="E49" s="29">
        <v>20.34</v>
      </c>
      <c r="F49" s="31">
        <f t="shared" si="0"/>
        <v>6400</v>
      </c>
      <c r="G49" s="31" t="str">
        <f ca="1"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49" s="28">
        <v>6400</v>
      </c>
      <c r="I49" s="32">
        <v>43779</v>
      </c>
      <c r="J49" s="29">
        <v>24</v>
      </c>
      <c r="K49" s="29">
        <v>13.84</v>
      </c>
      <c r="L49" s="31">
        <f t="shared" si="1"/>
        <v>28400</v>
      </c>
      <c r="M49" s="32">
        <v>44431</v>
      </c>
      <c r="N49" s="29">
        <v>18.5</v>
      </c>
      <c r="O49" s="29"/>
      <c r="P49" s="29"/>
      <c r="Q49" s="28"/>
      <c r="R49" s="28"/>
      <c r="S49" s="28"/>
      <c r="T49" s="28"/>
      <c r="U49" s="33">
        <f t="shared" si="2"/>
        <v>0.17003635764386</v>
      </c>
      <c r="V49" s="33">
        <f t="shared" si="3"/>
        <v>0.0980969743161913</v>
      </c>
      <c r="W49" s="34">
        <f t="shared" si="4"/>
        <v>1.73334966576838</v>
      </c>
      <c r="X49" s="35">
        <f t="shared" si="5"/>
        <v>-189490</v>
      </c>
      <c r="Y49" s="33">
        <f t="shared" si="6"/>
        <v>-0.325279033758707</v>
      </c>
      <c r="Z49" s="33">
        <f>IF(OR(AE49="",多次统计数据!$B$8=""),"",AE49-多次统计数据!$B$8)</f>
        <v>-0.419306530531412</v>
      </c>
      <c r="AA49" s="36">
        <f t="shared" si="7"/>
        <v>652</v>
      </c>
      <c r="AB49" s="33">
        <f>IF(OR(A49="",多次统计数据!$B$8="",多次统计数据!$B$6&lt;=0,多次统计数据!$B$6&gt;=1),"",1-POWER(1+多次统计数据!$B$8,-多次统计数据!$B$6/(1-多次统计数据!$B$6)))</f>
        <v>0.0965082919530571</v>
      </c>
      <c r="AC49" s="31" t="str">
        <f>IF(OR(AB49="",多次统计数据!$B$9=""),"",IF(多次统计数据!$B$9&lt;AB49,"低于上限","达到或超过上限"))</f>
        <v>低于上限</v>
      </c>
      <c r="AD49" s="28"/>
      <c r="AE49" s="33">
        <f t="shared" si="8"/>
        <v>-0.321096564509078</v>
      </c>
      <c r="AG49" s="28" t="s">
        <v>45</v>
      </c>
      <c r="AH49" s="28" t="s">
        <v>54</v>
      </c>
      <c r="AI49" s="28" t="s">
        <v>51</v>
      </c>
      <c r="AJ49" s="31" t="str">
        <f t="shared" si="9"/>
        <v>匹配</v>
      </c>
      <c r="AK49" s="37">
        <f>IF(A49="","",COUNTIFS(加仓管理!$A$2:$A$1001,A49,加仓管理!$G$2:$G$1001,"&gt;0"))</f>
        <v>4</v>
      </c>
      <c r="AL49" s="37">
        <f>IF(A49="","",SUMIFS(加仓管理!$G$2:$G$1001,加仓管理!$A$2:$A$1001,A49))</f>
        <v>22000</v>
      </c>
      <c r="AM49" s="38">
        <f>IF(AK49=0,"",IFERROR(LOOKUP(2,1/((加仓管理!$A$2:$A$1001=A49)*(加仓管理!$G$2:$G$1001&gt;0)),加仓管理!$D$2:$D$1001),""))</f>
        <v>22.86</v>
      </c>
      <c r="AN49" s="38">
        <f>IF(AK49=0,"",IFERROR(LOOKUP(2,1/((加仓管理!$A$2:$A$1001=A49)*(加仓管理!$G$2:$G$1001&gt;0)),加仓管理!$E$2:$E$1001),""))</f>
        <v>21</v>
      </c>
      <c r="AO49" s="38">
        <f>IF(OR(A49="",H49="",H49&lt;=0),"",(E49*H49+SUMIFS(加仓管理!$H$2:$H$1001,加仓管理!$A$2:$A$1001,A49))/AP49)</f>
        <v>20.5121830985915</v>
      </c>
      <c r="AP49" s="37">
        <f t="shared" si="10"/>
        <v>28400</v>
      </c>
      <c r="AQ49" s="38">
        <f>IF(A49="","",IF(M49&lt;&gt;"",0,IF(OR(H49="",N49=""),"",MAX((E49*H49+SUMIFS(加仓管理!$H$2:$H$1001,加仓管理!$A$2:$A$1001,A49))-MAX(N49,AN49)*AP49,0))))</f>
        <v>0</v>
      </c>
      <c r="AR49" s="38" t="str">
        <f ca="1"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>违规：请检查加仓管理表</v>
      </c>
    </row>
    <row r="50" s="20" customFormat="1" ht="17" spans="1:44">
      <c r="A50" s="28">
        <v>49</v>
      </c>
      <c r="B50" s="28" t="s">
        <v>55</v>
      </c>
      <c r="C50" s="29">
        <v>400644</v>
      </c>
      <c r="D50" s="30">
        <v>0.02</v>
      </c>
      <c r="E50" s="29">
        <v>15.07</v>
      </c>
      <c r="F50" s="31">
        <f t="shared" si="0"/>
        <v>9200</v>
      </c>
      <c r="G50" s="31" t="str">
        <f ca="1"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0" s="28">
        <v>9200</v>
      </c>
      <c r="I50" s="32">
        <v>44433</v>
      </c>
      <c r="J50" s="29">
        <v>18</v>
      </c>
      <c r="K50" s="29">
        <v>19.24</v>
      </c>
      <c r="L50" s="31">
        <f t="shared" si="1"/>
        <v>26200</v>
      </c>
      <c r="M50" s="32">
        <v>44771</v>
      </c>
      <c r="N50" s="29">
        <v>14.2</v>
      </c>
      <c r="O50" s="29"/>
      <c r="P50" s="29"/>
      <c r="Q50" s="28"/>
      <c r="R50" s="28"/>
      <c r="S50" s="28"/>
      <c r="T50" s="28"/>
      <c r="U50" s="33">
        <f t="shared" si="2"/>
        <v>0.196632378091173</v>
      </c>
      <c r="V50" s="33">
        <f t="shared" si="3"/>
        <v>0.0559900128391854</v>
      </c>
      <c r="W50" s="34">
        <f t="shared" si="4"/>
        <v>3.51191878908728</v>
      </c>
      <c r="X50" s="35">
        <f t="shared" si="5"/>
        <v>109982</v>
      </c>
      <c r="Y50" s="33">
        <f t="shared" si="6"/>
        <v>0.279067053026343</v>
      </c>
      <c r="Z50" s="33">
        <f>IF(OR(AE50="",多次统计数据!$B$8=""),"",AE50-多次统计数据!$B$8)</f>
        <v>0.176303067992901</v>
      </c>
      <c r="AA50" s="36">
        <f t="shared" si="7"/>
        <v>338</v>
      </c>
      <c r="AB50" s="33">
        <f>IF(OR(A50="",多次统计数据!$B$8="",多次统计数据!$B$6&lt;=0,多次统计数据!$B$6&gt;=1),"",1-POWER(1+多次统计数据!$B$8,-多次统计数据!$B$6/(1-多次统计数据!$B$6)))</f>
        <v>0.0965082919530571</v>
      </c>
      <c r="AC50" s="31" t="str">
        <f>IF(OR(AB50="",多次统计数据!$B$9=""),"",IF(多次统计数据!$B$9&lt;AB50,"低于上限","达到或超过上限"))</f>
        <v>低于上限</v>
      </c>
      <c r="AD50" s="28"/>
      <c r="AE50" s="33">
        <f t="shared" si="8"/>
        <v>0.274513034015235</v>
      </c>
      <c r="AG50" s="28" t="s">
        <v>48</v>
      </c>
      <c r="AH50" s="28" t="s">
        <v>49</v>
      </c>
      <c r="AI50" s="28" t="s">
        <v>50</v>
      </c>
      <c r="AJ50" s="31" t="str">
        <f t="shared" si="9"/>
        <v>匹配</v>
      </c>
      <c r="AK50" s="37">
        <f>IF(A50="","",COUNTIFS(加仓管理!$A$2:$A$1001,A50,加仓管理!$G$2:$G$1001,"&gt;0"))</f>
        <v>4</v>
      </c>
      <c r="AL50" s="37">
        <f>IF(A50="","",SUMIFS(加仓管理!$G$2:$G$1001,加仓管理!$A$2:$A$1001,A50))</f>
        <v>17000</v>
      </c>
      <c r="AM50" s="38">
        <f>IF(AK50=0,"",IFERROR(LOOKUP(2,1/((加仓管理!$A$2:$A$1001=A50)*(加仓管理!$G$2:$G$1001&gt;0)),加仓管理!$D$2:$D$1001),""))</f>
        <v>15.056</v>
      </c>
      <c r="AN50" s="38">
        <f>IF(AK50=0,"",IFERROR(LOOKUP(2,1/((加仓管理!$A$2:$A$1001=A50)*(加仓管理!$G$2:$G$1001&gt;0)),加仓管理!$E$2:$E$1001),""))</f>
        <v>14.5</v>
      </c>
      <c r="AO50" s="38">
        <f>IF(OR(A50="",H50="",H50&lt;=0),"",(E50*H50+SUMIFS(加仓管理!$H$2:$H$1001,加仓管理!$A$2:$A$1001,A50))/AP50)</f>
        <v>15.042213740458</v>
      </c>
      <c r="AP50" s="37">
        <f t="shared" si="10"/>
        <v>26200</v>
      </c>
      <c r="AQ50" s="38">
        <f>IF(A50="","",IF(M50&lt;&gt;"",0,IF(OR(H50="",N50=""),"",MAX((E50*H50+SUMIFS(加仓管理!$H$2:$H$1001,加仓管理!$A$2:$A$1001,A50))-MAX(N50,AN50)*AP50,0))))</f>
        <v>0</v>
      </c>
      <c r="AR50" s="38" t="str">
        <f ca="1"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>违规：请检查加仓管理表</v>
      </c>
    </row>
    <row r="51" ht="17" spans="1:44">
      <c r="A51" s="23">
        <v>50</v>
      </c>
      <c r="B51" s="23" t="s">
        <v>55</v>
      </c>
      <c r="C51" s="7">
        <v>510626</v>
      </c>
      <c r="D51" s="4">
        <v>0.02</v>
      </c>
      <c r="E51" s="7">
        <v>19.93</v>
      </c>
      <c r="F51" s="6">
        <f t="shared" si="0"/>
        <v>5200</v>
      </c>
      <c r="G51" s="6" t="str">
        <f ca="1"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1" s="23">
        <v>5200</v>
      </c>
      <c r="I51" s="24">
        <v>44782</v>
      </c>
      <c r="J51" s="7">
        <v>22</v>
      </c>
      <c r="K51" s="7">
        <v>17.22</v>
      </c>
      <c r="L51" s="6">
        <f t="shared" si="1"/>
        <v>17700</v>
      </c>
      <c r="M51" s="24">
        <v>44826</v>
      </c>
      <c r="N51" s="7">
        <v>18</v>
      </c>
      <c r="O51" s="7"/>
      <c r="P51" s="7"/>
      <c r="Q51" s="23"/>
      <c r="R51" s="23"/>
      <c r="S51" s="23"/>
      <c r="T51" s="23"/>
      <c r="U51" s="5">
        <f t="shared" si="2"/>
        <v>0.144163414978139</v>
      </c>
      <c r="V51" s="5">
        <f t="shared" si="3"/>
        <v>0.0638662968360678</v>
      </c>
      <c r="W51" s="25">
        <f t="shared" si="4"/>
        <v>2.25726904674273</v>
      </c>
      <c r="X51" s="3">
        <f t="shared" si="5"/>
        <v>-35542</v>
      </c>
      <c r="Y51" s="5">
        <f t="shared" si="6"/>
        <v>-0.104432090639838</v>
      </c>
      <c r="Z51" s="5">
        <f>IF(OR(AE51="",多次统计数据!$B$8=""),"",AE51-多次统计数据!$B$8)</f>
        <v>-0.167814725670296</v>
      </c>
      <c r="AA51" s="8">
        <f t="shared" si="7"/>
        <v>44</v>
      </c>
      <c r="AB51" s="5">
        <f>IF(OR(A51="",多次统计数据!$B$8="",多次统计数据!$B$6&lt;=0,多次统计数据!$B$6&gt;=1),"",1-POWER(1+多次统计数据!$B$8,-多次统计数据!$B$6/(1-多次统计数据!$B$6)))</f>
        <v>0.0965082919530571</v>
      </c>
      <c r="AC51" s="6" t="str">
        <f>IF(OR(AB51="",多次统计数据!$B$9=""),"",IF(多次统计数据!$B$9&lt;AB51,"低于上限","达到或超过上限"))</f>
        <v>低于上限</v>
      </c>
      <c r="AD51" s="23"/>
      <c r="AE51" s="5">
        <f t="shared" si="8"/>
        <v>-0.0696047596479615</v>
      </c>
      <c r="AG51" s="23" t="s">
        <v>52</v>
      </c>
      <c r="AH51" s="23" t="s">
        <v>46</v>
      </c>
      <c r="AI51" s="23" t="s">
        <v>53</v>
      </c>
      <c r="AJ51" s="6" t="str">
        <f t="shared" si="9"/>
        <v>匹配</v>
      </c>
      <c r="AK51" s="26">
        <f>IF(A51="","",COUNTIFS(加仓管理!$A$2:$A$1001,A51,加仓管理!$G$2:$G$1001,"&gt;0"))</f>
        <v>3</v>
      </c>
      <c r="AL51" s="26">
        <f>IF(A51="","",SUMIFS(加仓管理!$G$2:$G$1001,加仓管理!$A$2:$A$1001,A51))</f>
        <v>12500</v>
      </c>
      <c r="AM51" s="27">
        <f>IF(AK51=0,"",IFERROR(LOOKUP(2,1/((加仓管理!$A$2:$A$1001=A51)*(加仓管理!$G$2:$G$1001&gt;0)),加仓管理!$D$2:$D$1001),""))</f>
        <v>18.74</v>
      </c>
      <c r="AN51" s="27">
        <f>IF(AK51=0,"",IFERROR(LOOKUP(2,1/((加仓管理!$A$2:$A$1001=A51)*(加仓管理!$G$2:$G$1001&gt;0)),加仓管理!$E$2:$E$1001),""))</f>
        <v>18</v>
      </c>
      <c r="AO51" s="27">
        <f>IF(OR(A51="",H51="",H51&lt;=0),"",(E51*H51+SUMIFS(加仓管理!$H$2:$H$1001,加仓管理!$A$2:$A$1001,A51))/AP51)</f>
        <v>19.2280225988701</v>
      </c>
      <c r="AP51" s="26">
        <f t="shared" si="10"/>
        <v>17700</v>
      </c>
      <c r="AQ51" s="27">
        <f>IF(A51="","",IF(M51&lt;&gt;"",0,IF(OR(H51="",N51=""),"",MAX((E51*H51+SUMIFS(加仓管理!$H$2:$H$1001,加仓管理!$A$2:$A$1001,A51))-MAX(N51,AN51)*AP51,0))))</f>
        <v>0</v>
      </c>
      <c r="AR51" s="27" t="str">
        <f ca="1"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>违规：请检查加仓管理表</v>
      </c>
    </row>
    <row r="52" ht="17" spans="1:44">
      <c r="A52" s="23">
        <v>51</v>
      </c>
      <c r="B52" s="23" t="s">
        <v>55</v>
      </c>
      <c r="C52" s="7">
        <v>475084</v>
      </c>
      <c r="D52" s="4">
        <v>0.02</v>
      </c>
      <c r="E52" s="7">
        <v>18.8</v>
      </c>
      <c r="F52" s="6">
        <f t="shared" si="0"/>
        <v>11800</v>
      </c>
      <c r="G52" s="6" t="str">
        <f ca="1"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2" s="23">
        <v>11800</v>
      </c>
      <c r="I52" s="24">
        <v>44832</v>
      </c>
      <c r="J52" s="7">
        <v>22</v>
      </c>
      <c r="K52" s="7">
        <v>20.75</v>
      </c>
      <c r="L52" s="6">
        <f t="shared" si="1"/>
        <v>23300</v>
      </c>
      <c r="M52" s="24">
        <v>44900</v>
      </c>
      <c r="N52" s="7">
        <v>18</v>
      </c>
      <c r="O52" s="7"/>
      <c r="P52" s="7"/>
      <c r="Q52" s="23"/>
      <c r="R52" s="23"/>
      <c r="S52" s="23"/>
      <c r="T52" s="23"/>
      <c r="U52" s="5">
        <f t="shared" si="2"/>
        <v>0.110761996597939</v>
      </c>
      <c r="V52" s="5">
        <f t="shared" si="3"/>
        <v>0.0911947300562316</v>
      </c>
      <c r="W52" s="25">
        <f t="shared" si="4"/>
        <v>1.21456575977189</v>
      </c>
      <c r="X52" s="3">
        <f t="shared" si="5"/>
        <v>21990</v>
      </c>
      <c r="Y52" s="5">
        <f t="shared" si="6"/>
        <v>0.0476505195185108</v>
      </c>
      <c r="Z52" s="5">
        <f>IF(OR(AE52="",多次统计数据!$B$8=""),"",AE52-多次统计数据!$B$8)</f>
        <v>-0.0519234145914298</v>
      </c>
      <c r="AA52" s="8">
        <f t="shared" si="7"/>
        <v>68</v>
      </c>
      <c r="AB52" s="5">
        <f>IF(OR(A52="",多次统计数据!$B$8="",多次统计数据!$B$6&lt;=0,多次统计数据!$B$6&gt;=1),"",1-POWER(1+多次统计数据!$B$8,-多次统计数据!$B$6/(1-多次统计数据!$B$6)))</f>
        <v>0.0965082919530571</v>
      </c>
      <c r="AC52" s="6" t="str">
        <f>IF(OR(AB52="",多次统计数据!$B$9=""),"",IF(多次统计数据!$B$9&lt;AB52,"低于上限","达到或超过上限"))</f>
        <v>低于上限</v>
      </c>
      <c r="AD52" s="23"/>
      <c r="AE52" s="5">
        <f t="shared" si="8"/>
        <v>0.0462865514309048</v>
      </c>
      <c r="AG52" s="23" t="s">
        <v>45</v>
      </c>
      <c r="AH52" s="23" t="s">
        <v>46</v>
      </c>
      <c r="AI52" s="23" t="s">
        <v>51</v>
      </c>
      <c r="AJ52" s="6" t="str">
        <f t="shared" si="9"/>
        <v>匹配</v>
      </c>
      <c r="AK52" s="26">
        <f>IF(A52="","",COUNTIFS(加仓管理!$A$2:$A$1001,A52,加仓管理!$G$2:$G$1001,"&gt;0"))</f>
        <v>4</v>
      </c>
      <c r="AL52" s="26">
        <f>IF(A52="","",SUMIFS(加仓管理!$G$2:$G$1001,加仓管理!$A$2:$A$1001,A52))</f>
        <v>11500</v>
      </c>
      <c r="AM52" s="27">
        <f>IF(AK52=0,"",IFERROR(LOOKUP(2,1/((加仓管理!$A$2:$A$1001=A52)*(加仓管理!$G$2:$G$1001&gt;0)),加仓管理!$D$2:$D$1001),""))</f>
        <v>21.58</v>
      </c>
      <c r="AN52" s="27">
        <f>IF(AK52=0,"",IFERROR(LOOKUP(2,1/((加仓管理!$A$2:$A$1001=A52)*(加仓管理!$G$2:$G$1001&gt;0)),加仓管理!$E$2:$E$1001),""))</f>
        <v>21.5</v>
      </c>
      <c r="AO52" s="27">
        <f>IF(OR(A52="",H52="",H52&lt;=0),"",(E52*H52+SUMIFS(加仓管理!$H$2:$H$1001,加仓管理!$A$2:$A$1001,A52))/AP52)</f>
        <v>19.8062231759657</v>
      </c>
      <c r="AP52" s="26">
        <f t="shared" si="10"/>
        <v>23300</v>
      </c>
      <c r="AQ52" s="27">
        <f>IF(A52="","",IF(M52&lt;&gt;"",0,IF(OR(H52="",N52=""),"",MAX((E52*H52+SUMIFS(加仓管理!$H$2:$H$1001,加仓管理!$A$2:$A$1001,A52))-MAX(N52,AN52)*AP52,0))))</f>
        <v>0</v>
      </c>
      <c r="AR52" s="27" t="str">
        <f ca="1"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>违规：请检查加仓管理表</v>
      </c>
    </row>
    <row r="53" ht="17" spans="1:44">
      <c r="A53" s="23">
        <v>52</v>
      </c>
      <c r="B53" s="23" t="s">
        <v>55</v>
      </c>
      <c r="C53" s="7">
        <v>497074</v>
      </c>
      <c r="D53" s="4">
        <v>0.02</v>
      </c>
      <c r="E53" s="7">
        <v>20.84</v>
      </c>
      <c r="F53" s="6">
        <f t="shared" si="0"/>
        <v>11800</v>
      </c>
      <c r="G53" s="6" t="str">
        <f ca="1"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3" s="23">
        <v>11800</v>
      </c>
      <c r="I53" s="24">
        <v>44903</v>
      </c>
      <c r="J53" s="7">
        <v>23.91</v>
      </c>
      <c r="K53" s="7">
        <v>23.91</v>
      </c>
      <c r="L53" s="6">
        <f t="shared" si="1"/>
        <v>23800</v>
      </c>
      <c r="M53" s="24">
        <v>45009</v>
      </c>
      <c r="N53" s="7">
        <v>20</v>
      </c>
      <c r="O53" s="7"/>
      <c r="P53" s="7"/>
      <c r="Q53" s="23"/>
      <c r="R53" s="23"/>
      <c r="S53" s="23"/>
      <c r="T53" s="23"/>
      <c r="U53" s="5">
        <f t="shared" si="2"/>
        <v>0.161385520284419</v>
      </c>
      <c r="V53" s="5">
        <f t="shared" si="3"/>
        <v>0.0285357421293028</v>
      </c>
      <c r="W53" s="25">
        <f t="shared" si="4"/>
        <v>5.65555714490057</v>
      </c>
      <c r="X53" s="3">
        <f t="shared" si="5"/>
        <v>79076</v>
      </c>
      <c r="Y53" s="5">
        <f t="shared" si="6"/>
        <v>0.161385520284419</v>
      </c>
      <c r="Z53" s="5">
        <f>IF(OR(AE53="",多次统计数据!$B$8=""),"",AE53-多次统计数据!$B$8)</f>
        <v>0.060872987421217</v>
      </c>
      <c r="AA53" s="8">
        <f t="shared" si="7"/>
        <v>106</v>
      </c>
      <c r="AB53" s="5">
        <f>IF(OR(A53="",多次统计数据!$B$8="",多次统计数据!$B$6&lt;=0,多次统计数据!$B$6&gt;=1),"",1-POWER(1+多次统计数据!$B$8,-多次统计数据!$B$6/(1-多次统计数据!$B$6)))</f>
        <v>0.0965082919530571</v>
      </c>
      <c r="AC53" s="6" t="str">
        <f>IF(OR(AB53="",多次统计数据!$B$9=""),"",IF(多次统计数据!$B$9&lt;AB53,"低于上限","达到或超过上限"))</f>
        <v>低于上限</v>
      </c>
      <c r="AD53" s="23"/>
      <c r="AE53" s="5">
        <f t="shared" si="8"/>
        <v>0.159082953443552</v>
      </c>
      <c r="AG53" s="23" t="s">
        <v>45</v>
      </c>
      <c r="AH53" s="23" t="s">
        <v>46</v>
      </c>
      <c r="AI53" s="23" t="s">
        <v>51</v>
      </c>
      <c r="AJ53" s="6" t="str">
        <f t="shared" si="9"/>
        <v>匹配</v>
      </c>
      <c r="AK53" s="26">
        <f>IF(A53="","",COUNTIFS(加仓管理!$A$2:$A$1001,A53,加仓管理!$G$2:$G$1001,"&gt;0"))</f>
        <v>3</v>
      </c>
      <c r="AL53" s="26">
        <f>IF(A53="","",SUMIFS(加仓管理!$G$2:$G$1001,加仓管理!$A$2:$A$1001,A53))</f>
        <v>12000</v>
      </c>
      <c r="AM53" s="27">
        <f>IF(AK53=0,"",IFERROR(LOOKUP(2,1/((加仓管理!$A$2:$A$1001=A53)*(加仓管理!$G$2:$G$1001&gt;0)),加仓管理!$D$2:$D$1001),""))</f>
        <v>19.71</v>
      </c>
      <c r="AN53" s="27">
        <f>IF(AK53=0,"",IFERROR(LOOKUP(2,1/((加仓管理!$A$2:$A$1001=A53)*(加仓管理!$G$2:$G$1001&gt;0)),加仓管理!$E$2:$E$1001),""))</f>
        <v>19.5</v>
      </c>
      <c r="AO53" s="27">
        <f>IF(OR(A53="",H53="",H53&lt;=0),"",(E53*H53+SUMIFS(加仓管理!$H$2:$H$1001,加仓管理!$A$2:$A$1001,A53))/AP53)</f>
        <v>20.5874789915966</v>
      </c>
      <c r="AP53" s="26">
        <f t="shared" si="10"/>
        <v>23800</v>
      </c>
      <c r="AQ53" s="27">
        <f>IF(A53="","",IF(M53&lt;&gt;"",0,IF(OR(H53="",N53=""),"",MAX((E53*H53+SUMIFS(加仓管理!$H$2:$H$1001,加仓管理!$A$2:$A$1001,A53))-MAX(N53,AN53)*AP53,0))))</f>
        <v>0</v>
      </c>
      <c r="AR53" s="27" t="str">
        <f ca="1"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>违规：请检查加仓管理表</v>
      </c>
    </row>
    <row r="54" ht="17" spans="1:44">
      <c r="A54" s="23">
        <v>53</v>
      </c>
      <c r="B54" s="23" t="s">
        <v>55</v>
      </c>
      <c r="C54" s="7">
        <v>576150</v>
      </c>
      <c r="D54" s="4">
        <v>0.02</v>
      </c>
      <c r="E54" s="7">
        <v>23.92</v>
      </c>
      <c r="F54" s="6">
        <f t="shared" si="0"/>
        <v>27400</v>
      </c>
      <c r="G54" s="6" t="str">
        <f ca="1"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4" s="23">
        <v>11800</v>
      </c>
      <c r="I54" s="24">
        <v>45019</v>
      </c>
      <c r="J54" s="7">
        <v>28</v>
      </c>
      <c r="K54" s="7">
        <v>29.91</v>
      </c>
      <c r="L54" s="6">
        <f t="shared" si="1"/>
        <v>21800</v>
      </c>
      <c r="M54" s="24">
        <v>45069</v>
      </c>
      <c r="N54" s="7">
        <v>23.5</v>
      </c>
      <c r="O54" s="7"/>
      <c r="P54" s="7"/>
      <c r="Q54" s="23"/>
      <c r="R54" s="23"/>
      <c r="S54" s="23"/>
      <c r="T54" s="23"/>
      <c r="U54" s="5">
        <f t="shared" si="2"/>
        <v>0.104884370882025</v>
      </c>
      <c r="V54" s="5">
        <f t="shared" si="3"/>
        <v>0.0726863315811576</v>
      </c>
      <c r="W54" s="25">
        <f t="shared" si="4"/>
        <v>1.44297240761032</v>
      </c>
      <c r="X54" s="3">
        <f t="shared" si="5"/>
        <v>99582</v>
      </c>
      <c r="Y54" s="5">
        <f t="shared" si="6"/>
        <v>0.18025326903862</v>
      </c>
      <c r="Z54" s="5">
        <f>IF(OR(AE54="",多次统计数据!$B$8=""),"",AE54-多次统计数据!$B$8)</f>
        <v>0.0746304401218987</v>
      </c>
      <c r="AA54" s="8">
        <f t="shared" si="7"/>
        <v>50</v>
      </c>
      <c r="AB54" s="5">
        <f>IF(OR(A54="",多次统计数据!$B$8="",多次统计数据!$B$6&lt;=0,多次统计数据!$B$6&gt;=1),"",1-POWER(1+多次统计数据!$B$8,-多次统计数据!$B$6/(1-多次统计数据!$B$6)))</f>
        <v>0.0965082919530571</v>
      </c>
      <c r="AC54" s="6" t="str">
        <f>IF(OR(AB54="",多次统计数据!$B$9=""),"",IF(多次统计数据!$B$9&lt;AB54,"低于上限","达到或超过上限"))</f>
        <v>低于上限</v>
      </c>
      <c r="AD54" s="23"/>
      <c r="AE54" s="5">
        <f t="shared" si="8"/>
        <v>0.172840406144233</v>
      </c>
      <c r="AG54" s="23" t="s">
        <v>45</v>
      </c>
      <c r="AH54" s="23" t="s">
        <v>46</v>
      </c>
      <c r="AI54" s="23" t="s">
        <v>51</v>
      </c>
      <c r="AJ54" s="6" t="str">
        <f t="shared" si="9"/>
        <v>匹配</v>
      </c>
      <c r="AK54" s="26">
        <f>IF(A54="","",COUNTIFS(加仓管理!$A$2:$A$1001,A54,加仓管理!$G$2:$G$1001,"&gt;0"))</f>
        <v>1</v>
      </c>
      <c r="AL54" s="26">
        <f>IF(A54="","",SUMIFS(加仓管理!$G$2:$G$1001,加仓管理!$A$2:$A$1001,A54))</f>
        <v>10000</v>
      </c>
      <c r="AM54" s="27">
        <f>IF(AK54=0,"",IFERROR(LOOKUP(2,1/((加仓管理!$A$2:$A$1001=A54)*(加仓管理!$G$2:$G$1001&gt;0)),加仓管理!$D$2:$D$1001),""))</f>
        <v>27.02</v>
      </c>
      <c r="AN54" s="27">
        <f>IF(AK54=0,"",IFERROR(LOOKUP(2,1/((加仓管理!$A$2:$A$1001=A54)*(加仓管理!$G$2:$G$1001&gt;0)),加仓管理!$E$2:$E$1001),""))</f>
        <v>15</v>
      </c>
      <c r="AO54" s="27">
        <f>IF(OR(A54="",H54="",H54&lt;=0),"",(E54*H54+SUMIFS(加仓管理!$H$2:$H$1001,加仓管理!$A$2:$A$1001,A54))/AP54)</f>
        <v>25.3420183486239</v>
      </c>
      <c r="AP54" s="26">
        <f t="shared" si="10"/>
        <v>21800</v>
      </c>
      <c r="AQ54" s="27">
        <f>IF(A54="","",IF(M54&lt;&gt;"",0,IF(OR(H54="",N54=""),"",MAX((E54*H54+SUMIFS(加仓管理!$H$2:$H$1001,加仓管理!$A$2:$A$1001,A54))-MAX(N54,AN54)*AP54,0))))</f>
        <v>0</v>
      </c>
      <c r="AR54" s="27" t="str">
        <f ca="1"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>违规：请检查加仓管理表</v>
      </c>
    </row>
    <row r="55" ht="17" spans="1:44">
      <c r="A55" s="23">
        <v>54</v>
      </c>
      <c r="B55" s="23" t="s">
        <v>55</v>
      </c>
      <c r="C55" s="7">
        <v>675732</v>
      </c>
      <c r="D55" s="4">
        <v>0.02</v>
      </c>
      <c r="E55" s="7">
        <v>29.09</v>
      </c>
      <c r="F55" s="6">
        <f t="shared" si="0"/>
        <v>12300</v>
      </c>
      <c r="G55" s="6" t="str">
        <f ca="1"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5" s="23">
        <v>10000</v>
      </c>
      <c r="I55" s="24">
        <v>45071</v>
      </c>
      <c r="J55" s="7">
        <v>33</v>
      </c>
      <c r="K55" s="7">
        <v>28.88</v>
      </c>
      <c r="L55" s="6">
        <f t="shared" si="1"/>
        <v>13000</v>
      </c>
      <c r="M55" s="24">
        <v>45076</v>
      </c>
      <c r="N55" s="7">
        <v>28</v>
      </c>
      <c r="O55" s="7"/>
      <c r="P55" s="7"/>
      <c r="Q55" s="23"/>
      <c r="R55" s="23"/>
      <c r="S55" s="23"/>
      <c r="T55" s="23"/>
      <c r="U55" s="5">
        <f t="shared" si="2"/>
        <v>0.121070373951446</v>
      </c>
      <c r="V55" s="5">
        <f t="shared" si="3"/>
        <v>0.0487887736169546</v>
      </c>
      <c r="W55" s="25">
        <f t="shared" si="4"/>
        <v>2.48152115693626</v>
      </c>
      <c r="X55" s="3">
        <f t="shared" si="5"/>
        <v>-7230.00000000002</v>
      </c>
      <c r="Y55" s="5">
        <f t="shared" si="6"/>
        <v>-0.018893563644916</v>
      </c>
      <c r="Z55" s="5">
        <f>IF(OR(AE55="",多次统计数据!$B$8=""),"",AE55-多次统计数据!$B$8)</f>
        <v>-0.10890947411134</v>
      </c>
      <c r="AA55" s="8">
        <f t="shared" si="7"/>
        <v>5</v>
      </c>
      <c r="AB55" s="5">
        <f>IF(OR(A55="",多次统计数据!$B$8="",多次统计数据!$B$6&lt;=0,多次统计数据!$B$6&gt;=1),"",1-POWER(1+多次统计数据!$B$8,-多次统计数据!$B$6/(1-多次统计数据!$B$6)))</f>
        <v>0.0965082919530571</v>
      </c>
      <c r="AC55" s="6" t="str">
        <f>IF(OR(AB55="",多次统计数据!$B$9=""),"",IF(多次统计数据!$B$9&lt;AB55,"低于上限","达到或超过上限"))</f>
        <v>低于上限</v>
      </c>
      <c r="AD55" s="23"/>
      <c r="AE55" s="5">
        <f t="shared" si="8"/>
        <v>-0.0106995080890057</v>
      </c>
      <c r="AG55" s="23" t="s">
        <v>52</v>
      </c>
      <c r="AH55" s="23" t="s">
        <v>49</v>
      </c>
      <c r="AI55" s="23" t="s">
        <v>53</v>
      </c>
      <c r="AJ55" s="6" t="str">
        <f t="shared" si="9"/>
        <v>匹配</v>
      </c>
      <c r="AK55" s="26">
        <f>IF(A55="","",COUNTIFS(加仓管理!$A$2:$A$1001,A55,加仓管理!$G$2:$G$1001,"&gt;0"))</f>
        <v>1</v>
      </c>
      <c r="AL55" s="26">
        <f>IF(A55="","",SUMIFS(加仓管理!$G$2:$G$1001,加仓管理!$A$2:$A$1001,A55))</f>
        <v>3000</v>
      </c>
      <c r="AM55" s="27">
        <f>IF(AK55=0,"",IFERROR(LOOKUP(2,1/((加仓管理!$A$2:$A$1001=A55)*(加仓管理!$G$2:$G$1001&gt;0)),加仓管理!$D$2:$D$1001),""))</f>
        <v>30.59</v>
      </c>
      <c r="AN55" s="27">
        <f>IF(AK55=0,"",IFERROR(LOOKUP(2,1/((加仓管理!$A$2:$A$1001=A55)*(加仓管理!$G$2:$G$1001&gt;0)),加仓管理!$E$2:$E$1001),""))</f>
        <v>29.5</v>
      </c>
      <c r="AO55" s="27">
        <f>IF(OR(A55="",H55="",H55&lt;=0),"",(E55*H55+SUMIFS(加仓管理!$H$2:$H$1001,加仓管理!$A$2:$A$1001,A55))/AP55)</f>
        <v>29.4361538461538</v>
      </c>
      <c r="AP55" s="26">
        <f t="shared" si="10"/>
        <v>13000</v>
      </c>
      <c r="AQ55" s="27">
        <f>IF(A55="","",IF(M55&lt;&gt;"",0,IF(OR(H55="",N55=""),"",MAX((E55*H55+SUMIFS(加仓管理!$H$2:$H$1001,加仓管理!$A$2:$A$1001,A55))-MAX(N55,AN55)*AP55,0))))</f>
        <v>0</v>
      </c>
      <c r="AR55" s="27" t="str">
        <f ca="1"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>通过</v>
      </c>
    </row>
    <row r="56" ht="17" spans="1:44">
      <c r="A56" s="23">
        <v>55</v>
      </c>
      <c r="B56" s="23" t="s">
        <v>55</v>
      </c>
      <c r="C56" s="7">
        <v>668502</v>
      </c>
      <c r="D56" s="4">
        <v>0.02</v>
      </c>
      <c r="E56" s="7">
        <v>27.24</v>
      </c>
      <c r="F56" s="6">
        <f t="shared" si="0"/>
        <v>18000</v>
      </c>
      <c r="G56" s="6" t="str">
        <f ca="1"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6" s="23">
        <v>8000</v>
      </c>
      <c r="I56" s="24">
        <v>45041</v>
      </c>
      <c r="J56" s="7">
        <v>30</v>
      </c>
      <c r="K56" s="7">
        <v>25.62</v>
      </c>
      <c r="L56" s="6">
        <f t="shared" si="1"/>
        <v>13000</v>
      </c>
      <c r="M56" s="24">
        <v>45125</v>
      </c>
      <c r="N56" s="7">
        <v>26.5</v>
      </c>
      <c r="O56" s="7"/>
      <c r="P56" s="7"/>
      <c r="Q56" s="23"/>
      <c r="R56" s="23"/>
      <c r="S56" s="23"/>
      <c r="T56" s="23"/>
      <c r="U56" s="5">
        <f t="shared" si="2"/>
        <v>0.121592085586104</v>
      </c>
      <c r="V56" s="5">
        <f t="shared" si="3"/>
        <v>0.00926032439894168</v>
      </c>
      <c r="W56" s="25">
        <f t="shared" si="4"/>
        <v>13.1304347826087</v>
      </c>
      <c r="X56" s="3">
        <f t="shared" si="5"/>
        <v>-14660</v>
      </c>
      <c r="Y56" s="5">
        <f t="shared" si="6"/>
        <v>-0.0421603589094674</v>
      </c>
      <c r="Z56" s="5">
        <f>IF(OR(AE56="",多次统计数据!$B$8=""),"",AE56-多次统计数据!$B$8)</f>
        <v>-0.120139593757181</v>
      </c>
      <c r="AA56" s="8">
        <f t="shared" si="7"/>
        <v>84</v>
      </c>
      <c r="AB56" s="5">
        <f>IF(OR(A56="",多次统计数据!$B$8="",多次统计数据!$B$6&lt;=0,多次统计数据!$B$6&gt;=1),"",1-POWER(1+多次统计数据!$B$8,-多次统计数据!$B$6/(1-多次统计数据!$B$6)))</f>
        <v>0.0965082919530571</v>
      </c>
      <c r="AC56" s="6" t="str">
        <f>IF(OR(AB56="",多次统计数据!$B$9=""),"",IF(多次统计数据!$B$9&lt;AB56,"低于上限","达到或超过上限"))</f>
        <v>低于上限</v>
      </c>
      <c r="AD56" s="23"/>
      <c r="AE56" s="5">
        <f t="shared" si="8"/>
        <v>-0.021929627734846</v>
      </c>
      <c r="AG56" s="23" t="s">
        <v>45</v>
      </c>
      <c r="AH56" s="23" t="s">
        <v>46</v>
      </c>
      <c r="AI56" s="23" t="s">
        <v>51</v>
      </c>
      <c r="AJ56" s="6" t="str">
        <f t="shared" si="9"/>
        <v>匹配</v>
      </c>
      <c r="AK56" s="26">
        <f>IF(A56="","",COUNTIFS(加仓管理!$A$2:$A$1001,A56,加仓管理!$G$2:$G$1001,"&gt;0"))</f>
        <v>1</v>
      </c>
      <c r="AL56" s="26">
        <f>IF(A56="","",SUMIFS(加仓管理!$G$2:$G$1001,加仓管理!$A$2:$A$1001,A56))</f>
        <v>5000</v>
      </c>
      <c r="AM56" s="27">
        <f>IF(AK56=0,"",IFERROR(LOOKUP(2,1/((加仓管理!$A$2:$A$1001=A56)*(加仓管理!$G$2:$G$1001&gt;0)),加仓管理!$D$2:$D$1001),""))</f>
        <v>25.96</v>
      </c>
      <c r="AN56" s="27">
        <f>IF(AK56=0,"",IFERROR(LOOKUP(2,1/((加仓管理!$A$2:$A$1001=A56)*(加仓管理!$G$2:$G$1001&gt;0)),加仓管理!$E$2:$E$1001),""))</f>
        <v>25.5</v>
      </c>
      <c r="AO56" s="27">
        <f>IF(OR(A56="",H56="",H56&lt;=0),"",(E56*H56+SUMIFS(加仓管理!$H$2:$H$1001,加仓管理!$A$2:$A$1001,A56))/AP56)</f>
        <v>26.7476923076923</v>
      </c>
      <c r="AP56" s="26">
        <f t="shared" si="10"/>
        <v>13000</v>
      </c>
      <c r="AQ56" s="27">
        <f>IF(A56="","",IF(M56&lt;&gt;"",0,IF(OR(H56="",N56=""),"",MAX((E56*H56+SUMIFS(加仓管理!$H$2:$H$1001,加仓管理!$A$2:$A$1001,A56))-MAX(N56,AN56)*AP56,0))))</f>
        <v>0</v>
      </c>
      <c r="AR56" s="27" t="str">
        <f ca="1"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>违规：请检查加仓管理表</v>
      </c>
    </row>
    <row r="57" ht="17" spans="1:44">
      <c r="A57" s="23">
        <v>56</v>
      </c>
      <c r="B57" s="23" t="s">
        <v>55</v>
      </c>
      <c r="C57" s="7">
        <v>653842</v>
      </c>
      <c r="D57" s="4">
        <v>0.02</v>
      </c>
      <c r="E57" s="7">
        <v>24.27</v>
      </c>
      <c r="F57" s="6">
        <f t="shared" si="0"/>
        <v>10200</v>
      </c>
      <c r="G57" s="6" t="str">
        <f ca="1"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7" s="23">
        <v>10200</v>
      </c>
      <c r="I57" s="24">
        <v>45078</v>
      </c>
      <c r="J57" s="7">
        <v>26</v>
      </c>
      <c r="K57" s="7">
        <v>25.46</v>
      </c>
      <c r="L57" s="6">
        <f t="shared" si="1"/>
        <v>14200</v>
      </c>
      <c r="M57" s="24">
        <v>45218</v>
      </c>
      <c r="N57" s="7">
        <v>23</v>
      </c>
      <c r="O57" s="7"/>
      <c r="P57" s="7"/>
      <c r="Q57" s="23"/>
      <c r="R57" s="23"/>
      <c r="S57" s="23"/>
      <c r="T57" s="23"/>
      <c r="U57" s="5">
        <f t="shared" si="2"/>
        <v>0.0376791064492374</v>
      </c>
      <c r="V57" s="5">
        <f t="shared" si="3"/>
        <v>0.0820530981410592</v>
      </c>
      <c r="W57" s="25">
        <f t="shared" si="4"/>
        <v>0.459203946016304</v>
      </c>
      <c r="X57" s="3">
        <f t="shared" si="5"/>
        <v>5737.99999999999</v>
      </c>
      <c r="Y57" s="5">
        <f t="shared" si="6"/>
        <v>0.0161273096229841</v>
      </c>
      <c r="Z57" s="5">
        <f>IF(OR(AE57="",多次统计数据!$B$8=""),"",AE57-多次统计数据!$B$8)</f>
        <v>-0.0894341455641811</v>
      </c>
      <c r="AA57" s="8">
        <f t="shared" si="7"/>
        <v>140</v>
      </c>
      <c r="AB57" s="5">
        <f>IF(OR(A57="",多次统计数据!$B$8="",多次统计数据!$B$6&lt;=0,多次统计数据!$B$6&gt;=1),"",1-POWER(1+多次统计数据!$B$8,-多次统计数据!$B$6/(1-多次统计数据!$B$6)))</f>
        <v>0.0965082919530571</v>
      </c>
      <c r="AC57" s="6" t="str">
        <f>IF(OR(AB57="",多次统计数据!$B$9=""),"",IF(多次统计数据!$B$9&lt;AB57,"低于上限","达到或超过上限"))</f>
        <v>低于上限</v>
      </c>
      <c r="AD57" s="23"/>
      <c r="AE57" s="5">
        <f t="shared" si="8"/>
        <v>0.00877582045815348</v>
      </c>
      <c r="AG57" s="23" t="s">
        <v>48</v>
      </c>
      <c r="AH57" s="23" t="s">
        <v>49</v>
      </c>
      <c r="AI57" s="23" t="s">
        <v>50</v>
      </c>
      <c r="AJ57" s="6" t="str">
        <f t="shared" si="9"/>
        <v>匹配</v>
      </c>
      <c r="AK57" s="26">
        <f>IF(A57="","",COUNTIFS(加仓管理!$A$2:$A$1001,A57,加仓管理!$G$2:$G$1001,"&gt;0"))</f>
        <v>1</v>
      </c>
      <c r="AL57" s="26">
        <f>IF(A57="","",SUMIFS(加仓管理!$G$2:$G$1001,加仓管理!$A$2:$A$1001,A57))</f>
        <v>4000</v>
      </c>
      <c r="AM57" s="27">
        <f>IF(AK57=0,"",IFERROR(LOOKUP(2,1/((加仓管理!$A$2:$A$1001=A57)*(加仓管理!$G$2:$G$1001&gt;0)),加仓管理!$D$2:$D$1001),""))</f>
        <v>27.06</v>
      </c>
      <c r="AN57" s="27">
        <f>IF(AK57=0,"",IFERROR(LOOKUP(2,1/((加仓管理!$A$2:$A$1001=A57)*(加仓管理!$G$2:$G$1001&gt;0)),加仓管理!$E$2:$E$1001),""))</f>
        <v>25.5</v>
      </c>
      <c r="AO57" s="27">
        <f>IF(OR(A57="",H57="",H57&lt;=0),"",(E57*H57+SUMIFS(加仓管理!$H$2:$H$1001,加仓管理!$A$2:$A$1001,A57))/AP57)</f>
        <v>25.0559154929577</v>
      </c>
      <c r="AP57" s="26">
        <f t="shared" si="10"/>
        <v>14200</v>
      </c>
      <c r="AQ57" s="27">
        <f>IF(A57="","",IF(M57&lt;&gt;"",0,IF(OR(H57="",N57=""),"",MAX((E57*H57+SUMIFS(加仓管理!$H$2:$H$1001,加仓管理!$A$2:$A$1001,A57))-MAX(N57,AN57)*AP57,0))))</f>
        <v>0</v>
      </c>
      <c r="AR57" s="27" t="str">
        <f ca="1"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>通过</v>
      </c>
    </row>
    <row r="58" ht="17" spans="1:44">
      <c r="A58" s="23">
        <v>57</v>
      </c>
      <c r="B58" s="23" t="s">
        <v>55</v>
      </c>
      <c r="C58" s="7">
        <v>659580</v>
      </c>
      <c r="D58" s="4">
        <v>0.02</v>
      </c>
      <c r="E58" s="7">
        <v>22.98</v>
      </c>
      <c r="F58" s="6">
        <f t="shared" si="0"/>
        <v>16600</v>
      </c>
      <c r="G58" s="6" t="str">
        <f ca="1"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8" s="23">
        <v>16600</v>
      </c>
      <c r="I58" s="24">
        <v>45222</v>
      </c>
      <c r="J58" s="7">
        <v>25</v>
      </c>
      <c r="K58" s="7">
        <v>25.44</v>
      </c>
      <c r="L58" s="6">
        <f t="shared" si="1"/>
        <v>26600</v>
      </c>
      <c r="M58" s="24">
        <v>45295</v>
      </c>
      <c r="N58" s="7">
        <v>22.19</v>
      </c>
      <c r="O58" s="7"/>
      <c r="P58" s="7"/>
      <c r="Q58" s="23"/>
      <c r="R58" s="23"/>
      <c r="S58" s="23"/>
      <c r="T58" s="23"/>
      <c r="U58" s="5">
        <f t="shared" si="2"/>
        <v>0.0375337588521913</v>
      </c>
      <c r="V58" s="5">
        <f t="shared" si="3"/>
        <v>0.079085035642795</v>
      </c>
      <c r="W58" s="25">
        <f t="shared" si="4"/>
        <v>0.474600011836889</v>
      </c>
      <c r="X58" s="3">
        <f t="shared" si="5"/>
        <v>35761.0000000001</v>
      </c>
      <c r="Y58" s="5">
        <f t="shared" si="6"/>
        <v>0.0557943530079899</v>
      </c>
      <c r="Z58" s="5">
        <f>IF(OR(AE58="",多次统计数据!$B$8=""),"",AE58-多次统计数据!$B$8)</f>
        <v>-0.0439921304299878</v>
      </c>
      <c r="AA58" s="8">
        <f t="shared" si="7"/>
        <v>73</v>
      </c>
      <c r="AB58" s="5">
        <f>IF(OR(A58="",多次统计数据!$B$8="",多次统计数据!$B$6&lt;=0,多次统计数据!$B$6&gt;=1),"",1-POWER(1+多次统计数据!$B$8,-多次统计数据!$B$6/(1-多次统计数据!$B$6)))</f>
        <v>0.0965082919530571</v>
      </c>
      <c r="AC58" s="6" t="str">
        <f>IF(OR(AB58="",多次统计数据!$B$9=""),"",IF(多次统计数据!$B$9&lt;AB58,"低于上限","达到或超过上限"))</f>
        <v>低于上限</v>
      </c>
      <c r="AD58" s="23"/>
      <c r="AE58" s="5">
        <f t="shared" si="8"/>
        <v>0.0542178355923468</v>
      </c>
      <c r="AG58" s="23" t="s">
        <v>48</v>
      </c>
      <c r="AH58" s="23" t="s">
        <v>49</v>
      </c>
      <c r="AI58" s="23" t="s">
        <v>50</v>
      </c>
      <c r="AJ58" s="6" t="str">
        <f t="shared" si="9"/>
        <v>匹配</v>
      </c>
      <c r="AK58" s="26">
        <f>IF(A58="","",COUNTIFS(加仓管理!$A$2:$A$1001,A58,加仓管理!$G$2:$G$1001,"&gt;0"))</f>
        <v>3</v>
      </c>
      <c r="AL58" s="26">
        <f>IF(A58="","",SUMIFS(加仓管理!$G$2:$G$1001,加仓管理!$A$2:$A$1001,A58))</f>
        <v>10000</v>
      </c>
      <c r="AM58" s="27">
        <f>IF(AK58=0,"",IFERROR(LOOKUP(2,1/((加仓管理!$A$2:$A$1001=A58)*(加仓管理!$G$2:$G$1001&gt;0)),加仓管理!$D$2:$D$1001),""))</f>
        <v>27</v>
      </c>
      <c r="AN58" s="27">
        <f>IF(AK58=0,"",IFERROR(LOOKUP(2,1/((加仓管理!$A$2:$A$1001=A58)*(加仓管理!$G$2:$G$1001&gt;0)),加仓管理!$E$2:$E$1001),""))</f>
        <v>26</v>
      </c>
      <c r="AO58" s="27">
        <f>IF(OR(A58="",H58="",H58&lt;=0),"",(E58*H58+SUMIFS(加仓管理!$H$2:$H$1001,加仓管理!$A$2:$A$1001,A58))/AP58)</f>
        <v>24.0956015037594</v>
      </c>
      <c r="AP58" s="26">
        <f t="shared" si="10"/>
        <v>26600</v>
      </c>
      <c r="AQ58" s="27">
        <f>IF(A58="","",IF(M58&lt;&gt;"",0,IF(OR(H58="",N58=""),"",MAX((E58*H58+SUMIFS(加仓管理!$H$2:$H$1001,加仓管理!$A$2:$A$1001,A58))-MAX(N58,AN58)*AP58,0))))</f>
        <v>0</v>
      </c>
      <c r="AR58" s="27" t="str">
        <f ca="1"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>违规：请检查加仓管理表</v>
      </c>
    </row>
    <row r="59" ht="17" spans="1:44">
      <c r="A59" s="23">
        <v>58</v>
      </c>
      <c r="B59" s="23" t="s">
        <v>55</v>
      </c>
      <c r="C59" s="7">
        <v>695341</v>
      </c>
      <c r="D59" s="4">
        <v>0.02</v>
      </c>
      <c r="E59" s="7">
        <v>24.8</v>
      </c>
      <c r="F59" s="6">
        <f t="shared" si="0"/>
        <v>17300</v>
      </c>
      <c r="G59" s="6" t="str">
        <f ca="1"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59" s="23">
        <v>10000</v>
      </c>
      <c r="I59" s="24">
        <v>45247</v>
      </c>
      <c r="J59" s="7">
        <v>27</v>
      </c>
      <c r="K59" s="7">
        <v>23.36</v>
      </c>
      <c r="L59" s="6">
        <f t="shared" si="1"/>
        <v>10000</v>
      </c>
      <c r="M59" s="24">
        <v>45308</v>
      </c>
      <c r="N59" s="7">
        <v>24</v>
      </c>
      <c r="O59" s="7"/>
      <c r="P59" s="7"/>
      <c r="Q59" s="23"/>
      <c r="R59" s="23"/>
      <c r="S59" s="23"/>
      <c r="T59" s="23"/>
      <c r="U59" s="5">
        <f t="shared" si="2"/>
        <v>0.0887096774193548</v>
      </c>
      <c r="V59" s="5">
        <f t="shared" si="3"/>
        <v>0.0322580645161291</v>
      </c>
      <c r="W59" s="25">
        <f t="shared" si="4"/>
        <v>2.75</v>
      </c>
      <c r="X59" s="3">
        <f t="shared" si="5"/>
        <v>-14400</v>
      </c>
      <c r="Y59" s="5">
        <f t="shared" si="6"/>
        <v>-0.0580645161290323</v>
      </c>
      <c r="Z59" s="5">
        <f>IF(OR(AE59="",多次统计数据!$B$8=""),"",AE59-多次统计数据!$B$8)</f>
        <v>-0.11891922953477</v>
      </c>
      <c r="AA59" s="8">
        <f t="shared" si="7"/>
        <v>61</v>
      </c>
      <c r="AB59" s="5">
        <f>IF(OR(A59="",多次统计数据!$B$8="",多次统计数据!$B$6&lt;=0,多次统计数据!$B$6&gt;=1),"",1-POWER(1+多次统计数据!$B$8,-多次统计数据!$B$6/(1-多次统计数据!$B$6)))</f>
        <v>0.0965082919530571</v>
      </c>
      <c r="AC59" s="6" t="str">
        <f>IF(OR(AB59="",多次统计数据!$B$9=""),"",IF(多次统计数据!$B$9&lt;AB59,"低于上限","达到或超过上限"))</f>
        <v>低于上限</v>
      </c>
      <c r="AD59" s="23"/>
      <c r="AE59" s="5">
        <f t="shared" si="8"/>
        <v>-0.0207092635124349</v>
      </c>
      <c r="AG59" s="23" t="s">
        <v>48</v>
      </c>
      <c r="AH59" s="23" t="s">
        <v>49</v>
      </c>
      <c r="AI59" s="23" t="s">
        <v>50</v>
      </c>
      <c r="AJ59" s="6" t="str">
        <f t="shared" si="9"/>
        <v>匹配</v>
      </c>
      <c r="AK59" s="26">
        <f>IF(A59="","",COUNTIFS(加仓管理!$A$2:$A$1001,A59,加仓管理!$G$2:$G$1001,"&gt;0"))</f>
        <v>0</v>
      </c>
      <c r="AL59" s="26">
        <f>IF(A59="","",SUMIFS(加仓管理!$G$2:$G$1001,加仓管理!$A$2:$A$1001,A59))</f>
        <v>0</v>
      </c>
      <c r="AM59" s="27" t="str">
        <f>IF(AK59=0,"",IFERROR(LOOKUP(2,1/((加仓管理!$A$2:$A$1001=A59)*(加仓管理!$G$2:$G$1001&gt;0)),加仓管理!$D$2:$D$1001),""))</f>
        <v/>
      </c>
      <c r="AN59" s="27" t="str">
        <f>IF(AK59=0,"",IFERROR(LOOKUP(2,1/((加仓管理!$A$2:$A$1001=A59)*(加仓管理!$G$2:$G$1001&gt;0)),加仓管理!$E$2:$E$1001),""))</f>
        <v/>
      </c>
      <c r="AO59" s="27">
        <f>IF(OR(A59="",H59="",H59&lt;=0),"",(E59*H59+SUMIFS(加仓管理!$H$2:$H$1001,加仓管理!$A$2:$A$1001,A59))/AP59)</f>
        <v>24.8</v>
      </c>
      <c r="AP59" s="26">
        <f t="shared" si="10"/>
        <v>10000</v>
      </c>
      <c r="AQ59" s="27">
        <f>IF(A59="","",IF(M59&lt;&gt;"",0,IF(OR(H59="",N59=""),"",MAX((E59*H59+SUMIFS(加仓管理!$H$2:$H$1001,加仓管理!$A$2:$A$1001,A59))-MAX(N59,AN59)*AP59,0))))</f>
        <v>0</v>
      </c>
      <c r="AR59" s="27" t="str">
        <f ca="1"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>通过</v>
      </c>
    </row>
    <row r="60" ht="17" spans="1:44">
      <c r="A60" s="23">
        <v>59</v>
      </c>
      <c r="B60" s="23" t="s">
        <v>55</v>
      </c>
      <c r="C60" s="7">
        <v>680941</v>
      </c>
      <c r="D60" s="4">
        <v>0.02</v>
      </c>
      <c r="E60" s="7">
        <v>23.27</v>
      </c>
      <c r="F60" s="6">
        <f t="shared" si="0"/>
        <v>17600</v>
      </c>
      <c r="G60" s="6" t="str">
        <f ca="1"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0" s="23">
        <v>5000</v>
      </c>
      <c r="I60" s="24">
        <v>45309</v>
      </c>
      <c r="J60" s="7">
        <v>25</v>
      </c>
      <c r="K60" s="7">
        <v>21.98</v>
      </c>
      <c r="L60" s="6">
        <f t="shared" si="1"/>
        <v>5000</v>
      </c>
      <c r="M60" s="24">
        <v>45313</v>
      </c>
      <c r="N60" s="7">
        <v>22.5</v>
      </c>
      <c r="O60" s="7"/>
      <c r="P60" s="7"/>
      <c r="Q60" s="23"/>
      <c r="R60" s="23"/>
      <c r="S60" s="23"/>
      <c r="T60" s="23"/>
      <c r="U60" s="5">
        <f t="shared" si="2"/>
        <v>0.0743446497636442</v>
      </c>
      <c r="V60" s="5">
        <f t="shared" si="3"/>
        <v>0.0330898152127202</v>
      </c>
      <c r="W60" s="25">
        <f t="shared" si="4"/>
        <v>2.24675324675325</v>
      </c>
      <c r="X60" s="3">
        <f t="shared" si="5"/>
        <v>-6450</v>
      </c>
      <c r="Y60" s="5">
        <f t="shared" si="6"/>
        <v>-0.055436183927804</v>
      </c>
      <c r="Z60" s="5">
        <f>IF(OR(AE60="",多次统计数据!$B$8=""),"",AE60-多次统计数据!$B$8)</f>
        <v>-0.107682152305728</v>
      </c>
      <c r="AA60" s="8">
        <f t="shared" si="7"/>
        <v>4</v>
      </c>
      <c r="AB60" s="5">
        <f>IF(OR(A60="",多次统计数据!$B$8="",多次统计数据!$B$6&lt;=0,多次统计数据!$B$6&gt;=1),"",1-POWER(1+多次统计数据!$B$8,-多次统计数据!$B$6/(1-多次统计数据!$B$6)))</f>
        <v>0.0965082919530571</v>
      </c>
      <c r="AC60" s="6" t="str">
        <f>IF(OR(AB60="",多次统计数据!$B$9=""),"",IF(多次统计数据!$B$9&lt;AB60,"低于上限","达到或超过上限"))</f>
        <v>低于上限</v>
      </c>
      <c r="AD60" s="23"/>
      <c r="AE60" s="5">
        <f t="shared" si="8"/>
        <v>-0.00947218628339312</v>
      </c>
      <c r="AG60" s="23" t="s">
        <v>48</v>
      </c>
      <c r="AH60" s="23" t="s">
        <v>49</v>
      </c>
      <c r="AI60" s="23" t="s">
        <v>50</v>
      </c>
      <c r="AJ60" s="6" t="str">
        <f t="shared" si="9"/>
        <v>匹配</v>
      </c>
      <c r="AK60" s="26">
        <f>IF(A60="","",COUNTIFS(加仓管理!$A$2:$A$1001,A60,加仓管理!$G$2:$G$1001,"&gt;0"))</f>
        <v>0</v>
      </c>
      <c r="AL60" s="26">
        <f>IF(A60="","",SUMIFS(加仓管理!$G$2:$G$1001,加仓管理!$A$2:$A$1001,A60))</f>
        <v>0</v>
      </c>
      <c r="AM60" s="27" t="str">
        <f>IF(AK60=0,"",IFERROR(LOOKUP(2,1/((加仓管理!$A$2:$A$1001=A60)*(加仓管理!$G$2:$G$1001&gt;0)),加仓管理!$D$2:$D$1001),""))</f>
        <v/>
      </c>
      <c r="AN60" s="27" t="str">
        <f>IF(AK60=0,"",IFERROR(LOOKUP(2,1/((加仓管理!$A$2:$A$1001=A60)*(加仓管理!$G$2:$G$1001&gt;0)),加仓管理!$E$2:$E$1001),""))</f>
        <v/>
      </c>
      <c r="AO60" s="27">
        <f>IF(OR(A60="",H60="",H60&lt;=0),"",(E60*H60+SUMIFS(加仓管理!$H$2:$H$1001,加仓管理!$A$2:$A$1001,A60))/AP60)</f>
        <v>23.27</v>
      </c>
      <c r="AP60" s="26">
        <f t="shared" si="10"/>
        <v>5000</v>
      </c>
      <c r="AQ60" s="27">
        <f>IF(A60="","",IF(M60&lt;&gt;"",0,IF(OR(H60="",N60=""),"",MAX((E60*H60+SUMIFS(加仓管理!$H$2:$H$1001,加仓管理!$A$2:$A$1001,A60))-MAX(N60,AN60)*AP60,0))))</f>
        <v>0</v>
      </c>
      <c r="AR60" s="27" t="str">
        <f ca="1"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>通过</v>
      </c>
    </row>
    <row r="61" ht="17" spans="1:44">
      <c r="A61" s="23">
        <v>60</v>
      </c>
      <c r="B61" s="23" t="s">
        <v>55</v>
      </c>
      <c r="C61" s="7">
        <v>674491</v>
      </c>
      <c r="D61" s="4">
        <v>0.02</v>
      </c>
      <c r="E61" s="7">
        <v>20.53</v>
      </c>
      <c r="F61" s="6">
        <f t="shared" si="0"/>
        <v>25400</v>
      </c>
      <c r="G61" s="6" t="str">
        <f ca="1"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1" s="23">
        <v>10000</v>
      </c>
      <c r="I61" s="24">
        <v>45324</v>
      </c>
      <c r="J61" s="7">
        <v>23</v>
      </c>
      <c r="K61" s="7">
        <v>24.86</v>
      </c>
      <c r="L61" s="6">
        <f t="shared" si="1"/>
        <v>28000</v>
      </c>
      <c r="M61" s="24">
        <v>45358</v>
      </c>
      <c r="N61" s="7">
        <v>20</v>
      </c>
      <c r="O61" s="7"/>
      <c r="P61" s="7"/>
      <c r="Q61" s="23"/>
      <c r="R61" s="23"/>
      <c r="S61" s="23"/>
      <c r="T61" s="23"/>
      <c r="U61" s="5">
        <f t="shared" si="2"/>
        <v>-0.0242719917578255</v>
      </c>
      <c r="V61" s="5">
        <f t="shared" si="3"/>
        <v>0.151540862398109</v>
      </c>
      <c r="W61" s="25">
        <f t="shared" si="4"/>
        <v>-0.160167966406719</v>
      </c>
      <c r="X61" s="3">
        <f t="shared" si="5"/>
        <v>36060</v>
      </c>
      <c r="Y61" s="5">
        <f t="shared" si="6"/>
        <v>0.0546347080391503</v>
      </c>
      <c r="Z61" s="5">
        <f>IF(OR(AE61="",多次统计数据!$B$8=""),"",AE61-多次统计数据!$B$8)</f>
        <v>-0.0447474290870753</v>
      </c>
      <c r="AA61" s="8">
        <f t="shared" si="7"/>
        <v>34</v>
      </c>
      <c r="AB61" s="5">
        <f>IF(OR(A61="",多次统计数据!$B$8="",多次统计数据!$B$6&lt;=0,多次统计数据!$B$6&gt;=1),"",1-POWER(1+多次统计数据!$B$8,-多次统计数据!$B$6/(1-多次统计数据!$B$6)))</f>
        <v>0.0965082919530571</v>
      </c>
      <c r="AC61" s="6" t="str">
        <f>IF(OR(AB61="",多次统计数据!$B$9=""),"",IF(多次统计数据!$B$9&lt;AB61,"低于上限","达到或超过上限"))</f>
        <v>低于上限</v>
      </c>
      <c r="AD61" s="23"/>
      <c r="AE61" s="5">
        <f t="shared" si="8"/>
        <v>0.0534625369352593</v>
      </c>
      <c r="AG61" s="23" t="s">
        <v>48</v>
      </c>
      <c r="AH61" s="23" t="s">
        <v>49</v>
      </c>
      <c r="AI61" s="23" t="s">
        <v>50</v>
      </c>
      <c r="AJ61" s="6" t="str">
        <f t="shared" si="9"/>
        <v>匹配</v>
      </c>
      <c r="AK61" s="26">
        <f>IF(A61="","",COUNTIFS(加仓管理!$A$2:$A$1001,A61,加仓管理!$G$2:$G$1001,"&gt;0"))</f>
        <v>2</v>
      </c>
      <c r="AL61" s="26">
        <f>IF(A61="","",SUMIFS(加仓管理!$G$2:$G$1001,加仓管理!$A$2:$A$1001,A61))</f>
        <v>18000</v>
      </c>
      <c r="AM61" s="27">
        <f>IF(AK61=0,"",IFERROR(LOOKUP(2,1/((加仓管理!$A$2:$A$1001=A61)*(加仓管理!$G$2:$G$1001&gt;0)),加仓管理!$D$2:$D$1001),""))</f>
        <v>26.29</v>
      </c>
      <c r="AN61" s="27">
        <f>IF(AK61=0,"",IFERROR(LOOKUP(2,1/((加仓管理!$A$2:$A$1001=A61)*(加仓管理!$G$2:$G$1001&gt;0)),加仓管理!$E$2:$E$1001),""))</f>
        <v>25</v>
      </c>
      <c r="AO61" s="27">
        <f>IF(OR(A61="",H61="",H61&lt;=0),"",(E61*H61+SUMIFS(加仓管理!$H$2:$H$1001,加仓管理!$A$2:$A$1001,A61))/AP61)</f>
        <v>23.5721428571429</v>
      </c>
      <c r="AP61" s="26">
        <f t="shared" si="10"/>
        <v>28000</v>
      </c>
      <c r="AQ61" s="27">
        <f>IF(A61="","",IF(M61&lt;&gt;"",0,IF(OR(H61="",N61=""),"",MAX((E61*H61+SUMIFS(加仓管理!$H$2:$H$1001,加仓管理!$A$2:$A$1001,A61))-MAX(N61,AN61)*AP61,0))))</f>
        <v>0</v>
      </c>
      <c r="AR61" s="27" t="str">
        <f ca="1"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>违规：请检查加仓管理表</v>
      </c>
    </row>
    <row r="62" ht="17" spans="1:44">
      <c r="A62" s="23">
        <v>61</v>
      </c>
      <c r="B62" s="23" t="s">
        <v>55</v>
      </c>
      <c r="C62" s="7">
        <v>710551</v>
      </c>
      <c r="D62" s="4">
        <v>0.02</v>
      </c>
      <c r="E62" s="7">
        <v>27.82</v>
      </c>
      <c r="F62" s="6">
        <f t="shared" si="0"/>
        <v>17300</v>
      </c>
      <c r="G62" s="6" t="str">
        <f ca="1"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2" s="23">
        <v>17300</v>
      </c>
      <c r="I62" s="24">
        <v>45252</v>
      </c>
      <c r="J62" s="7">
        <v>30</v>
      </c>
      <c r="K62" s="7">
        <v>30.53</v>
      </c>
      <c r="L62" s="6">
        <f t="shared" si="1"/>
        <v>25300</v>
      </c>
      <c r="M62" s="24">
        <v>45450</v>
      </c>
      <c r="N62" s="7">
        <v>27</v>
      </c>
      <c r="O62" s="7"/>
      <c r="P62" s="7"/>
      <c r="Q62" s="23"/>
      <c r="R62" s="23"/>
      <c r="S62" s="23"/>
      <c r="T62" s="23"/>
      <c r="U62" s="5">
        <f t="shared" si="2"/>
        <v>0.0722519834542619</v>
      </c>
      <c r="V62" s="5">
        <f t="shared" si="3"/>
        <v>0.0349732148911643</v>
      </c>
      <c r="W62" s="25">
        <f t="shared" si="4"/>
        <v>2.06592341250606</v>
      </c>
      <c r="X62" s="3">
        <f t="shared" si="5"/>
        <v>64553.0000000001</v>
      </c>
      <c r="Y62" s="5">
        <f t="shared" si="6"/>
        <v>0.0911951018286206</v>
      </c>
      <c r="Z62" s="5">
        <f>IF(OR(AE62="",多次统计数据!$B$8=""),"",AE62-多次统计数据!$B$8)</f>
        <v>-0.0073607518209612</v>
      </c>
      <c r="AA62" s="8">
        <f t="shared" si="7"/>
        <v>198</v>
      </c>
      <c r="AB62" s="5">
        <f>IF(OR(A62="",多次统计数据!$B$8="",多次统计数据!$B$6&lt;=0,多次统计数据!$B$6&gt;=1),"",1-POWER(1+多次统计数据!$B$8,-多次统计数据!$B$6/(1-多次统计数据!$B$6)))</f>
        <v>0.0965082919530571</v>
      </c>
      <c r="AC62" s="6" t="str">
        <f>IF(OR(AB62="",多次统计数据!$B$9=""),"",IF(多次统计数据!$B$9&lt;AB62,"低于上限","达到或超过上限"))</f>
        <v>低于上限</v>
      </c>
      <c r="AD62" s="23"/>
      <c r="AE62" s="5">
        <f t="shared" si="8"/>
        <v>0.0908492142013734</v>
      </c>
      <c r="AG62" s="23" t="s">
        <v>52</v>
      </c>
      <c r="AH62" s="23" t="s">
        <v>49</v>
      </c>
      <c r="AI62" s="23" t="s">
        <v>53</v>
      </c>
      <c r="AJ62" s="6" t="str">
        <f t="shared" si="9"/>
        <v>匹配</v>
      </c>
      <c r="AK62" s="26">
        <f>IF(A62="","",COUNTIFS(加仓管理!$A$2:$A$1001,A62,加仓管理!$G$2:$G$1001,"&gt;0"))</f>
        <v>2</v>
      </c>
      <c r="AL62" s="26">
        <f>IF(A62="","",SUMIFS(加仓管理!$G$2:$G$1001,加仓管理!$A$2:$A$1001,A62))</f>
        <v>8000</v>
      </c>
      <c r="AM62" s="27">
        <f>IF(AK62=0,"",IFERROR(LOOKUP(2,1/((加仓管理!$A$2:$A$1001=A62)*(加仓管理!$G$2:$G$1001&gt;0)),加仓管理!$D$2:$D$1001),""))</f>
        <v>29.14</v>
      </c>
      <c r="AN62" s="27">
        <f>IF(AK62=0,"",IFERROR(LOOKUP(2,1/((加仓管理!$A$2:$A$1001=A62)*(加仓管理!$G$2:$G$1001&gt;0)),加仓管理!$E$2:$E$1001),""))</f>
        <v>27</v>
      </c>
      <c r="AO62" s="27">
        <f>IF(OR(A62="",H62="",H62&lt;=0),"",(E62*H62+SUMIFS(加仓管理!$H$2:$H$1001,加仓管理!$A$2:$A$1001,A62))/AP62)</f>
        <v>27.9784980237154</v>
      </c>
      <c r="AP62" s="26">
        <f t="shared" si="10"/>
        <v>25300</v>
      </c>
      <c r="AQ62" s="27">
        <f>IF(A62="","",IF(M62&lt;&gt;"",0,IF(OR(H62="",N62=""),"",MAX((E62*H62+SUMIFS(加仓管理!$H$2:$H$1001,加仓管理!$A$2:$A$1001,A62))-MAX(N62,AN62)*AP62,0))))</f>
        <v>0</v>
      </c>
      <c r="AR62" s="27" t="str">
        <f ca="1"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>违规：请检查加仓管理表</v>
      </c>
    </row>
    <row r="63" ht="17" spans="1:44">
      <c r="A63" s="23">
        <v>62</v>
      </c>
      <c r="B63" s="23" t="s">
        <v>55</v>
      </c>
      <c r="C63" s="7">
        <v>775104</v>
      </c>
      <c r="D63" s="4">
        <v>0.02</v>
      </c>
      <c r="E63" s="7">
        <v>30.89</v>
      </c>
      <c r="F63" s="6">
        <f t="shared" si="0"/>
        <v>11100</v>
      </c>
      <c r="G63" s="6" t="str">
        <f ca="1"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3" s="23">
        <v>6000</v>
      </c>
      <c r="I63" s="24">
        <v>45485</v>
      </c>
      <c r="J63" s="7">
        <v>33</v>
      </c>
      <c r="K63" s="7">
        <v>29.32</v>
      </c>
      <c r="L63" s="6">
        <f t="shared" si="1"/>
        <v>8000</v>
      </c>
      <c r="M63" s="24">
        <v>45498</v>
      </c>
      <c r="N63" s="7">
        <v>29.5</v>
      </c>
      <c r="O63" s="7"/>
      <c r="P63" s="7"/>
      <c r="Q63" s="23"/>
      <c r="R63" s="23"/>
      <c r="S63" s="23"/>
      <c r="T63" s="23"/>
      <c r="U63" s="5">
        <f t="shared" si="2"/>
        <v>0.0702124209502189</v>
      </c>
      <c r="V63" s="5">
        <f t="shared" si="3"/>
        <v>0.0432949570293498</v>
      </c>
      <c r="W63" s="25">
        <f t="shared" si="4"/>
        <v>1.62172284644195</v>
      </c>
      <c r="X63" s="3">
        <f t="shared" si="5"/>
        <v>-12120</v>
      </c>
      <c r="Y63" s="5">
        <f t="shared" si="6"/>
        <v>-0.0491324793254419</v>
      </c>
      <c r="Z63" s="5">
        <f>IF(OR(AE63="",多次统计数据!$B$8=""),"",AE63-多次统计数据!$B$8)</f>
        <v>-0.113846577367393</v>
      </c>
      <c r="AA63" s="8">
        <f t="shared" si="7"/>
        <v>13</v>
      </c>
      <c r="AB63" s="5">
        <f>IF(OR(A63="",多次统计数据!$B$8="",多次统计数据!$B$6&lt;=0,多次统计数据!$B$6&gt;=1),"",1-POWER(1+多次统计数据!$B$8,-多次统计数据!$B$6/(1-多次统计数据!$B$6)))</f>
        <v>0.0965082919530571</v>
      </c>
      <c r="AC63" s="6" t="str">
        <f>IF(OR(AB63="",多次统计数据!$B$9=""),"",IF(多次统计数据!$B$9&lt;AB63,"低于上限","达到或超过上限"))</f>
        <v>低于上限</v>
      </c>
      <c r="AD63" s="23"/>
      <c r="AE63" s="5">
        <f t="shared" si="8"/>
        <v>-0.0156366113450582</v>
      </c>
      <c r="AG63" s="23" t="s">
        <v>52</v>
      </c>
      <c r="AH63" s="23" t="s">
        <v>49</v>
      </c>
      <c r="AI63" s="23" t="s">
        <v>53</v>
      </c>
      <c r="AJ63" s="6" t="str">
        <f t="shared" si="9"/>
        <v>匹配</v>
      </c>
      <c r="AK63" s="26">
        <f>IF(A63="","",COUNTIFS(加仓管理!$A$2:$A$1001,A63,加仓管理!$G$2:$G$1001,"&gt;0"))</f>
        <v>1</v>
      </c>
      <c r="AL63" s="26">
        <f>IF(A63="","",SUMIFS(加仓管理!$G$2:$G$1001,加仓管理!$A$2:$A$1001,A63))</f>
        <v>2000</v>
      </c>
      <c r="AM63" s="27">
        <f>IF(AK63=0,"",IFERROR(LOOKUP(2,1/((加仓管理!$A$2:$A$1001=A63)*(加仓管理!$G$2:$G$1001&gt;0)),加仓管理!$D$2:$D$1001),""))</f>
        <v>30.67</v>
      </c>
      <c r="AN63" s="27">
        <f>IF(AK63=0,"",IFERROR(LOOKUP(2,1/((加仓管理!$A$2:$A$1001=A63)*(加仓管理!$G$2:$G$1001&gt;0)),加仓管理!$E$2:$E$1001),""))</f>
        <v>29.5</v>
      </c>
      <c r="AO63" s="27">
        <f>IF(OR(A63="",H63="",H63&lt;=0),"",(E63*H63+SUMIFS(加仓管理!$H$2:$H$1001,加仓管理!$A$2:$A$1001,A63))/AP63)</f>
        <v>30.835</v>
      </c>
      <c r="AP63" s="26">
        <f t="shared" si="10"/>
        <v>8000</v>
      </c>
      <c r="AQ63" s="27">
        <f>IF(A63="","",IF(M63&lt;&gt;"",0,IF(OR(H63="",N63=""),"",MAX((E63*H63+SUMIFS(加仓管理!$H$2:$H$1001,加仓管理!$A$2:$A$1001,A63))-MAX(N63,AN63)*AP63,0))))</f>
        <v>0</v>
      </c>
      <c r="AR63" s="27" t="str">
        <f ca="1"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>违规：请检查加仓管理表</v>
      </c>
    </row>
    <row r="64" s="20" customFormat="1" ht="17" spans="1:44">
      <c r="A64" s="28">
        <v>63</v>
      </c>
      <c r="B64" s="28" t="s">
        <v>55</v>
      </c>
      <c r="C64" s="29">
        <v>762984</v>
      </c>
      <c r="D64" s="30">
        <v>0.02</v>
      </c>
      <c r="E64" s="29">
        <v>30.11</v>
      </c>
      <c r="F64" s="31">
        <f t="shared" si="0"/>
        <v>9400</v>
      </c>
      <c r="G64" s="31" t="str">
        <f ca="1"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4" s="28">
        <v>9400</v>
      </c>
      <c r="I64" s="32">
        <v>45506</v>
      </c>
      <c r="J64" s="29">
        <v>33</v>
      </c>
      <c r="K64" s="29">
        <v>25.34</v>
      </c>
      <c r="L64" s="31">
        <f t="shared" si="1"/>
        <v>19400</v>
      </c>
      <c r="M64" s="32">
        <v>45555</v>
      </c>
      <c r="N64" s="29">
        <v>28.5</v>
      </c>
      <c r="O64" s="29"/>
      <c r="P64" s="29"/>
      <c r="Q64" s="28"/>
      <c r="R64" s="28"/>
      <c r="S64" s="28"/>
      <c r="T64" s="28"/>
      <c r="U64" s="33">
        <f t="shared" si="2"/>
        <v>0.0940148739541751</v>
      </c>
      <c r="V64" s="33">
        <f t="shared" si="3"/>
        <v>0.0551689724941215</v>
      </c>
      <c r="W64" s="34">
        <f t="shared" si="4"/>
        <v>1.70412588279024</v>
      </c>
      <c r="X64" s="35">
        <f t="shared" si="5"/>
        <v>-93588</v>
      </c>
      <c r="Y64" s="33">
        <f t="shared" si="6"/>
        <v>-0.159929184666703</v>
      </c>
      <c r="Z64" s="33">
        <f>IF(OR(AE64="",多次统计数据!$B$8=""),"",AE64-多次统计数据!$B$8)</f>
        <v>-0.220870467422102</v>
      </c>
      <c r="AA64" s="36">
        <f t="shared" si="7"/>
        <v>49</v>
      </c>
      <c r="AB64" s="33">
        <f>IF(OR(A64="",多次统计数据!$B$8="",多次统计数据!$B$6&lt;=0,多次统计数据!$B$6&gt;=1),"",1-POWER(1+多次统计数据!$B$8,-多次统计数据!$B$6/(1-多次统计数据!$B$6)))</f>
        <v>0.0965082919530571</v>
      </c>
      <c r="AC64" s="31" t="str">
        <f>IF(OR(AB64="",多次统计数据!$B$9=""),"",IF(多次统计数据!$B$9&lt;AB64,"低于上限","达到或超过上限"))</f>
        <v>低于上限</v>
      </c>
      <c r="AD64" s="28"/>
      <c r="AE64" s="33">
        <f t="shared" si="8"/>
        <v>-0.122660501399767</v>
      </c>
      <c r="AG64" s="28" t="s">
        <v>45</v>
      </c>
      <c r="AH64" s="28" t="s">
        <v>54</v>
      </c>
      <c r="AI64" s="28" t="s">
        <v>51</v>
      </c>
      <c r="AJ64" s="31" t="str">
        <f t="shared" si="9"/>
        <v>匹配</v>
      </c>
      <c r="AK64" s="37">
        <f>IF(A64="","",COUNTIFS(加仓管理!$A$2:$A$1001,A64,加仓管理!$G$2:$G$1001,"&gt;0"))</f>
        <v>2</v>
      </c>
      <c r="AL64" s="37">
        <f>IF(A64="","",SUMIFS(加仓管理!$G$2:$G$1001,加仓管理!$A$2:$A$1001,A64))</f>
        <v>10000</v>
      </c>
      <c r="AM64" s="38">
        <f>IF(AK64=0,"",IFERROR(LOOKUP(2,1/((加仓管理!$A$2:$A$1001=A64)*(加仓管理!$G$2:$G$1001&gt;0)),加仓管理!$D$2:$D$1001),""))</f>
        <v>29.26</v>
      </c>
      <c r="AN64" s="38">
        <f>IF(AK64=0,"",IFERROR(LOOKUP(2,1/((加仓管理!$A$2:$A$1001=A64)*(加仓管理!$G$2:$G$1001&gt;0)),加仓管理!$E$2:$E$1001),""))</f>
        <v>28.5</v>
      </c>
      <c r="AO64" s="38">
        <f>IF(OR(A64="",H64="",H64&lt;=0),"",(E64*H64+SUMIFS(加仓管理!$H$2:$H$1001,加仓管理!$A$2:$A$1001,A64))/AP64)</f>
        <v>30.1641237113402</v>
      </c>
      <c r="AP64" s="37">
        <f t="shared" si="10"/>
        <v>19400</v>
      </c>
      <c r="AQ64" s="38">
        <f>IF(A64="","",IF(M64&lt;&gt;"",0,IF(OR(H64="",N64=""),"",MAX((E64*H64+SUMIFS(加仓管理!$H$2:$H$1001,加仓管理!$A$2:$A$1001,A64))-MAX(N64,AN64)*AP64,0))))</f>
        <v>0</v>
      </c>
      <c r="AR64" s="38" t="str">
        <f ca="1"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>违规：请检查加仓管理表</v>
      </c>
    </row>
    <row r="65" s="20" customFormat="1" ht="17" spans="1:44">
      <c r="A65" s="28">
        <v>64</v>
      </c>
      <c r="B65" s="28" t="s">
        <v>55</v>
      </c>
      <c r="C65" s="29">
        <v>669396</v>
      </c>
      <c r="D65" s="30">
        <v>0.02</v>
      </c>
      <c r="E65" s="29">
        <v>28.29</v>
      </c>
      <c r="F65" s="31">
        <f t="shared" si="0"/>
        <v>16900</v>
      </c>
      <c r="G65" s="31" t="str">
        <f ca="1"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5" s="28">
        <v>16900</v>
      </c>
      <c r="I65" s="32">
        <v>45562</v>
      </c>
      <c r="J65" s="29">
        <v>33</v>
      </c>
      <c r="K65" s="29">
        <v>26.33</v>
      </c>
      <c r="L65" s="31">
        <f t="shared" si="1"/>
        <v>22900</v>
      </c>
      <c r="M65" s="32">
        <v>45665</v>
      </c>
      <c r="N65" s="29">
        <v>27.5</v>
      </c>
      <c r="O65" s="29"/>
      <c r="P65" s="29"/>
      <c r="Q65" s="28"/>
      <c r="R65" s="28"/>
      <c r="S65" s="28"/>
      <c r="T65" s="28"/>
      <c r="U65" s="33">
        <f t="shared" si="2"/>
        <v>0.139834477391096</v>
      </c>
      <c r="V65" s="33">
        <f t="shared" si="3"/>
        <v>0.0501379355074202</v>
      </c>
      <c r="W65" s="34">
        <f t="shared" si="4"/>
        <v>2.7889955175837</v>
      </c>
      <c r="X65" s="35">
        <f t="shared" si="5"/>
        <v>-60034.0000000001</v>
      </c>
      <c r="Y65" s="33">
        <f t="shared" si="6"/>
        <v>-0.0905502487967409</v>
      </c>
      <c r="Z65" s="33">
        <f>IF(OR(AE65="",多次统计数据!$B$8=""),"",AE65-多次统计数据!$B$8)</f>
        <v>-0.187893800404375</v>
      </c>
      <c r="AA65" s="36">
        <f t="shared" si="7"/>
        <v>103</v>
      </c>
      <c r="AB65" s="33">
        <f>IF(OR(A65="",多次统计数据!$B$8="",多次统计数据!$B$6&lt;=0,多次统计数据!$B$6&gt;=1),"",1-POWER(1+多次统计数据!$B$8,-多次统计数据!$B$6/(1-多次统计数据!$B$6)))</f>
        <v>0.0965082919530571</v>
      </c>
      <c r="AC65" s="31" t="str">
        <f>IF(OR(AB65="",多次统计数据!$B$9=""),"",IF(多次统计数据!$B$9&lt;AB65,"低于上限","达到或超过上限"))</f>
        <v>低于上限</v>
      </c>
      <c r="AD65" s="28"/>
      <c r="AE65" s="33">
        <f t="shared" si="8"/>
        <v>-0.08968383438204</v>
      </c>
      <c r="AG65" s="28" t="s">
        <v>52</v>
      </c>
      <c r="AH65" s="28" t="s">
        <v>49</v>
      </c>
      <c r="AI65" s="28" t="s">
        <v>56</v>
      </c>
      <c r="AJ65" s="31" t="str">
        <f t="shared" si="9"/>
        <v>匹配</v>
      </c>
      <c r="AK65" s="37">
        <f>IF(A65="","",COUNTIFS(加仓管理!$A$2:$A$1001,A65,加仓管理!$G$2:$G$1001,"&gt;0"))</f>
        <v>2</v>
      </c>
      <c r="AL65" s="37">
        <f>IF(A65="","",SUMIFS(加仓管理!$G$2:$G$1001,加仓管理!$A$2:$A$1001,A65))</f>
        <v>6000</v>
      </c>
      <c r="AM65" s="38">
        <f>IF(AK65=0,"",IFERROR(LOOKUP(2,1/((加仓管理!$A$2:$A$1001=A65)*(加仓管理!$G$2:$G$1001&gt;0)),加仓管理!$D$2:$D$1001),""))</f>
        <v>31.69</v>
      </c>
      <c r="AN65" s="38">
        <f>IF(AK65=0,"",IFERROR(LOOKUP(2,1/((加仓管理!$A$2:$A$1001=A65)*(加仓管理!$G$2:$G$1001&gt;0)),加仓管理!$E$2:$E$1001),""))</f>
        <v>30.5</v>
      </c>
      <c r="AO65" s="38">
        <f>IF(OR(A65="",H65="",H65&lt;=0),"",(E65*H65+SUMIFS(加仓管理!$H$2:$H$1001,加仓管理!$A$2:$A$1001,A65))/AP65)</f>
        <v>28.9515720524017</v>
      </c>
      <c r="AP65" s="37">
        <f t="shared" si="10"/>
        <v>22900</v>
      </c>
      <c r="AQ65" s="38">
        <f>IF(A65="","",IF(M65&lt;&gt;"",0,IF(OR(H65="",N65=""),"",MAX((E65*H65+SUMIFS(加仓管理!$H$2:$H$1001,加仓管理!$A$2:$A$1001,A65))-MAX(N65,AN65)*AP65,0))))</f>
        <v>0</v>
      </c>
      <c r="AR65" s="38" t="str">
        <f ca="1"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>通过</v>
      </c>
    </row>
    <row r="66" ht="17" spans="1:44">
      <c r="A66" s="23">
        <v>65</v>
      </c>
      <c r="B66" s="23" t="s">
        <v>55</v>
      </c>
      <c r="C66" s="7">
        <v>609362</v>
      </c>
      <c r="D66" s="4">
        <v>0.02</v>
      </c>
      <c r="E66" s="7">
        <v>27.37</v>
      </c>
      <c r="F66" s="6">
        <f t="shared" ref="F66:F129" si="11">IF(OR(C66="",D66="",E66="",N66="",C66&lt;=0,D66&lt;=0,E66&lt;=N66),"",ROUNDDOWN((C66*D66)/(E66-N66)/100,0)*100)</f>
        <v>6500</v>
      </c>
      <c r="G66" s="6" t="str">
        <f ca="1"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6" s="23">
        <v>6500</v>
      </c>
      <c r="I66" s="24">
        <v>45709</v>
      </c>
      <c r="J66" s="7">
        <v>30</v>
      </c>
      <c r="K66" s="7">
        <v>34.15</v>
      </c>
      <c r="L66" s="6">
        <f t="shared" ref="L66:L129" si="12">IF(AP66="","",AP66)</f>
        <v>20500</v>
      </c>
      <c r="M66" s="24">
        <v>45943</v>
      </c>
      <c r="N66" s="7">
        <v>25.5</v>
      </c>
      <c r="O66" s="7"/>
      <c r="P66" s="7"/>
      <c r="Q66" s="23"/>
      <c r="R66" s="23"/>
      <c r="S66" s="23"/>
      <c r="T66" s="23"/>
      <c r="U66" s="5">
        <f t="shared" ref="U66:U129" si="13">IF(OR(AO66="",J66="",AO66&lt;=0),"",(J66-AO66)/AO66)</f>
        <v>0.025384519194698</v>
      </c>
      <c r="V66" s="5">
        <f t="shared" ref="V66:V129" si="14">IF(OR(AO66="",N66="",AO66&lt;=0),"",(AO66-N66)/AO66)</f>
        <v>0.128423158684507</v>
      </c>
      <c r="W66" s="25">
        <f t="shared" ref="W66:W129" si="15">IF(OR(U66="",V66="",V66&lt;=0),"",U66/V66)</f>
        <v>0.197663096397273</v>
      </c>
      <c r="X66" s="3">
        <f t="shared" ref="X66:X129" si="16">IF(OR(K66="",L66="",AO66="",AP66=""),"",(K66-AO66)*L66-IF(O66="",0,O66)-IF(P66="",0,P66))</f>
        <v>100300</v>
      </c>
      <c r="Y66" s="5">
        <f t="shared" ref="Y66:Y129" si="17">IF(OR(X66="",AO66="",L66=""),"",IF(AO66*L66+IF(O66="",0,O66)&lt;=0,"",X66/(AO66*L66+IF(O66="",0,O66))))</f>
        <v>0.167229377683298</v>
      </c>
      <c r="Z66" s="5">
        <f>IF(OR(AE66="",多次统计数据!$B$8=""),"",AE66-多次统计数据!$B$8)</f>
        <v>0.0663884172047126</v>
      </c>
      <c r="AA66" s="8">
        <f t="shared" ref="AA66:AA129" si="18">IF(OR(I66="",M66="",M66&lt;I66),"",M66-I66)</f>
        <v>234</v>
      </c>
      <c r="AB66" s="5">
        <f>IF(OR(A66="",多次统计数据!$B$8="",多次统计数据!$B$6&lt;=0,多次统计数据!$B$6&gt;=1),"",1-POWER(1+多次统计数据!$B$8,-多次统计数据!$B$6/(1-多次统计数据!$B$6)))</f>
        <v>0.0965082919530571</v>
      </c>
      <c r="AC66" s="6" t="str">
        <f>IF(OR(AB66="",多次统计数据!$B$9=""),"",IF(多次统计数据!$B$9&lt;AB66,"低于上限","达到或超过上限"))</f>
        <v>低于上限</v>
      </c>
      <c r="AD66" s="23"/>
      <c r="AE66" s="5">
        <f t="shared" ref="AE66:AE129" si="19">IF(OR(X66="",C66="",C66&lt;=0),"",X66/C66)</f>
        <v>0.164598383227047</v>
      </c>
      <c r="AG66" s="23" t="s">
        <v>48</v>
      </c>
      <c r="AH66" s="23" t="s">
        <v>49</v>
      </c>
      <c r="AI66" s="23" t="s">
        <v>50</v>
      </c>
      <c r="AJ66" s="6" t="str">
        <f t="shared" ref="AJ66:AJ129" si="20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>匹配</v>
      </c>
      <c r="AK66" s="26">
        <f>IF(A66="","",COUNTIFS(加仓管理!$A$2:$A$1001,A66,加仓管理!$G$2:$G$1001,"&gt;0"))</f>
        <v>3</v>
      </c>
      <c r="AL66" s="26">
        <f>IF(A66="","",SUMIFS(加仓管理!$G$2:$G$1001,加仓管理!$A$2:$A$1001,A66))</f>
        <v>14000</v>
      </c>
      <c r="AM66" s="27">
        <f>IF(AK66=0,"",IFERROR(LOOKUP(2,1/((加仓管理!$A$2:$A$1001=A66)*(加仓管理!$G$2:$G$1001&gt;0)),加仓管理!$D$2:$D$1001),""))</f>
        <v>31.28</v>
      </c>
      <c r="AN66" s="27">
        <f>IF(AK66=0,"",IFERROR(LOOKUP(2,1/((加仓管理!$A$2:$A$1001=A66)*(加仓管理!$G$2:$G$1001&gt;0)),加仓管理!$E$2:$E$1001),""))</f>
        <v>30</v>
      </c>
      <c r="AO66" s="27">
        <f>IF(OR(A66="",H66="",H66&lt;=0),"",(E66*H66+SUMIFS(加仓管理!$H$2:$H$1001,加仓管理!$A$2:$A$1001,A66))/AP66)</f>
        <v>29.2573170731707</v>
      </c>
      <c r="AP66" s="26">
        <f t="shared" ref="AP66:AP129" si="21">IF(OR(A66="",H66="",H66&lt;=0),"",H66+AL66)</f>
        <v>20500</v>
      </c>
      <c r="AQ66" s="27">
        <f>IF(A66="","",IF(M66&lt;&gt;"",0,IF(OR(H66="",N66=""),"",MAX((E66*H66+SUMIFS(加仓管理!$H$2:$H$1001,加仓管理!$A$2:$A$1001,A66))-MAX(N66,AN66)*AP66,0))))</f>
        <v>0</v>
      </c>
      <c r="AR66" s="27" t="str">
        <f ca="1"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>违规：请检查加仓管理表</v>
      </c>
    </row>
    <row r="67" ht="17" spans="1:44">
      <c r="A67" s="23">
        <v>66</v>
      </c>
      <c r="B67" s="23" t="s">
        <v>55</v>
      </c>
      <c r="C67" s="7">
        <v>709662</v>
      </c>
      <c r="D67" s="4">
        <v>0.02</v>
      </c>
      <c r="E67" s="7">
        <v>35.88</v>
      </c>
      <c r="F67" s="6">
        <f t="shared" si="11"/>
        <v>10200</v>
      </c>
      <c r="G67" s="6" t="str">
        <f ca="1"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7" s="23">
        <v>10200</v>
      </c>
      <c r="I67" s="24">
        <v>45950</v>
      </c>
      <c r="J67" s="7">
        <v>40</v>
      </c>
      <c r="K67" s="7">
        <v>31.84</v>
      </c>
      <c r="L67" s="6">
        <f t="shared" si="12"/>
        <v>10200</v>
      </c>
      <c r="M67" s="24">
        <v>45875</v>
      </c>
      <c r="N67" s="7">
        <v>34.5</v>
      </c>
      <c r="O67" s="7"/>
      <c r="P67" s="7"/>
      <c r="Q67" s="23"/>
      <c r="R67" s="23"/>
      <c r="S67" s="23"/>
      <c r="T67" s="23"/>
      <c r="U67" s="5">
        <f t="shared" si="13"/>
        <v>0.114827201783723</v>
      </c>
      <c r="V67" s="5">
        <f t="shared" si="14"/>
        <v>0.0384615384615385</v>
      </c>
      <c r="W67" s="25">
        <f t="shared" si="15"/>
        <v>2.9855072463768</v>
      </c>
      <c r="X67" s="3">
        <f t="shared" si="16"/>
        <v>-41208</v>
      </c>
      <c r="Y67" s="5">
        <f t="shared" si="17"/>
        <v>-0.112597547380156</v>
      </c>
      <c r="Z67" s="5">
        <f>IF(OR(AE67="",多次统计数据!$B$8=""),"",AE67-多次统计数据!$B$8)</f>
        <v>-0.156277045843433</v>
      </c>
      <c r="AA67" s="8" t="str">
        <f t="shared" si="18"/>
        <v/>
      </c>
      <c r="AB67" s="5">
        <f>IF(OR(A67="",多次统计数据!$B$8="",多次统计数据!$B$6&lt;=0,多次统计数据!$B$6&gt;=1),"",1-POWER(1+多次统计数据!$B$8,-多次统计数据!$B$6/(1-多次统计数据!$B$6)))</f>
        <v>0.0965082919530571</v>
      </c>
      <c r="AC67" s="6" t="str">
        <f>IF(OR(AB67="",多次统计数据!$B$9=""),"",IF(多次统计数据!$B$9&lt;AB67,"低于上限","达到或超过上限"))</f>
        <v>低于上限</v>
      </c>
      <c r="AD67" s="23"/>
      <c r="AE67" s="5">
        <f t="shared" si="19"/>
        <v>-0.058067079821098</v>
      </c>
      <c r="AG67" s="23" t="s">
        <v>45</v>
      </c>
      <c r="AH67" s="23" t="s">
        <v>46</v>
      </c>
      <c r="AI67" s="23" t="s">
        <v>51</v>
      </c>
      <c r="AJ67" s="6" t="str">
        <f t="shared" si="20"/>
        <v>匹配</v>
      </c>
      <c r="AK67" s="26">
        <f>IF(A67="","",COUNTIFS(加仓管理!$A$2:$A$1001,A67,加仓管理!$G$2:$G$1001,"&gt;0"))</f>
        <v>0</v>
      </c>
      <c r="AL67" s="26">
        <f>IF(A67="","",SUMIFS(加仓管理!$G$2:$G$1001,加仓管理!$A$2:$A$1001,A67))</f>
        <v>0</v>
      </c>
      <c r="AM67" s="27" t="str">
        <f>IF(AK67=0,"",IFERROR(LOOKUP(2,1/((加仓管理!$A$2:$A$1001=A67)*(加仓管理!$G$2:$G$1001&gt;0)),加仓管理!$D$2:$D$1001),""))</f>
        <v/>
      </c>
      <c r="AN67" s="27" t="str">
        <f>IF(AK67=0,"",IFERROR(LOOKUP(2,1/((加仓管理!$A$2:$A$1001=A67)*(加仓管理!$G$2:$G$1001&gt;0)),加仓管理!$E$2:$E$1001),""))</f>
        <v/>
      </c>
      <c r="AO67" s="27">
        <f>IF(OR(A67="",H67="",H67&lt;=0),"",(E67*H67+SUMIFS(加仓管理!$H$2:$H$1001,加仓管理!$A$2:$A$1001,A67))/AP67)</f>
        <v>35.88</v>
      </c>
      <c r="AP67" s="26">
        <f t="shared" si="21"/>
        <v>10200</v>
      </c>
      <c r="AQ67" s="27">
        <f>IF(A67="","",IF(M67&lt;&gt;"",0,IF(OR(H67="",N67=""),"",MAX((E67*H67+SUMIFS(加仓管理!$H$2:$H$1001,加仓管理!$A$2:$A$1001,A67))-MAX(N67,AN67)*AP67,0))))</f>
        <v>0</v>
      </c>
      <c r="AR67" s="27" t="str">
        <f ca="1"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>通过</v>
      </c>
    </row>
    <row r="68" ht="17" spans="1:44">
      <c r="A68" s="23">
        <v>67</v>
      </c>
      <c r="B68" s="23" t="s">
        <v>55</v>
      </c>
      <c r="C68" s="7">
        <v>668454</v>
      </c>
      <c r="D68" s="4">
        <v>0.02</v>
      </c>
      <c r="E68" s="7">
        <v>32.04</v>
      </c>
      <c r="F68" s="6">
        <f t="shared" si="11"/>
        <v>12800</v>
      </c>
      <c r="G68" s="6" t="str">
        <f ca="1"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8" s="23">
        <v>5000</v>
      </c>
      <c r="I68" s="24">
        <v>46001</v>
      </c>
      <c r="J68" s="7">
        <v>35</v>
      </c>
      <c r="K68" s="7">
        <v>30.5</v>
      </c>
      <c r="L68" s="6">
        <f t="shared" si="12"/>
        <v>5000</v>
      </c>
      <c r="M68" s="24">
        <v>46001</v>
      </c>
      <c r="N68" s="7">
        <v>31</v>
      </c>
      <c r="O68" s="7"/>
      <c r="P68" s="7"/>
      <c r="Q68" s="23"/>
      <c r="R68" s="23"/>
      <c r="S68" s="23"/>
      <c r="T68" s="23"/>
      <c r="U68" s="5">
        <f t="shared" si="13"/>
        <v>0.0923845193508115</v>
      </c>
      <c r="V68" s="5">
        <f t="shared" si="14"/>
        <v>0.0324594257178527</v>
      </c>
      <c r="W68" s="25">
        <f t="shared" si="15"/>
        <v>2.84615384615385</v>
      </c>
      <c r="X68" s="3">
        <f t="shared" si="16"/>
        <v>-7700</v>
      </c>
      <c r="Y68" s="5">
        <f t="shared" si="17"/>
        <v>-0.0480649188514357</v>
      </c>
      <c r="Z68" s="5">
        <f>IF(OR(AE68="",多次统计数据!$B$8=""),"",AE68-多次统计数据!$B$8)</f>
        <v>-0.109729083268996</v>
      </c>
      <c r="AA68" s="8">
        <f t="shared" si="18"/>
        <v>0</v>
      </c>
      <c r="AB68" s="5">
        <f>IF(OR(A68="",多次统计数据!$B$8="",多次统计数据!$B$6&lt;=0,多次统计数据!$B$6&gt;=1),"",1-POWER(1+多次统计数据!$B$8,-多次统计数据!$B$6/(1-多次统计数据!$B$6)))</f>
        <v>0.0965082919530571</v>
      </c>
      <c r="AC68" s="6" t="str">
        <f>IF(OR(AB68="",多次统计数据!$B$9=""),"",IF(多次统计数据!$B$9&lt;AB68,"低于上限","达到或超过上限"))</f>
        <v>低于上限</v>
      </c>
      <c r="AD68" s="23"/>
      <c r="AE68" s="5">
        <f t="shared" si="19"/>
        <v>-0.0115191172466617</v>
      </c>
      <c r="AG68" s="23" t="s">
        <v>45</v>
      </c>
      <c r="AH68" s="23" t="s">
        <v>46</v>
      </c>
      <c r="AI68" s="23" t="s">
        <v>51</v>
      </c>
      <c r="AJ68" s="6" t="str">
        <f t="shared" si="20"/>
        <v>匹配</v>
      </c>
      <c r="AK68" s="26">
        <f>IF(A68="","",COUNTIFS(加仓管理!$A$2:$A$1001,A68,加仓管理!$G$2:$G$1001,"&gt;0"))</f>
        <v>0</v>
      </c>
      <c r="AL68" s="26">
        <f>IF(A68="","",SUMIFS(加仓管理!$G$2:$G$1001,加仓管理!$A$2:$A$1001,A68))</f>
        <v>0</v>
      </c>
      <c r="AM68" s="27" t="str">
        <f>IF(AK68=0,"",IFERROR(LOOKUP(2,1/((加仓管理!$A$2:$A$1001=A68)*(加仓管理!$G$2:$G$1001&gt;0)),加仓管理!$D$2:$D$1001),""))</f>
        <v/>
      </c>
      <c r="AN68" s="27" t="str">
        <f>IF(AK68=0,"",IFERROR(LOOKUP(2,1/((加仓管理!$A$2:$A$1001=A68)*(加仓管理!$G$2:$G$1001&gt;0)),加仓管理!$E$2:$E$1001),""))</f>
        <v/>
      </c>
      <c r="AO68" s="27">
        <f>IF(OR(A68="",H68="",H68&lt;=0),"",(E68*H68+SUMIFS(加仓管理!$H$2:$H$1001,加仓管理!$A$2:$A$1001,A68))/AP68)</f>
        <v>32.04</v>
      </c>
      <c r="AP68" s="26">
        <f t="shared" si="21"/>
        <v>5000</v>
      </c>
      <c r="AQ68" s="27">
        <f>IF(A68="","",IF(M68&lt;&gt;"",0,IF(OR(H68="",N68=""),"",MAX((E68*H68+SUMIFS(加仓管理!$H$2:$H$1001,加仓管理!$A$2:$A$1001,A68))-MAX(N68,AN68)*AP68,0))))</f>
        <v>0</v>
      </c>
      <c r="AR68" s="27" t="str">
        <f ca="1"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>通过</v>
      </c>
    </row>
    <row r="69" ht="17" spans="1:44">
      <c r="A69" s="23">
        <v>68</v>
      </c>
      <c r="B69" s="23" t="s">
        <v>55</v>
      </c>
      <c r="C69" s="7">
        <v>660754</v>
      </c>
      <c r="D69" s="4">
        <v>0.02</v>
      </c>
      <c r="E69" s="7">
        <v>30.01</v>
      </c>
      <c r="F69" s="6">
        <f t="shared" si="11"/>
        <v>13000</v>
      </c>
      <c r="G69" s="6" t="str">
        <f ca="1"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69" s="23">
        <v>10000</v>
      </c>
      <c r="I69" s="24">
        <v>46016</v>
      </c>
      <c r="J69" s="7">
        <v>33</v>
      </c>
      <c r="K69" s="7">
        <v>29.67</v>
      </c>
      <c r="L69" s="6">
        <f t="shared" si="12"/>
        <v>20000</v>
      </c>
      <c r="M69" s="24">
        <v>46055</v>
      </c>
      <c r="N69" s="7">
        <v>29</v>
      </c>
      <c r="O69" s="7"/>
      <c r="P69" s="7"/>
      <c r="Q69" s="23"/>
      <c r="R69" s="23"/>
      <c r="S69" s="23"/>
      <c r="T69" s="23"/>
      <c r="U69" s="5">
        <f t="shared" si="13"/>
        <v>0.122067324039442</v>
      </c>
      <c r="V69" s="5">
        <f t="shared" si="14"/>
        <v>0.013940836450187</v>
      </c>
      <c r="W69" s="25">
        <f t="shared" si="15"/>
        <v>8.75609756097561</v>
      </c>
      <c r="X69" s="3">
        <f t="shared" si="16"/>
        <v>5200.00000000003</v>
      </c>
      <c r="Y69" s="5">
        <f t="shared" si="17"/>
        <v>0.00884053043182596</v>
      </c>
      <c r="Z69" s="5">
        <f>IF(OR(AE69="",多次统计数据!$B$8=""),"",AE69-多次统计数据!$B$8)</f>
        <v>-0.0903401687906871</v>
      </c>
      <c r="AA69" s="8">
        <f t="shared" si="18"/>
        <v>39</v>
      </c>
      <c r="AB69" s="5">
        <f>IF(OR(A69="",多次统计数据!$B$8="",多次统计数据!$B$6&lt;=0,多次统计数据!$B$6&gt;=1),"",1-POWER(1+多次统计数据!$B$8,-多次统计数据!$B$6/(1-多次统计数据!$B$6)))</f>
        <v>0.0965082919530571</v>
      </c>
      <c r="AC69" s="6" t="str">
        <f>IF(OR(AB69="",多次统计数据!$B$9=""),"",IF(多次统计数据!$B$9&lt;AB69,"低于上限","达到或超过上限"))</f>
        <v>低于上限</v>
      </c>
      <c r="AD69" s="23"/>
      <c r="AE69" s="5">
        <f t="shared" si="19"/>
        <v>0.00786979723164753</v>
      </c>
      <c r="AG69" s="23" t="s">
        <v>48</v>
      </c>
      <c r="AH69" s="23" t="s">
        <v>49</v>
      </c>
      <c r="AI69" s="23" t="s">
        <v>50</v>
      </c>
      <c r="AJ69" s="6" t="str">
        <f t="shared" si="20"/>
        <v>匹配</v>
      </c>
      <c r="AK69" s="26">
        <f>IF(A69="","",COUNTIFS(加仓管理!$A$2:$A$1001,A69,加仓管理!$G$2:$G$1001,"&gt;0"))</f>
        <v>1</v>
      </c>
      <c r="AL69" s="26">
        <f>IF(A69="","",SUMIFS(加仓管理!$G$2:$G$1001,加仓管理!$A$2:$A$1001,A69))</f>
        <v>10000</v>
      </c>
      <c r="AM69" s="27">
        <f>IF(AK69=0,"",IFERROR(LOOKUP(2,1/((加仓管理!$A$2:$A$1001=A69)*(加仓管理!$G$2:$G$1001&gt;0)),加仓管理!$D$2:$D$1001),""))</f>
        <v>28.81</v>
      </c>
      <c r="AN69" s="27">
        <f>IF(AK69=0,"",IFERROR(LOOKUP(2,1/((加仓管理!$A$2:$A$1001=A69)*(加仓管理!$G$2:$G$1001&gt;0)),加仓管理!$E$2:$E$1001),""))</f>
        <v>27</v>
      </c>
      <c r="AO69" s="27">
        <f>IF(OR(A69="",H69="",H69&lt;=0),"",(E69*H69+SUMIFS(加仓管理!$H$2:$H$1001,加仓管理!$A$2:$A$1001,A69))/AP69)</f>
        <v>29.41</v>
      </c>
      <c r="AP69" s="26">
        <f t="shared" si="21"/>
        <v>20000</v>
      </c>
      <c r="AQ69" s="27">
        <f>IF(A69="","",IF(M69&lt;&gt;"",0,IF(OR(H69="",N69=""),"",MAX((E69*H69+SUMIFS(加仓管理!$H$2:$H$1001,加仓管理!$A$2:$A$1001,A69))-MAX(N69,AN69)*AP69,0))))</f>
        <v>0</v>
      </c>
      <c r="AR69" s="27" t="str">
        <f ca="1"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>违规：请检查加仓管理表</v>
      </c>
    </row>
    <row r="70" ht="17" spans="1:44">
      <c r="A70" s="23">
        <v>69</v>
      </c>
      <c r="B70" s="23" t="s">
        <v>55</v>
      </c>
      <c r="C70" s="7">
        <v>665954</v>
      </c>
      <c r="D70" s="4">
        <v>0.02</v>
      </c>
      <c r="E70" s="7">
        <v>31.29</v>
      </c>
      <c r="F70" s="6">
        <f t="shared" si="11"/>
        <v>10300</v>
      </c>
      <c r="G70" s="6" t="str">
        <f ca="1"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0" s="23">
        <v>5000</v>
      </c>
      <c r="I70" s="24">
        <v>46065</v>
      </c>
      <c r="J70" s="7">
        <v>33</v>
      </c>
      <c r="K70" s="7">
        <v>32.73</v>
      </c>
      <c r="L70" s="6">
        <f t="shared" si="12"/>
        <v>20000</v>
      </c>
      <c r="M70" s="24">
        <v>46135</v>
      </c>
      <c r="N70" s="7">
        <v>30</v>
      </c>
      <c r="O70" s="7"/>
      <c r="P70" s="7"/>
      <c r="Q70" s="23"/>
      <c r="R70" s="23"/>
      <c r="S70" s="23"/>
      <c r="T70" s="23"/>
      <c r="U70" s="5">
        <f t="shared" si="13"/>
        <v>0.049618320610687</v>
      </c>
      <c r="V70" s="5">
        <f t="shared" si="14"/>
        <v>0.0458015267175573</v>
      </c>
      <c r="W70" s="25">
        <f t="shared" si="15"/>
        <v>1.08333333333333</v>
      </c>
      <c r="X70" s="3">
        <f t="shared" si="16"/>
        <v>25799.9999999999</v>
      </c>
      <c r="Y70" s="5">
        <f t="shared" si="17"/>
        <v>0.0410305343511449</v>
      </c>
      <c r="Z70" s="5">
        <f>IF(OR(AE70="",多次统计数据!$B$8=""),"",AE70-多次统计数据!$B$8)</f>
        <v>-0.0594685514501571</v>
      </c>
      <c r="AA70" s="8">
        <f t="shared" si="18"/>
        <v>70</v>
      </c>
      <c r="AB70" s="5">
        <f>IF(OR(A70="",多次统计数据!$B$8="",多次统计数据!$B$6&lt;=0,多次统计数据!$B$6&gt;=1),"",1-POWER(1+多次统计数据!$B$8,-多次统计数据!$B$6/(1-多次统计数据!$B$6)))</f>
        <v>0.0965082919530571</v>
      </c>
      <c r="AC70" s="6" t="str">
        <f>IF(OR(AB70="",多次统计数据!$B$9=""),"",IF(多次统计数据!$B$9&lt;AB70,"低于上限","达到或超过上限"))</f>
        <v>低于上限</v>
      </c>
      <c r="AD70" s="23"/>
      <c r="AE70" s="5">
        <f t="shared" si="19"/>
        <v>0.0387414145721775</v>
      </c>
      <c r="AG70" s="23" t="s">
        <v>45</v>
      </c>
      <c r="AH70" s="23" t="s">
        <v>46</v>
      </c>
      <c r="AI70" s="23" t="s">
        <v>51</v>
      </c>
      <c r="AJ70" s="6" t="str">
        <f t="shared" si="20"/>
        <v>匹配</v>
      </c>
      <c r="AK70" s="26">
        <f>IF(A70="","",COUNTIFS(加仓管理!$A$2:$A$1001,A70,加仓管理!$G$2:$G$1001,"&gt;0"))</f>
        <v>2</v>
      </c>
      <c r="AL70" s="26">
        <f>IF(A70="","",SUMIFS(加仓管理!$G$2:$G$1001,加仓管理!$A$2:$A$1001,A70))</f>
        <v>15000</v>
      </c>
      <c r="AM70" s="27">
        <f>IF(AK70=0,"",IFERROR(LOOKUP(2,1/((加仓管理!$A$2:$A$1001=A70)*(加仓管理!$G$2:$G$1001&gt;0)),加仓管理!$D$2:$D$1001),""))</f>
        <v>32.21</v>
      </c>
      <c r="AN70" s="27">
        <f>IF(AK70=0,"",IFERROR(LOOKUP(2,1/((加仓管理!$A$2:$A$1001=A70)*(加仓管理!$G$2:$G$1001&gt;0)),加仓管理!$E$2:$E$1001),""))</f>
        <v>30</v>
      </c>
      <c r="AO70" s="27">
        <f>IF(OR(A70="",H70="",H70&lt;=0),"",(E70*H70+SUMIFS(加仓管理!$H$2:$H$1001,加仓管理!$A$2:$A$1001,A70))/AP70)</f>
        <v>31.44</v>
      </c>
      <c r="AP70" s="26">
        <f t="shared" si="21"/>
        <v>20000</v>
      </c>
      <c r="AQ70" s="27">
        <f>IF(A70="","",IF(M70&lt;&gt;"",0,IF(OR(H70="",N70=""),"",MAX((E70*H70+SUMIFS(加仓管理!$H$2:$H$1001,加仓管理!$A$2:$A$1001,A70))-MAX(N70,AN70)*AP70,0))))</f>
        <v>0</v>
      </c>
      <c r="AR70" s="27" t="str">
        <f ca="1"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>违规：请检查加仓管理表</v>
      </c>
    </row>
    <row r="71" ht="17" spans="1:44">
      <c r="A71" s="23">
        <v>70</v>
      </c>
      <c r="B71" s="23" t="s">
        <v>55</v>
      </c>
      <c r="C71" s="7">
        <v>691754</v>
      </c>
      <c r="D71" s="4">
        <v>0.02</v>
      </c>
      <c r="E71" s="7">
        <v>32.13</v>
      </c>
      <c r="F71" s="6">
        <f t="shared" si="11"/>
        <v>12200</v>
      </c>
      <c r="G71" s="6" t="str">
        <f ca="1"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1" s="23">
        <v>5000</v>
      </c>
      <c r="I71" s="24">
        <v>46140</v>
      </c>
      <c r="J71" s="7">
        <v>35</v>
      </c>
      <c r="K71" s="7">
        <v>30.63</v>
      </c>
      <c r="L71" s="6">
        <f t="shared" si="12"/>
        <v>10000</v>
      </c>
      <c r="M71" s="24">
        <v>46160</v>
      </c>
      <c r="N71" s="7">
        <v>31</v>
      </c>
      <c r="O71" s="7"/>
      <c r="P71" s="7"/>
      <c r="Q71" s="23"/>
      <c r="R71" s="23"/>
      <c r="S71" s="23"/>
      <c r="T71" s="23"/>
      <c r="U71" s="5">
        <f t="shared" si="13"/>
        <v>0.0659357393025734</v>
      </c>
      <c r="V71" s="5">
        <f t="shared" si="14"/>
        <v>0.0558854880462921</v>
      </c>
      <c r="W71" s="25">
        <f t="shared" si="15"/>
        <v>1.17983651226158</v>
      </c>
      <c r="X71" s="3">
        <f t="shared" si="16"/>
        <v>-22050</v>
      </c>
      <c r="Y71" s="5">
        <f t="shared" si="17"/>
        <v>-0.0671539515760622</v>
      </c>
      <c r="Z71" s="5">
        <f>IF(OR(AE71="",多次统计数据!$B$8=""),"",AE71-多次统计数据!$B$8)</f>
        <v>-0.130085459333541</v>
      </c>
      <c r="AA71" s="8">
        <f t="shared" si="18"/>
        <v>20</v>
      </c>
      <c r="AB71" s="5">
        <f>IF(OR(A71="",多次统计数据!$B$8="",多次统计数据!$B$6&lt;=0,多次统计数据!$B$6&gt;=1),"",1-POWER(1+多次统计数据!$B$8,-多次统计数据!$B$6/(1-多次统计数据!$B$6)))</f>
        <v>0.0965082919530571</v>
      </c>
      <c r="AC71" s="6" t="str">
        <f>IF(OR(AB71="",多次统计数据!$B$9=""),"",IF(多次统计数据!$B$9&lt;AB71,"低于上限","达到或超过上限"))</f>
        <v>低于上限</v>
      </c>
      <c r="AD71" s="23"/>
      <c r="AE71" s="5">
        <f t="shared" si="19"/>
        <v>-0.031875493311206</v>
      </c>
      <c r="AG71" s="23" t="s">
        <v>45</v>
      </c>
      <c r="AH71" s="23" t="s">
        <v>46</v>
      </c>
      <c r="AI71" s="23" t="s">
        <v>51</v>
      </c>
      <c r="AJ71" s="6" t="str">
        <f t="shared" si="20"/>
        <v>匹配</v>
      </c>
      <c r="AK71" s="26">
        <f>IF(A71="","",COUNTIFS(加仓管理!$A$2:$A$1001,A71,加仓管理!$G$2:$G$1001,"&gt;0"))</f>
        <v>1</v>
      </c>
      <c r="AL71" s="26">
        <f>IF(A71="","",SUMIFS(加仓管理!$G$2:$G$1001,加仓管理!$A$2:$A$1001,A71))</f>
        <v>5000</v>
      </c>
      <c r="AM71" s="27">
        <f>IF(AK71=0,"",IFERROR(LOOKUP(2,1/((加仓管理!$A$2:$A$1001=A71)*(加仓管理!$G$2:$G$1001&gt;0)),加仓管理!$D$2:$D$1001),""))</f>
        <v>33.54</v>
      </c>
      <c r="AN71" s="27">
        <f>IF(AK71=0,"",IFERROR(LOOKUP(2,1/((加仓管理!$A$2:$A$1001=A71)*(加仓管理!$G$2:$G$1001&gt;0)),加仓管理!$E$2:$E$1001),""))</f>
        <v>32</v>
      </c>
      <c r="AO71" s="27">
        <f>IF(OR(A71="",H71="",H71&lt;=0),"",(E71*H71+SUMIFS(加仓管理!$H$2:$H$1001,加仓管理!$A$2:$A$1001,A71))/AP71)</f>
        <v>32.835</v>
      </c>
      <c r="AP71" s="26">
        <f t="shared" si="21"/>
        <v>10000</v>
      </c>
      <c r="AQ71" s="27">
        <f>IF(A71="","",IF(M71&lt;&gt;"",0,IF(OR(H71="",N71=""),"",MAX((E71*H71+SUMIFS(加仓管理!$H$2:$H$1001,加仓管理!$A$2:$A$1001,A71))-MAX(N71,AN71)*AP71,0))))</f>
        <v>0</v>
      </c>
      <c r="AR71" s="27" t="str">
        <f ca="1"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>违规：请检查加仓管理表</v>
      </c>
    </row>
    <row r="72" ht="17" spans="1:44">
      <c r="A72" s="23">
        <v>71</v>
      </c>
      <c r="B72" s="23" t="s">
        <v>55</v>
      </c>
      <c r="C72" s="7">
        <v>669704</v>
      </c>
      <c r="D72" s="4">
        <v>0.02</v>
      </c>
      <c r="E72" s="7">
        <v>31.96</v>
      </c>
      <c r="F72" s="6">
        <f t="shared" si="11"/>
        <v>6800</v>
      </c>
      <c r="G72" s="6" t="str">
        <f ca="1"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2" s="23">
        <v>6800</v>
      </c>
      <c r="I72" s="24">
        <v>46162</v>
      </c>
      <c r="J72" s="7">
        <v>35</v>
      </c>
      <c r="K72" s="7">
        <v>33.55</v>
      </c>
      <c r="L72" s="6">
        <f t="shared" si="12"/>
        <v>19300</v>
      </c>
      <c r="M72" s="24">
        <v>46176</v>
      </c>
      <c r="N72" s="7">
        <v>30</v>
      </c>
      <c r="O72" s="7"/>
      <c r="P72" s="7"/>
      <c r="Q72" s="23"/>
      <c r="R72" s="23"/>
      <c r="S72" s="23"/>
      <c r="T72" s="23"/>
      <c r="U72" s="5">
        <f t="shared" si="13"/>
        <v>0.0230926629640456</v>
      </c>
      <c r="V72" s="5">
        <f t="shared" si="14"/>
        <v>0.123063431745104</v>
      </c>
      <c r="W72" s="25">
        <f t="shared" si="15"/>
        <v>0.187648456057007</v>
      </c>
      <c r="X72" s="3">
        <f t="shared" si="16"/>
        <v>-12738.0000000001</v>
      </c>
      <c r="Y72" s="5">
        <f t="shared" si="17"/>
        <v>-0.0192926045016078</v>
      </c>
      <c r="Z72" s="5">
        <f>IF(OR(AE72="",多次统计数据!$B$8=""),"",AE72-多次统计数据!$B$8)</f>
        <v>-0.117230309338188</v>
      </c>
      <c r="AA72" s="8">
        <f t="shared" si="18"/>
        <v>14</v>
      </c>
      <c r="AB72" s="5">
        <f>IF(OR(A72="",多次统计数据!$B$8="",多次统计数据!$B$6&lt;=0,多次统计数据!$B$6&gt;=1),"",1-POWER(1+多次统计数据!$B$8,-多次统计数据!$B$6/(1-多次统计数据!$B$6)))</f>
        <v>0.0965082919530571</v>
      </c>
      <c r="AC72" s="6" t="str">
        <f>IF(OR(AB72="",多次统计数据!$B$9=""),"",IF(多次统计数据!$B$9&lt;AB72,"低于上限","达到或超过上限"))</f>
        <v>低于上限</v>
      </c>
      <c r="AD72" s="23"/>
      <c r="AE72" s="5">
        <f t="shared" si="19"/>
        <v>-0.0190203433158531</v>
      </c>
      <c r="AG72" s="23" t="s">
        <v>45</v>
      </c>
      <c r="AH72" s="23" t="s">
        <v>46</v>
      </c>
      <c r="AI72" s="23" t="s">
        <v>51</v>
      </c>
      <c r="AJ72" s="6" t="str">
        <f t="shared" si="20"/>
        <v>匹配</v>
      </c>
      <c r="AK72" s="26">
        <f>IF(A72="","",COUNTIFS(加仓管理!$A$2:$A$1001,A72,加仓管理!$G$2:$G$1001,"&gt;0"))</f>
        <v>3</v>
      </c>
      <c r="AL72" s="26">
        <f>IF(A72="","",SUMIFS(加仓管理!$G$2:$G$1001,加仓管理!$A$2:$A$1001,A72))</f>
        <v>12500</v>
      </c>
      <c r="AM72" s="27">
        <f>IF(AK72=0,"",IFERROR(LOOKUP(2,1/((加仓管理!$A$2:$A$1001=A72)*(加仓管理!$G$2:$G$1001&gt;0)),加仓管理!$D$2:$D$1001),""))</f>
        <v>36.37</v>
      </c>
      <c r="AN72" s="27">
        <f>IF(AK72=0,"",IFERROR(LOOKUP(2,1/((加仓管理!$A$2:$A$1001=A72)*(加仓管理!$G$2:$G$1001&gt;0)),加仓管理!$E$2:$E$1001),""))</f>
        <v>35</v>
      </c>
      <c r="AO72" s="27">
        <f>IF(OR(A72="",H72="",H72&lt;=0),"",(E72*H72+SUMIFS(加仓管理!$H$2:$H$1001,加仓管理!$A$2:$A$1001,A72))/AP72)</f>
        <v>34.21</v>
      </c>
      <c r="AP72" s="26">
        <f t="shared" si="21"/>
        <v>19300</v>
      </c>
      <c r="AQ72" s="27">
        <f>IF(A72="","",IF(M72&lt;&gt;"",0,IF(OR(H72="",N72=""),"",MAX((E72*H72+SUMIFS(加仓管理!$H$2:$H$1001,加仓管理!$A$2:$A$1001,A72))-MAX(N72,AN72)*AP72,0))))</f>
        <v>0</v>
      </c>
      <c r="AR72" s="27" t="str">
        <f ca="1"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>违规：请检查加仓管理表</v>
      </c>
    </row>
    <row r="73" ht="17" spans="1:44">
      <c r="A73" s="23">
        <v>72</v>
      </c>
      <c r="B73" s="23" t="s">
        <v>55</v>
      </c>
      <c r="C73" s="7">
        <v>656966</v>
      </c>
      <c r="D73" s="4">
        <v>0.02</v>
      </c>
      <c r="E73" s="7">
        <v>37.06</v>
      </c>
      <c r="F73" s="6">
        <f t="shared" si="11"/>
        <v>12300</v>
      </c>
      <c r="G73" s="6" t="str">
        <f ca="1"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3" s="23">
        <v>10000</v>
      </c>
      <c r="I73" s="24">
        <v>46183</v>
      </c>
      <c r="J73" s="7">
        <v>43.61</v>
      </c>
      <c r="K73" s="7">
        <v>43.61</v>
      </c>
      <c r="L73" s="6">
        <f t="shared" si="12"/>
        <v>17500</v>
      </c>
      <c r="M73" s="24">
        <v>46210</v>
      </c>
      <c r="N73" s="7">
        <v>36</v>
      </c>
      <c r="O73" s="7"/>
      <c r="P73" s="7"/>
      <c r="Q73" s="23"/>
      <c r="R73" s="23"/>
      <c r="S73" s="23"/>
      <c r="T73" s="23"/>
      <c r="U73" s="5">
        <f t="shared" si="13"/>
        <v>0.185238391054512</v>
      </c>
      <c r="V73" s="5">
        <f t="shared" si="14"/>
        <v>0.0215872029818295</v>
      </c>
      <c r="W73" s="25">
        <f t="shared" si="15"/>
        <v>8.58093525179857</v>
      </c>
      <c r="X73" s="3">
        <f t="shared" si="16"/>
        <v>119275</v>
      </c>
      <c r="Y73" s="5">
        <f t="shared" si="17"/>
        <v>0.185238391054512</v>
      </c>
      <c r="Z73" s="5">
        <f>IF(OR(AE73="",多次统计数据!$B$8=""),"",AE73-多次统计数据!$B$8)</f>
        <v>0.0833443305470465</v>
      </c>
      <c r="AA73" s="8">
        <f t="shared" si="18"/>
        <v>27</v>
      </c>
      <c r="AB73" s="5">
        <f>IF(OR(A73="",多次统计数据!$B$8="",多次统计数据!$B$6&lt;=0,多次统计数据!$B$6&gt;=1),"",1-POWER(1+多次统计数据!$B$8,-多次统计数据!$B$6/(1-多次统计数据!$B$6)))</f>
        <v>0.0965082919530571</v>
      </c>
      <c r="AC73" s="6" t="str">
        <f>IF(OR(AB73="",多次统计数据!$B$9=""),"",IF(多次统计数据!$B$9&lt;AB73,"低于上限","达到或超过上限"))</f>
        <v>低于上限</v>
      </c>
      <c r="AD73" s="23"/>
      <c r="AE73" s="5">
        <f t="shared" si="19"/>
        <v>0.181554296569381</v>
      </c>
      <c r="AG73" s="23" t="s">
        <v>45</v>
      </c>
      <c r="AH73" s="23" t="s">
        <v>46</v>
      </c>
      <c r="AI73" s="23" t="s">
        <v>51</v>
      </c>
      <c r="AJ73" s="6" t="str">
        <f t="shared" si="20"/>
        <v>匹配</v>
      </c>
      <c r="AK73" s="26">
        <f>IF(A73="","",COUNTIFS(加仓管理!$A$2:$A$1001,A73,加仓管理!$G$2:$G$1001,"&gt;0"))</f>
        <v>2</v>
      </c>
      <c r="AL73" s="26">
        <f>IF(A73="","",SUMIFS(加仓管理!$G$2:$G$1001,加仓管理!$A$2:$A$1001,A73))</f>
        <v>7500</v>
      </c>
      <c r="AM73" s="27">
        <f>IF(AK73=0,"",IFERROR(LOOKUP(2,1/((加仓管理!$A$2:$A$1001=A73)*(加仓管理!$G$2:$G$1001&gt;0)),加仓管理!$D$2:$D$1001),""))</f>
        <v>35.62</v>
      </c>
      <c r="AN73" s="27">
        <f>IF(AK73=0,"",IFERROR(LOOKUP(2,1/((加仓管理!$A$2:$A$1001=A73)*(加仓管理!$G$2:$G$1001&gt;0)),加仓管理!$E$2:$E$1001),""))</f>
        <v>33</v>
      </c>
      <c r="AO73" s="27">
        <f>IF(OR(A73="",H73="",H73&lt;=0),"",(E73*H73+SUMIFS(加仓管理!$H$2:$H$1001,加仓管理!$A$2:$A$1001,A73))/AP73)</f>
        <v>36.7942857142857</v>
      </c>
      <c r="AP73" s="26">
        <f t="shared" si="21"/>
        <v>17500</v>
      </c>
      <c r="AQ73" s="27">
        <f>IF(A73="","",IF(M73&lt;&gt;"",0,IF(OR(H73="",N73=""),"",MAX((E73*H73+SUMIFS(加仓管理!$H$2:$H$1001,加仓管理!$A$2:$A$1001,A73))-MAX(N73,AN73)*AP73,0))))</f>
        <v>0</v>
      </c>
      <c r="AR73" s="27" t="str">
        <f ca="1"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>违规：请检查加仓管理表</v>
      </c>
    </row>
    <row r="74" ht="17" spans="1:44">
      <c r="A74" s="23">
        <v>73</v>
      </c>
      <c r="B74" s="23" t="s">
        <v>55</v>
      </c>
      <c r="C74" s="7">
        <v>776241</v>
      </c>
      <c r="D74" s="4">
        <v>0.02</v>
      </c>
      <c r="E74" s="7">
        <v>48.5</v>
      </c>
      <c r="F74" s="6">
        <f t="shared" si="11"/>
        <v>3400</v>
      </c>
      <c r="G74" s="6" t="str">
        <f ca="1"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4" s="23">
        <v>3400</v>
      </c>
      <c r="I74" s="24">
        <v>46217</v>
      </c>
      <c r="J74" s="7">
        <v>50</v>
      </c>
      <c r="K74" s="7">
        <v>44.91</v>
      </c>
      <c r="L74" s="6">
        <f t="shared" si="12"/>
        <v>3400</v>
      </c>
      <c r="M74" s="24">
        <v>46220</v>
      </c>
      <c r="N74" s="7">
        <v>44</v>
      </c>
      <c r="O74" s="7"/>
      <c r="P74" s="7"/>
      <c r="Q74" s="23"/>
      <c r="R74" s="23"/>
      <c r="S74" s="23"/>
      <c r="T74" s="23"/>
      <c r="U74" s="5">
        <f t="shared" si="13"/>
        <v>0.0309278350515464</v>
      </c>
      <c r="V74" s="5">
        <f t="shared" si="14"/>
        <v>0.0927835051546392</v>
      </c>
      <c r="W74" s="25">
        <f t="shared" si="15"/>
        <v>0.333333333333333</v>
      </c>
      <c r="X74" s="3">
        <f t="shared" si="16"/>
        <v>-12206</v>
      </c>
      <c r="Y74" s="5">
        <f t="shared" si="17"/>
        <v>-0.0740206185567011</v>
      </c>
      <c r="Z74" s="5">
        <f>IF(OR(AE74="",多次统计数据!$B$8=""),"",AE74-多次统计数据!$B$8)</f>
        <v>-0.113934463955322</v>
      </c>
      <c r="AA74" s="8">
        <f t="shared" si="18"/>
        <v>3</v>
      </c>
      <c r="AB74" s="5">
        <f>IF(OR(A74="",多次统计数据!$B$8="",多次统计数据!$B$6&lt;=0,多次统计数据!$B$6&gt;=1),"",1-POWER(1+多次统计数据!$B$8,-多次统计数据!$B$6/(1-多次统计数据!$B$6)))</f>
        <v>0.0965082919530571</v>
      </c>
      <c r="AC74" s="6" t="str">
        <f>IF(OR(AB74="",多次统计数据!$B$9=""),"",IF(多次统计数据!$B$9&lt;AB74,"低于上限","达到或超过上限"))</f>
        <v>低于上限</v>
      </c>
      <c r="AD74" s="23"/>
      <c r="AE74" s="5">
        <f t="shared" si="19"/>
        <v>-0.0157244979329873</v>
      </c>
      <c r="AG74" s="23" t="s">
        <v>52</v>
      </c>
      <c r="AH74" s="23" t="s">
        <v>49</v>
      </c>
      <c r="AI74" s="23" t="s">
        <v>53</v>
      </c>
      <c r="AJ74" s="6" t="str">
        <f t="shared" si="20"/>
        <v>匹配</v>
      </c>
      <c r="AK74" s="26">
        <f>IF(A74="","",COUNTIFS(加仓管理!$A$2:$A$1001,A74,加仓管理!$G$2:$G$1001,"&gt;0"))</f>
        <v>0</v>
      </c>
      <c r="AL74" s="26">
        <f>IF(A74="","",SUMIFS(加仓管理!$G$2:$G$1001,加仓管理!$A$2:$A$1001,A74))</f>
        <v>0</v>
      </c>
      <c r="AM74" s="27" t="str">
        <f>IF(AK74=0,"",IFERROR(LOOKUP(2,1/((加仓管理!$A$2:$A$1001=A74)*(加仓管理!$G$2:$G$1001&gt;0)),加仓管理!$D$2:$D$1001),""))</f>
        <v/>
      </c>
      <c r="AN74" s="27" t="str">
        <f>IF(AK74=0,"",IFERROR(LOOKUP(2,1/((加仓管理!$A$2:$A$1001=A74)*(加仓管理!$G$2:$G$1001&gt;0)),加仓管理!$E$2:$E$1001),""))</f>
        <v/>
      </c>
      <c r="AO74" s="27">
        <f>IF(OR(A74="",H74="",H74&lt;=0),"",(E74*H74+SUMIFS(加仓管理!$H$2:$H$1001,加仓管理!$A$2:$A$1001,A74))/AP74)</f>
        <v>48.5</v>
      </c>
      <c r="AP74" s="26">
        <f t="shared" si="21"/>
        <v>3400</v>
      </c>
      <c r="AQ74" s="27">
        <f>IF(A74="","",IF(M74&lt;&gt;"",0,IF(OR(H74="",N74=""),"",MAX((E74*H74+SUMIFS(加仓管理!$H$2:$H$1001,加仓管理!$A$2:$A$1001,A74))-MAX(N74,AN74)*AP74,0))))</f>
        <v>0</v>
      </c>
      <c r="AR74" s="27" t="str">
        <f ca="1"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>通过</v>
      </c>
    </row>
    <row r="75" ht="17" spans="1:44">
      <c r="A75" s="23">
        <v>74</v>
      </c>
      <c r="B75" s="23" t="s">
        <v>57</v>
      </c>
      <c r="C75" s="7">
        <v>764015</v>
      </c>
      <c r="D75" s="4">
        <v>0.02</v>
      </c>
      <c r="E75" s="7">
        <v>2.13</v>
      </c>
      <c r="F75" s="6">
        <f t="shared" si="11"/>
        <v>58700</v>
      </c>
      <c r="G75" s="6" t="str">
        <f ca="1"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5" s="23">
        <v>58700</v>
      </c>
      <c r="I75" s="24">
        <v>42103</v>
      </c>
      <c r="J75" s="7">
        <v>2.4</v>
      </c>
      <c r="K75" s="7">
        <v>2.24</v>
      </c>
      <c r="L75" s="6">
        <f t="shared" si="12"/>
        <v>133700</v>
      </c>
      <c r="M75" s="24">
        <v>42114</v>
      </c>
      <c r="N75" s="7">
        <v>1.87</v>
      </c>
      <c r="O75" s="7"/>
      <c r="P75" s="7"/>
      <c r="Q75" s="23"/>
      <c r="R75" s="23"/>
      <c r="S75" s="23"/>
      <c r="T75" s="23"/>
      <c r="U75" s="5">
        <f t="shared" si="13"/>
        <v>0.0308370893180116</v>
      </c>
      <c r="V75" s="5">
        <f t="shared" si="14"/>
        <v>0.196806101239716</v>
      </c>
      <c r="W75" s="25">
        <f t="shared" si="15"/>
        <v>0.156687669354575</v>
      </c>
      <c r="X75" s="3">
        <f t="shared" si="16"/>
        <v>-11793</v>
      </c>
      <c r="Y75" s="5">
        <f t="shared" si="17"/>
        <v>-0.037885383303189</v>
      </c>
      <c r="Z75" s="5">
        <f>IF(OR(AE75="",多次统计数据!$B$8=""),"",AE75-多次统计数据!$B$8)</f>
        <v>-0.113645526842476</v>
      </c>
      <c r="AA75" s="8">
        <f t="shared" si="18"/>
        <v>11</v>
      </c>
      <c r="AB75" s="5">
        <f>IF(OR(A75="",多次统计数据!$B$8="",多次统计数据!$B$6&lt;=0,多次统计数据!$B$6&gt;=1),"",1-POWER(1+多次统计数据!$B$8,-多次统计数据!$B$6/(1-多次统计数据!$B$6)))</f>
        <v>0.0965082919530571</v>
      </c>
      <c r="AC75" s="6" t="str">
        <f>IF(OR(AB75="",多次统计数据!$B$9=""),"",IF(多次统计数据!$B$9&lt;AB75,"低于上限","达到或超过上限"))</f>
        <v>低于上限</v>
      </c>
      <c r="AD75" s="23"/>
      <c r="AE75" s="5">
        <f t="shared" si="19"/>
        <v>-0.015435560820141</v>
      </c>
      <c r="AF75" s="39"/>
      <c r="AG75" s="23" t="s">
        <v>52</v>
      </c>
      <c r="AH75" s="23" t="s">
        <v>49</v>
      </c>
      <c r="AI75" s="23" t="s">
        <v>53</v>
      </c>
      <c r="AJ75" s="6" t="str">
        <f t="shared" si="20"/>
        <v>匹配</v>
      </c>
      <c r="AK75" s="26">
        <f>IF(A75="","",COUNTIFS(加仓管理!$A$2:$A$1001,A75,加仓管理!$G$2:$G$1001,"&gt;0"))</f>
        <v>2</v>
      </c>
      <c r="AL75" s="26">
        <f>IF(A75="","",SUMIFS(加仓管理!$G$2:$G$1001,加仓管理!$A$2:$A$1001,A75))</f>
        <v>75000</v>
      </c>
      <c r="AM75" s="27">
        <f>IF(AK75=0,"",IFERROR(LOOKUP(2,1/((加仓管理!$A$2:$A$1001=A75)*(加仓管理!$G$2:$G$1001&gt;0)),加仓管理!$D$2:$D$1001),""))</f>
        <v>2.52</v>
      </c>
      <c r="AN75" s="27">
        <f>IF(AK75=0,"",IFERROR(LOOKUP(2,1/((加仓管理!$A$2:$A$1001=A75)*(加仓管理!$G$2:$G$1001&gt;0)),加仓管理!$E$2:$E$1001),""))</f>
        <v>2.2</v>
      </c>
      <c r="AO75" s="27">
        <f>IF(OR(A75="",H75="",H75&lt;=0),"",(E75*H75+SUMIFS(加仓管理!$H$2:$H$1001,加仓管理!$A$2:$A$1001,A75))/AP75)</f>
        <v>2.32820493642483</v>
      </c>
      <c r="AP75" s="26">
        <f t="shared" si="21"/>
        <v>133700</v>
      </c>
      <c r="AQ75" s="27">
        <f>IF(A75="","",IF(M75&lt;&gt;"",0,IF(OR(H75="",N75=""),"",MAX((E75*H75+SUMIFS(加仓管理!$H$2:$H$1001,加仓管理!$A$2:$A$1001,A75))-MAX(N75,AN75)*AP75,0))))</f>
        <v>0</v>
      </c>
      <c r="AR75" s="27" t="str">
        <f ca="1"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>违规：请检查加仓管理表</v>
      </c>
    </row>
    <row r="76" ht="17" spans="1:44">
      <c r="A76" s="23">
        <v>75</v>
      </c>
      <c r="B76" s="23" t="s">
        <v>57</v>
      </c>
      <c r="C76" s="7">
        <v>752242</v>
      </c>
      <c r="D76" s="4">
        <v>0.02</v>
      </c>
      <c r="E76" s="7">
        <v>2.61</v>
      </c>
      <c r="F76" s="6">
        <f t="shared" si="11"/>
        <v>71600</v>
      </c>
      <c r="G76" s="6" t="str">
        <f ca="1"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6" s="23">
        <v>71600</v>
      </c>
      <c r="I76" s="24">
        <v>42144</v>
      </c>
      <c r="J76" s="7">
        <v>3</v>
      </c>
      <c r="K76" s="7">
        <v>3.85</v>
      </c>
      <c r="L76" s="6">
        <f t="shared" si="12"/>
        <v>146600</v>
      </c>
      <c r="M76" s="24">
        <v>42157</v>
      </c>
      <c r="N76" s="7">
        <v>2.4</v>
      </c>
      <c r="O76" s="7"/>
      <c r="P76" s="7"/>
      <c r="Q76" s="23"/>
      <c r="R76" s="23"/>
      <c r="S76" s="23"/>
      <c r="T76" s="23"/>
      <c r="U76" s="5">
        <f t="shared" si="13"/>
        <v>0.0710476199753547</v>
      </c>
      <c r="V76" s="5">
        <f t="shared" si="14"/>
        <v>0.143161904019716</v>
      </c>
      <c r="W76" s="25">
        <f t="shared" si="15"/>
        <v>0.496274623209607</v>
      </c>
      <c r="X76" s="3">
        <f t="shared" si="16"/>
        <v>153784</v>
      </c>
      <c r="Y76" s="5">
        <f t="shared" si="17"/>
        <v>0.374511112301705</v>
      </c>
      <c r="Z76" s="5">
        <f>IF(OR(AE76="",多次统计数据!$B$8=""),"",AE76-多次统计数据!$B$8)</f>
        <v>0.106224245308593</v>
      </c>
      <c r="AA76" s="8">
        <f t="shared" si="18"/>
        <v>13</v>
      </c>
      <c r="AB76" s="5">
        <f>IF(OR(A76="",多次统计数据!$B$8="",多次统计数据!$B$6&lt;=0,多次统计数据!$B$6&gt;=1),"",1-POWER(1+多次统计数据!$B$8,-多次统计数据!$B$6/(1-多次统计数据!$B$6)))</f>
        <v>0.0965082919530571</v>
      </c>
      <c r="AC76" s="6" t="str">
        <f>IF(OR(AB76="",多次统计数据!$B$9=""),"",IF(多次统计数据!$B$9&lt;AB76,"低于上限","达到或超过上限"))</f>
        <v>低于上限</v>
      </c>
      <c r="AD76" s="23"/>
      <c r="AE76" s="5">
        <f t="shared" si="19"/>
        <v>0.204434211330928</v>
      </c>
      <c r="AF76" s="39"/>
      <c r="AG76" s="23" t="s">
        <v>52</v>
      </c>
      <c r="AH76" s="23" t="s">
        <v>46</v>
      </c>
      <c r="AI76" s="23" t="s">
        <v>53</v>
      </c>
      <c r="AJ76" s="6" t="str">
        <f t="shared" si="20"/>
        <v>匹配</v>
      </c>
      <c r="AK76" s="26">
        <f>IF(A76="","",COUNTIFS(加仓管理!$A$2:$A$1001,A76,加仓管理!$G$2:$G$1001,"&gt;0"))</f>
        <v>3</v>
      </c>
      <c r="AL76" s="26">
        <f>IF(A76="","",SUMIFS(加仓管理!$G$2:$G$1001,加仓管理!$A$2:$A$1001,A76))</f>
        <v>75000</v>
      </c>
      <c r="AM76" s="27">
        <f>IF(AK76=0,"",IFERROR(LOOKUP(2,1/((加仓管理!$A$2:$A$1001=A76)*(加仓管理!$G$2:$G$1001&gt;0)),加仓管理!$D$2:$D$1001),""))</f>
        <v>3.5</v>
      </c>
      <c r="AN76" s="27">
        <f>IF(AK76=0,"",IFERROR(LOOKUP(2,1/((加仓管理!$A$2:$A$1001=A76)*(加仓管理!$G$2:$G$1001&gt;0)),加仓管理!$E$2:$E$1001),""))</f>
        <v>3.2</v>
      </c>
      <c r="AO76" s="27">
        <f>IF(OR(A76="",H76="",H76&lt;=0),"",(E76*H76+SUMIFS(加仓管理!$H$2:$H$1001,加仓管理!$A$2:$A$1001,A76))/AP76)</f>
        <v>2.80099590723056</v>
      </c>
      <c r="AP76" s="26">
        <f t="shared" si="21"/>
        <v>146600</v>
      </c>
      <c r="AQ76" s="27">
        <f>IF(A76="","",IF(M76&lt;&gt;"",0,IF(OR(H76="",N76=""),"",MAX((E76*H76+SUMIFS(加仓管理!$H$2:$H$1001,加仓管理!$A$2:$A$1001,A76))-MAX(N76,AN76)*AP76,0))))</f>
        <v>0</v>
      </c>
      <c r="AR76" s="27" t="str">
        <f ca="1"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>违规：请检查加仓管理表</v>
      </c>
    </row>
    <row r="77" ht="17" spans="1:44">
      <c r="A77" s="23">
        <v>76</v>
      </c>
      <c r="B77" s="23" t="s">
        <v>57</v>
      </c>
      <c r="C77" s="7">
        <v>906026</v>
      </c>
      <c r="D77" s="4">
        <v>0.02</v>
      </c>
      <c r="E77" s="7">
        <v>2.94</v>
      </c>
      <c r="F77" s="6">
        <f t="shared" si="11"/>
        <v>53200</v>
      </c>
      <c r="G77" s="6" t="str">
        <f ca="1"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7" s="23">
        <v>53200</v>
      </c>
      <c r="I77" s="24">
        <v>42174</v>
      </c>
      <c r="J77" s="7">
        <v>3.2</v>
      </c>
      <c r="K77" s="7">
        <v>3.16</v>
      </c>
      <c r="L77" s="6">
        <f t="shared" si="12"/>
        <v>53200</v>
      </c>
      <c r="M77" s="24">
        <v>42179</v>
      </c>
      <c r="N77" s="7">
        <v>2.6</v>
      </c>
      <c r="O77" s="7"/>
      <c r="P77" s="7"/>
      <c r="Q77" s="23"/>
      <c r="R77" s="23"/>
      <c r="S77" s="23"/>
      <c r="T77" s="23"/>
      <c r="U77" s="5">
        <f t="shared" si="13"/>
        <v>0.0884353741496599</v>
      </c>
      <c r="V77" s="5">
        <f t="shared" si="14"/>
        <v>0.115646258503401</v>
      </c>
      <c r="W77" s="25">
        <f t="shared" si="15"/>
        <v>0.764705882352942</v>
      </c>
      <c r="X77" s="3">
        <f t="shared" si="16"/>
        <v>11704</v>
      </c>
      <c r="Y77" s="5">
        <f t="shared" si="17"/>
        <v>0.0748299319727892</v>
      </c>
      <c r="Z77" s="5">
        <f>IF(OR(AE77="",多次统计数据!$B$8=""),"",AE77-多次统计数据!$B$8)</f>
        <v>-0.0852920144403711</v>
      </c>
      <c r="AA77" s="8">
        <f t="shared" si="18"/>
        <v>5</v>
      </c>
      <c r="AB77" s="5">
        <f>IF(OR(A77="",多次统计数据!$B$8="",多次统计数据!$B$6&lt;=0,多次统计数据!$B$6&gt;=1),"",1-POWER(1+多次统计数据!$B$8,-多次统计数据!$B$6/(1-多次统计数据!$B$6)))</f>
        <v>0.0965082919530571</v>
      </c>
      <c r="AC77" s="6" t="str">
        <f>IF(OR(AB77="",多次统计数据!$B$9=""),"",IF(多次统计数据!$B$9&lt;AB77,"低于上限","达到或超过上限"))</f>
        <v>低于上限</v>
      </c>
      <c r="AD77" s="23"/>
      <c r="AE77" s="5">
        <f t="shared" si="19"/>
        <v>0.0129179515819634</v>
      </c>
      <c r="AF77" s="39"/>
      <c r="AG77" s="23" t="s">
        <v>48</v>
      </c>
      <c r="AH77" s="23" t="s">
        <v>49</v>
      </c>
      <c r="AI77" s="23" t="s">
        <v>50</v>
      </c>
      <c r="AJ77" s="6" t="str">
        <f t="shared" si="20"/>
        <v>匹配</v>
      </c>
      <c r="AK77" s="26">
        <f>IF(A77="","",COUNTIFS(加仓管理!$A$2:$A$1001,A77,加仓管理!$G$2:$G$1001,"&gt;0"))</f>
        <v>0</v>
      </c>
      <c r="AL77" s="26">
        <f>IF(A77="","",SUMIFS(加仓管理!$G$2:$G$1001,加仓管理!$A$2:$A$1001,A77))</f>
        <v>0</v>
      </c>
      <c r="AM77" s="27" t="str">
        <f>IF(AK77=0,"",IFERROR(LOOKUP(2,1/((加仓管理!$A$2:$A$1001=A77)*(加仓管理!$G$2:$G$1001&gt;0)),加仓管理!$D$2:$D$1001),""))</f>
        <v/>
      </c>
      <c r="AN77" s="27" t="str">
        <f>IF(AK77=0,"",IFERROR(LOOKUP(2,1/((加仓管理!$A$2:$A$1001=A77)*(加仓管理!$G$2:$G$1001&gt;0)),加仓管理!$E$2:$E$1001),""))</f>
        <v/>
      </c>
      <c r="AO77" s="27">
        <f>IF(OR(A77="",H77="",H77&lt;=0),"",(E77*H77+SUMIFS(加仓管理!$H$2:$H$1001,加仓管理!$A$2:$A$1001,A77))/AP77)</f>
        <v>2.94</v>
      </c>
      <c r="AP77" s="26">
        <f t="shared" si="21"/>
        <v>53200</v>
      </c>
      <c r="AQ77" s="27">
        <f>IF(A77="","",IF(M77&lt;&gt;"",0,IF(OR(H77="",N77=""),"",MAX((E77*H77+SUMIFS(加仓管理!$H$2:$H$1001,加仓管理!$A$2:$A$1001,A77))-MAX(N77,AN77)*AP77,0))))</f>
        <v>0</v>
      </c>
      <c r="AR77" s="27" t="str">
        <f ca="1"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>通过</v>
      </c>
    </row>
    <row r="78" ht="17" spans="1:44">
      <c r="A78" s="23">
        <v>77</v>
      </c>
      <c r="B78" s="23" t="s">
        <v>57</v>
      </c>
      <c r="C78" s="7">
        <v>917730</v>
      </c>
      <c r="D78" s="4">
        <v>0.02</v>
      </c>
      <c r="E78" s="7">
        <v>2.61</v>
      </c>
      <c r="F78" s="6">
        <f t="shared" si="11"/>
        <v>44700</v>
      </c>
      <c r="G78" s="6" t="str">
        <f ca="1"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8" s="23">
        <v>44700</v>
      </c>
      <c r="I78" s="24">
        <v>42181</v>
      </c>
      <c r="J78" s="7">
        <v>3</v>
      </c>
      <c r="K78" s="7">
        <v>2.95</v>
      </c>
      <c r="L78" s="6">
        <f t="shared" si="12"/>
        <v>44700</v>
      </c>
      <c r="M78" s="24">
        <v>42186</v>
      </c>
      <c r="N78" s="7">
        <v>2.2</v>
      </c>
      <c r="O78" s="7"/>
      <c r="P78" s="7"/>
      <c r="Q78" s="23"/>
      <c r="R78" s="23"/>
      <c r="S78" s="23"/>
      <c r="T78" s="23"/>
      <c r="U78" s="5">
        <f t="shared" si="13"/>
        <v>0.149425287356322</v>
      </c>
      <c r="V78" s="5">
        <f t="shared" si="14"/>
        <v>0.157088122605364</v>
      </c>
      <c r="W78" s="25">
        <f t="shared" si="15"/>
        <v>0.951219512195123</v>
      </c>
      <c r="X78" s="3">
        <f t="shared" si="16"/>
        <v>15198</v>
      </c>
      <c r="Y78" s="5">
        <f t="shared" si="17"/>
        <v>0.130268199233717</v>
      </c>
      <c r="Z78" s="5">
        <f>IF(OR(AE78="",多次统计数据!$B$8=""),"",AE78-多次统计数据!$B$8)</f>
        <v>-0.0816495397531704</v>
      </c>
      <c r="AA78" s="8">
        <f t="shared" si="18"/>
        <v>5</v>
      </c>
      <c r="AB78" s="5">
        <f>IF(OR(A78="",多次统计数据!$B$8="",多次统计数据!$B$6&lt;=0,多次统计数据!$B$6&gt;=1),"",1-POWER(1+多次统计数据!$B$8,-多次统计数据!$B$6/(1-多次统计数据!$B$6)))</f>
        <v>0.0965082919530571</v>
      </c>
      <c r="AC78" s="6" t="str">
        <f>IF(OR(AB78="",多次统计数据!$B$9=""),"",IF(多次统计数据!$B$9&lt;AB78,"低于上限","达到或超过上限"))</f>
        <v>低于上限</v>
      </c>
      <c r="AD78" s="23"/>
      <c r="AE78" s="5">
        <f t="shared" si="19"/>
        <v>0.0165604262691641</v>
      </c>
      <c r="AG78" s="23" t="s">
        <v>48</v>
      </c>
      <c r="AH78" s="23" t="s">
        <v>49</v>
      </c>
      <c r="AI78" s="23" t="s">
        <v>50</v>
      </c>
      <c r="AJ78" s="6" t="str">
        <f t="shared" si="20"/>
        <v>匹配</v>
      </c>
      <c r="AK78" s="26">
        <f>IF(A78="","",COUNTIFS(加仓管理!$A$2:$A$1001,A78,加仓管理!$G$2:$G$1001,"&gt;0"))</f>
        <v>0</v>
      </c>
      <c r="AL78" s="26">
        <f>IF(A78="","",SUMIFS(加仓管理!$G$2:$G$1001,加仓管理!$A$2:$A$1001,A78))</f>
        <v>0</v>
      </c>
      <c r="AM78" s="27" t="str">
        <f>IF(AK78=0,"",IFERROR(LOOKUP(2,1/((加仓管理!$A$2:$A$1001=A78)*(加仓管理!$G$2:$G$1001&gt;0)),加仓管理!$D$2:$D$1001),""))</f>
        <v/>
      </c>
      <c r="AN78" s="27" t="str">
        <f>IF(AK78=0,"",IFERROR(LOOKUP(2,1/((加仓管理!$A$2:$A$1001=A78)*(加仓管理!$G$2:$G$1001&gt;0)),加仓管理!$E$2:$E$1001),""))</f>
        <v/>
      </c>
      <c r="AO78" s="27">
        <f>IF(OR(A78="",H78="",H78&lt;=0),"",(E78*H78+SUMIFS(加仓管理!$H$2:$H$1001,加仓管理!$A$2:$A$1001,A78))/AP78)</f>
        <v>2.61</v>
      </c>
      <c r="AP78" s="26">
        <f t="shared" si="21"/>
        <v>44700</v>
      </c>
      <c r="AQ78" s="27">
        <f>IF(A78="","",IF(M78&lt;&gt;"",0,IF(OR(H78="",N78=""),"",MAX((E78*H78+SUMIFS(加仓管理!$H$2:$H$1001,加仓管理!$A$2:$A$1001,A78))-MAX(N78,AN78)*AP78,0))))</f>
        <v>0</v>
      </c>
      <c r="AR78" s="27" t="str">
        <f ca="1"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>通过</v>
      </c>
    </row>
    <row r="79" ht="17" spans="1:44">
      <c r="A79" s="23">
        <v>78</v>
      </c>
      <c r="B79" s="23" t="s">
        <v>57</v>
      </c>
      <c r="C79" s="7">
        <v>932928</v>
      </c>
      <c r="D79" s="4">
        <v>0.02</v>
      </c>
      <c r="E79" s="7">
        <v>2.87</v>
      </c>
      <c r="F79" s="6">
        <f t="shared" si="11"/>
        <v>58300</v>
      </c>
      <c r="G79" s="6" t="str">
        <f ca="1"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79" s="23">
        <v>58300</v>
      </c>
      <c r="I79" s="24">
        <v>42191</v>
      </c>
      <c r="J79" s="7">
        <v>3.3</v>
      </c>
      <c r="K79" s="7">
        <v>2.9</v>
      </c>
      <c r="L79" s="6">
        <f t="shared" si="12"/>
        <v>158300</v>
      </c>
      <c r="M79" s="24">
        <v>42201</v>
      </c>
      <c r="N79" s="7">
        <v>2.55</v>
      </c>
      <c r="O79" s="7"/>
      <c r="P79" s="7"/>
      <c r="Q79" s="23"/>
      <c r="R79" s="23"/>
      <c r="S79" s="23"/>
      <c r="T79" s="23"/>
      <c r="U79" s="5">
        <f t="shared" si="13"/>
        <v>0.204160241205474</v>
      </c>
      <c r="V79" s="5">
        <f t="shared" si="14"/>
        <v>0.0695125408866791</v>
      </c>
      <c r="W79" s="25">
        <f t="shared" si="15"/>
        <v>2.93702745722244</v>
      </c>
      <c r="X79" s="3">
        <f t="shared" si="16"/>
        <v>25249</v>
      </c>
      <c r="Y79" s="5">
        <f t="shared" si="17"/>
        <v>0.0582014240896591</v>
      </c>
      <c r="Z79" s="5">
        <f>IF(OR(AE79="",多次统计数据!$B$8=""),"",AE79-多次统计数据!$B$8)</f>
        <v>-0.0711457124036202</v>
      </c>
      <c r="AA79" s="8">
        <f t="shared" si="18"/>
        <v>10</v>
      </c>
      <c r="AB79" s="5">
        <f>IF(OR(A79="",多次统计数据!$B$8="",多次统计数据!$B$6&lt;=0,多次统计数据!$B$6&gt;=1),"",1-POWER(1+多次统计数据!$B$8,-多次统计数据!$B$6/(1-多次统计数据!$B$6)))</f>
        <v>0.0965082919530571</v>
      </c>
      <c r="AC79" s="6" t="str">
        <f>IF(OR(AB79="",多次统计数据!$B$9=""),"",IF(多次统计数据!$B$9&lt;AB79,"低于上限","达到或超过上限"))</f>
        <v>低于上限</v>
      </c>
      <c r="AD79" s="23"/>
      <c r="AE79" s="5">
        <f t="shared" si="19"/>
        <v>0.0270642536187144</v>
      </c>
      <c r="AG79" s="23" t="s">
        <v>45</v>
      </c>
      <c r="AH79" s="23" t="s">
        <v>46</v>
      </c>
      <c r="AI79" s="23" t="s">
        <v>51</v>
      </c>
      <c r="AJ79" s="6" t="str">
        <f t="shared" si="20"/>
        <v>匹配</v>
      </c>
      <c r="AK79" s="26">
        <f>IF(A79="","",COUNTIFS(加仓管理!$A$2:$A$1001,A79,加仓管理!$G$2:$G$1001,"&gt;0"))</f>
        <v>3</v>
      </c>
      <c r="AL79" s="26">
        <f>IF(A79="","",SUMIFS(加仓管理!$G$2:$G$1001,加仓管理!$A$2:$A$1001,A79))</f>
        <v>100000</v>
      </c>
      <c r="AM79" s="27">
        <f>IF(AK79=0,"",IFERROR(LOOKUP(2,1/((加仓管理!$A$2:$A$1001=A79)*(加仓管理!$G$2:$G$1001&gt;0)),加仓管理!$D$2:$D$1001),""))</f>
        <v>2.86</v>
      </c>
      <c r="AN79" s="27">
        <f>IF(AK79=0,"",IFERROR(LOOKUP(2,1/((加仓管理!$A$2:$A$1001=A79)*(加仓管理!$G$2:$G$1001&gt;0)),加仓管理!$E$2:$E$1001),""))</f>
        <v>2.5</v>
      </c>
      <c r="AO79" s="27">
        <f>IF(OR(A79="",H79="",H79&lt;=0),"",(E79*H79+SUMIFS(加仓管理!$H$2:$H$1001,加仓管理!$A$2:$A$1001,A79))/AP79)</f>
        <v>2.74049905243209</v>
      </c>
      <c r="AP79" s="26">
        <f t="shared" si="21"/>
        <v>158300</v>
      </c>
      <c r="AQ79" s="27">
        <f>IF(A79="","",IF(M79&lt;&gt;"",0,IF(OR(H79="",N79=""),"",MAX((E79*H79+SUMIFS(加仓管理!$H$2:$H$1001,加仓管理!$A$2:$A$1001,A79))-MAX(N79,AN79)*AP79,0))))</f>
        <v>0</v>
      </c>
      <c r="AR79" s="27" t="str">
        <f ca="1"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>违规：请检查加仓管理表</v>
      </c>
    </row>
    <row r="80" ht="17" spans="1:44">
      <c r="A80" s="23">
        <v>79</v>
      </c>
      <c r="B80" s="23" t="s">
        <v>57</v>
      </c>
      <c r="C80" s="7">
        <v>958177</v>
      </c>
      <c r="D80" s="4">
        <v>0.02</v>
      </c>
      <c r="E80" s="7">
        <v>3.28</v>
      </c>
      <c r="F80" s="6">
        <f t="shared" si="11"/>
        <v>68400</v>
      </c>
      <c r="G80" s="6" t="str">
        <f ca="1"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0" s="23">
        <v>68400</v>
      </c>
      <c r="I80" s="24">
        <v>42207</v>
      </c>
      <c r="J80" s="7">
        <v>3.6</v>
      </c>
      <c r="K80" s="7">
        <v>2.87</v>
      </c>
      <c r="L80" s="6">
        <f t="shared" si="12"/>
        <v>68400</v>
      </c>
      <c r="M80" s="24">
        <v>42212</v>
      </c>
      <c r="N80" s="7">
        <v>3</v>
      </c>
      <c r="O80" s="7"/>
      <c r="P80" s="7"/>
      <c r="Q80" s="23"/>
      <c r="R80" s="23"/>
      <c r="S80" s="23"/>
      <c r="T80" s="23"/>
      <c r="U80" s="5">
        <f t="shared" si="13"/>
        <v>0.0975609756097562</v>
      </c>
      <c r="V80" s="5">
        <f t="shared" si="14"/>
        <v>0.0853658536585365</v>
      </c>
      <c r="W80" s="25">
        <f t="shared" si="15"/>
        <v>1.14285714285714</v>
      </c>
      <c r="X80" s="3">
        <f t="shared" si="16"/>
        <v>-28044</v>
      </c>
      <c r="Y80" s="5">
        <f t="shared" si="17"/>
        <v>-0.125</v>
      </c>
      <c r="Z80" s="5">
        <f>IF(OR(AE80="",多次统计数据!$B$8=""),"",AE80-多次统计数据!$B$8)</f>
        <v>-0.127478044884591</v>
      </c>
      <c r="AA80" s="8">
        <f t="shared" si="18"/>
        <v>5</v>
      </c>
      <c r="AB80" s="5">
        <f>IF(OR(A80="",多次统计数据!$B$8="",多次统计数据!$B$6&lt;=0,多次统计数据!$B$6&gt;=1),"",1-POWER(1+多次统计数据!$B$8,-多次统计数据!$B$6/(1-多次统计数据!$B$6)))</f>
        <v>0.0965082919530571</v>
      </c>
      <c r="AC80" s="6" t="str">
        <f>IF(OR(AB80="",多次统计数据!$B$9=""),"",IF(多次统计数据!$B$9&lt;AB80,"低于上限","达到或超过上限"))</f>
        <v>低于上限</v>
      </c>
      <c r="AD80" s="23"/>
      <c r="AE80" s="5">
        <f t="shared" si="19"/>
        <v>-0.0292680788622561</v>
      </c>
      <c r="AG80" s="23" t="s">
        <v>45</v>
      </c>
      <c r="AH80" s="23" t="s">
        <v>46</v>
      </c>
      <c r="AI80" s="23" t="s">
        <v>51</v>
      </c>
      <c r="AJ80" s="6" t="str">
        <f t="shared" si="20"/>
        <v>匹配</v>
      </c>
      <c r="AK80" s="26">
        <f>IF(A80="","",COUNTIFS(加仓管理!$A$2:$A$1001,A80,加仓管理!$G$2:$G$1001,"&gt;0"))</f>
        <v>0</v>
      </c>
      <c r="AL80" s="26">
        <f>IF(A80="","",SUMIFS(加仓管理!$G$2:$G$1001,加仓管理!$A$2:$A$1001,A80))</f>
        <v>0</v>
      </c>
      <c r="AM80" s="27" t="str">
        <f>IF(AK80=0,"",IFERROR(LOOKUP(2,1/((加仓管理!$A$2:$A$1001=A80)*(加仓管理!$G$2:$G$1001&gt;0)),加仓管理!$D$2:$D$1001),""))</f>
        <v/>
      </c>
      <c r="AN80" s="27" t="str">
        <f>IF(AK80=0,"",IFERROR(LOOKUP(2,1/((加仓管理!$A$2:$A$1001=A80)*(加仓管理!$G$2:$G$1001&gt;0)),加仓管理!$E$2:$E$1001),""))</f>
        <v/>
      </c>
      <c r="AO80" s="27">
        <f>IF(OR(A80="",H80="",H80&lt;=0),"",(E80*H80+SUMIFS(加仓管理!$H$2:$H$1001,加仓管理!$A$2:$A$1001,A80))/AP80)</f>
        <v>3.28</v>
      </c>
      <c r="AP80" s="26">
        <f t="shared" si="21"/>
        <v>68400</v>
      </c>
      <c r="AQ80" s="27">
        <f>IF(A80="","",IF(M80&lt;&gt;"",0,IF(OR(H80="",N80=""),"",MAX((E80*H80+SUMIFS(加仓管理!$H$2:$H$1001,加仓管理!$A$2:$A$1001,A80))-MAX(N80,AN80)*AP80,0))))</f>
        <v>0</v>
      </c>
      <c r="AR80" s="27" t="str">
        <f ca="1"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>通过</v>
      </c>
    </row>
    <row r="81" ht="17" spans="1:44">
      <c r="A81" s="23">
        <v>80</v>
      </c>
      <c r="B81" s="23" t="s">
        <v>57</v>
      </c>
      <c r="C81" s="7">
        <v>930133</v>
      </c>
      <c r="D81" s="4">
        <v>0.02</v>
      </c>
      <c r="E81" s="7">
        <v>1.94</v>
      </c>
      <c r="F81" s="6">
        <f t="shared" si="11"/>
        <v>103300</v>
      </c>
      <c r="G81" s="6" t="str">
        <f ca="1"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1" s="23">
        <v>103300</v>
      </c>
      <c r="I81" s="24">
        <v>42242</v>
      </c>
      <c r="J81" s="7">
        <v>2.2</v>
      </c>
      <c r="K81" s="7">
        <v>2.09</v>
      </c>
      <c r="L81" s="6">
        <f t="shared" si="12"/>
        <v>153300</v>
      </c>
      <c r="M81" s="24">
        <v>42261</v>
      </c>
      <c r="N81" s="7">
        <v>1.76</v>
      </c>
      <c r="O81" s="7"/>
      <c r="P81" s="7"/>
      <c r="Q81" s="23"/>
      <c r="R81" s="23"/>
      <c r="S81" s="23"/>
      <c r="T81" s="23"/>
      <c r="U81" s="5">
        <f t="shared" si="13"/>
        <v>0.0559107331826351</v>
      </c>
      <c r="V81" s="5">
        <f t="shared" si="14"/>
        <v>0.155271413453892</v>
      </c>
      <c r="W81" s="25">
        <f t="shared" si="15"/>
        <v>0.360083881114651</v>
      </c>
      <c r="X81" s="3">
        <f t="shared" si="16"/>
        <v>994.999999999954</v>
      </c>
      <c r="Y81" s="5">
        <f t="shared" si="17"/>
        <v>0.00311519652350315</v>
      </c>
      <c r="Z81" s="5">
        <f>IF(OR(AE81="",多次统计数据!$B$8=""),"",AE81-多次统计数据!$B$8)</f>
        <v>-0.0971402265334658</v>
      </c>
      <c r="AA81" s="8">
        <f t="shared" si="18"/>
        <v>19</v>
      </c>
      <c r="AB81" s="5">
        <f>IF(OR(A81="",多次统计数据!$B$8="",多次统计数据!$B$6&lt;=0,多次统计数据!$B$6&gt;=1),"",1-POWER(1+多次统计数据!$B$8,-多次统计数据!$B$6/(1-多次统计数据!$B$6)))</f>
        <v>0.0965082919530571</v>
      </c>
      <c r="AC81" s="6" t="str">
        <f>IF(OR(AB81="",多次统计数据!$B$9=""),"",IF(多次统计数据!$B$9&lt;AB81,"低于上限","达到或超过上限"))</f>
        <v>低于上限</v>
      </c>
      <c r="AD81" s="23"/>
      <c r="AE81" s="5">
        <f t="shared" si="19"/>
        <v>0.00106973948886875</v>
      </c>
      <c r="AG81" s="23" t="s">
        <v>48</v>
      </c>
      <c r="AH81" s="23" t="s">
        <v>49</v>
      </c>
      <c r="AI81" s="23" t="s">
        <v>50</v>
      </c>
      <c r="AJ81" s="6" t="str">
        <f t="shared" si="20"/>
        <v>匹配</v>
      </c>
      <c r="AK81" s="26">
        <f>IF(A81="","",COUNTIFS(加仓管理!$A$2:$A$1001,A81,加仓管理!$G$2:$G$1001,"&gt;0"))</f>
        <v>2</v>
      </c>
      <c r="AL81" s="26">
        <f>IF(A81="","",SUMIFS(加仓管理!$G$2:$G$1001,加仓管理!$A$2:$A$1001,A81))</f>
        <v>50000</v>
      </c>
      <c r="AM81" s="27">
        <f>IF(AK81=0,"",IFERROR(LOOKUP(2,1/((加仓管理!$A$2:$A$1001=A81)*(加仓管理!$G$2:$G$1001&gt;0)),加仓管理!$D$2:$D$1001),""))</f>
        <v>2.46</v>
      </c>
      <c r="AN81" s="27">
        <f>IF(AK81=0,"",IFERROR(LOOKUP(2,1/((加仓管理!$A$2:$A$1001=A81)*(加仓管理!$G$2:$G$1001&gt;0)),加仓管理!$E$2:$E$1001),""))</f>
        <v>2.2</v>
      </c>
      <c r="AO81" s="27">
        <f>IF(OR(A81="",H81="",H81&lt;=0),"",(E81*H81+SUMIFS(加仓管理!$H$2:$H$1001,加仓管理!$A$2:$A$1001,A81))/AP81)</f>
        <v>2.08350945857795</v>
      </c>
      <c r="AP81" s="26">
        <f t="shared" si="21"/>
        <v>153300</v>
      </c>
      <c r="AQ81" s="27">
        <f>IF(A81="","",IF(M81&lt;&gt;"",0,IF(OR(H81="",N81=""),"",MAX((E81*H81+SUMIFS(加仓管理!$H$2:$H$1001,加仓管理!$A$2:$A$1001,A81))-MAX(N81,AN81)*AP81,0))))</f>
        <v>0</v>
      </c>
      <c r="AR81" s="27" t="str">
        <f ca="1"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>通过</v>
      </c>
    </row>
    <row r="82" ht="17" spans="1:44">
      <c r="A82" s="23">
        <v>81</v>
      </c>
      <c r="B82" s="23" t="s">
        <v>57</v>
      </c>
      <c r="C82" s="7">
        <v>931128</v>
      </c>
      <c r="D82" s="4">
        <v>0.02</v>
      </c>
      <c r="E82" s="7">
        <v>2.77</v>
      </c>
      <c r="F82" s="6">
        <f t="shared" si="11"/>
        <v>68900</v>
      </c>
      <c r="G82" s="6" t="str">
        <f ca="1"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2" s="23">
        <v>68900</v>
      </c>
      <c r="I82" s="24">
        <v>42289</v>
      </c>
      <c r="J82" s="7">
        <v>3</v>
      </c>
      <c r="K82" s="7">
        <v>2.77</v>
      </c>
      <c r="L82" s="6">
        <f t="shared" si="12"/>
        <v>298900</v>
      </c>
      <c r="M82" s="24">
        <v>42662</v>
      </c>
      <c r="N82" s="7">
        <v>2.5</v>
      </c>
      <c r="O82" s="7"/>
      <c r="P82" s="7"/>
      <c r="Q82" s="23"/>
      <c r="R82" s="23"/>
      <c r="S82" s="23"/>
      <c r="T82" s="23"/>
      <c r="U82" s="5">
        <f t="shared" si="13"/>
        <v>0.0274384619703398</v>
      </c>
      <c r="V82" s="5">
        <f t="shared" si="14"/>
        <v>0.143801281691384</v>
      </c>
      <c r="W82" s="25">
        <f t="shared" si="15"/>
        <v>0.190808187852083</v>
      </c>
      <c r="X82" s="3">
        <f t="shared" si="16"/>
        <v>-44800.0000000001</v>
      </c>
      <c r="Y82" s="5">
        <f t="shared" si="17"/>
        <v>-0.0513318201140529</v>
      </c>
      <c r="Z82" s="5">
        <f>IF(OR(AE82="",多次统计数据!$B$8=""),"",AE82-多次统计数据!$B$8)</f>
        <v>-0.146323651788416</v>
      </c>
      <c r="AA82" s="8">
        <f t="shared" si="18"/>
        <v>373</v>
      </c>
      <c r="AB82" s="5">
        <f>IF(OR(A82="",多次统计数据!$B$8="",多次统计数据!$B$6&lt;=0,多次统计数据!$B$6&gt;=1),"",1-POWER(1+多次统计数据!$B$8,-多次统计数据!$B$6/(1-多次统计数据!$B$6)))</f>
        <v>0.0965082919530571</v>
      </c>
      <c r="AC82" s="6" t="str">
        <f>IF(OR(AB82="",多次统计数据!$B$9=""),"",IF(多次统计数据!$B$9&lt;AB82,"低于上限","达到或超过上限"))</f>
        <v>低于上限</v>
      </c>
      <c r="AD82" s="23"/>
      <c r="AE82" s="5">
        <f t="shared" si="19"/>
        <v>-0.0481136857660816</v>
      </c>
      <c r="AG82" s="23" t="s">
        <v>45</v>
      </c>
      <c r="AH82" s="23" t="s">
        <v>46</v>
      </c>
      <c r="AI82" s="23" t="s">
        <v>51</v>
      </c>
      <c r="AJ82" s="6" t="str">
        <f t="shared" si="20"/>
        <v>匹配</v>
      </c>
      <c r="AK82" s="26">
        <f>IF(A82="","",COUNTIFS(加仓管理!$A$2:$A$1001,A82,加仓管理!$G$2:$G$1001,"&gt;0"))</f>
        <v>4</v>
      </c>
      <c r="AL82" s="26">
        <f>IF(A82="","",SUMIFS(加仓管理!$G$2:$G$1001,加仓管理!$A$2:$A$1001,A82))</f>
        <v>230000</v>
      </c>
      <c r="AM82" s="27">
        <f>IF(AK82=0,"",IFERROR(LOOKUP(2,1/((加仓管理!$A$2:$A$1001=A82)*(加仓管理!$G$2:$G$1001&gt;0)),加仓管理!$D$2:$D$1001),""))</f>
        <v>2.98</v>
      </c>
      <c r="AN82" s="27">
        <f>IF(AK82=0,"",IFERROR(LOOKUP(2,1/((加仓管理!$A$2:$A$1001=A82)*(加仓管理!$G$2:$G$1001&gt;0)),加仓管理!$E$2:$E$1001),""))</f>
        <v>2.8</v>
      </c>
      <c r="AO82" s="27">
        <f>IF(OR(A82="",H82="",H82&lt;=0),"",(E82*H82+SUMIFS(加仓管理!$H$2:$H$1001,加仓管理!$A$2:$A$1001,A82))/AP82)</f>
        <v>2.91988290398126</v>
      </c>
      <c r="AP82" s="26">
        <f t="shared" si="21"/>
        <v>298900</v>
      </c>
      <c r="AQ82" s="27">
        <f>IF(A82="","",IF(M82&lt;&gt;"",0,IF(OR(H82="",N82=""),"",MAX((E82*H82+SUMIFS(加仓管理!$H$2:$H$1001,加仓管理!$A$2:$A$1001,A82))-MAX(N82,AN82)*AP82,0))))</f>
        <v>0</v>
      </c>
      <c r="AR82" s="27" t="str">
        <f ca="1"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>违规：请检查加仓管理表</v>
      </c>
    </row>
    <row r="83" ht="17" spans="1:44">
      <c r="A83" s="23">
        <v>81</v>
      </c>
      <c r="B83" s="23" t="s">
        <v>57</v>
      </c>
      <c r="C83" s="7">
        <v>931128</v>
      </c>
      <c r="D83" s="4">
        <v>0.02</v>
      </c>
      <c r="E83" s="7">
        <v>2.92</v>
      </c>
      <c r="F83" s="6">
        <f t="shared" si="11"/>
        <v>58100</v>
      </c>
      <c r="G83" s="6" t="str">
        <f ca="1"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3" s="23">
        <v>58100</v>
      </c>
      <c r="I83" s="24">
        <v>42298</v>
      </c>
      <c r="J83" s="7">
        <v>3.3</v>
      </c>
      <c r="K83" s="7">
        <v>2.37</v>
      </c>
      <c r="L83" s="6">
        <f t="shared" si="12"/>
        <v>288100</v>
      </c>
      <c r="M83" s="24">
        <v>42436</v>
      </c>
      <c r="N83" s="7">
        <v>2.6</v>
      </c>
      <c r="O83" s="7"/>
      <c r="P83" s="7"/>
      <c r="Q83" s="23"/>
      <c r="R83" s="23"/>
      <c r="S83" s="23"/>
      <c r="T83" s="23"/>
      <c r="U83" s="5">
        <f t="shared" si="13"/>
        <v>0.116467344331291</v>
      </c>
      <c r="V83" s="5">
        <f t="shared" si="14"/>
        <v>0.120359062042013</v>
      </c>
      <c r="W83" s="25">
        <f t="shared" si="15"/>
        <v>0.967665769035631</v>
      </c>
      <c r="X83" s="3">
        <f t="shared" si="16"/>
        <v>-168755</v>
      </c>
      <c r="Y83" s="5">
        <f t="shared" si="17"/>
        <v>-0.198173452707527</v>
      </c>
      <c r="Z83" s="5">
        <f>IF(OR(AE83="",多次统计数据!$B$8=""),"",AE83-多次统计数据!$B$8)</f>
        <v>-0.279447132126243</v>
      </c>
      <c r="AA83" s="8">
        <f t="shared" si="18"/>
        <v>138</v>
      </c>
      <c r="AB83" s="5">
        <f>IF(OR(A83="",多次统计数据!$B$8="",多次统计数据!$B$6&lt;=0,多次统计数据!$B$6&gt;=1),"",1-POWER(1+多次统计数据!$B$8,-多次统计数据!$B$6/(1-多次统计数据!$B$6)))</f>
        <v>0.0965082919530571</v>
      </c>
      <c r="AC83" s="6" t="str">
        <f>IF(OR(AB83="",多次统计数据!$B$9=""),"",IF(多次统计数据!$B$9&lt;AB83,"低于上限","达到或超过上限"))</f>
        <v>低于上限</v>
      </c>
      <c r="AD83" s="23"/>
      <c r="AE83" s="5">
        <f t="shared" si="19"/>
        <v>-0.181237166103908</v>
      </c>
      <c r="AG83" s="23" t="s">
        <v>45</v>
      </c>
      <c r="AH83" s="23" t="s">
        <v>46</v>
      </c>
      <c r="AI83" s="23" t="s">
        <v>51</v>
      </c>
      <c r="AJ83" s="6" t="str">
        <f t="shared" si="20"/>
        <v>匹配</v>
      </c>
      <c r="AK83" s="26">
        <f>IF(A83="","",COUNTIFS(加仓管理!$A$2:$A$1001,A83,加仓管理!$G$2:$G$1001,"&gt;0"))</f>
        <v>4</v>
      </c>
      <c r="AL83" s="26">
        <f>IF(A83="","",SUMIFS(加仓管理!$G$2:$G$1001,加仓管理!$A$2:$A$1001,A83))</f>
        <v>230000</v>
      </c>
      <c r="AM83" s="27">
        <f>IF(AK83=0,"",IFERROR(LOOKUP(2,1/((加仓管理!$A$2:$A$1001=A83)*(加仓管理!$G$2:$G$1001&gt;0)),加仓管理!$D$2:$D$1001),""))</f>
        <v>2.98</v>
      </c>
      <c r="AN83" s="27">
        <f>IF(AK83=0,"",IFERROR(LOOKUP(2,1/((加仓管理!$A$2:$A$1001=A83)*(加仓管理!$G$2:$G$1001&gt;0)),加仓管理!$E$2:$E$1001),""))</f>
        <v>2.8</v>
      </c>
      <c r="AO83" s="27">
        <f>IF(OR(A83="",H83="",H83&lt;=0),"",(E83*H83+SUMIFS(加仓管理!$H$2:$H$1001,加仓管理!$A$2:$A$1001,A83))/AP83)</f>
        <v>2.95575147518223</v>
      </c>
      <c r="AP83" s="26">
        <f t="shared" si="21"/>
        <v>288100</v>
      </c>
      <c r="AQ83" s="27">
        <f>IF(A83="","",IF(M83&lt;&gt;"",0,IF(OR(H83="",N83=""),"",MAX((E83*H83+SUMIFS(加仓管理!$H$2:$H$1001,加仓管理!$A$2:$A$1001,A83))-MAX(N83,AN83)*AP83,0))))</f>
        <v>0</v>
      </c>
      <c r="AR83" s="27" t="str">
        <f ca="1"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>违规：请检查加仓管理表</v>
      </c>
    </row>
    <row r="84" ht="17" spans="1:44">
      <c r="A84" s="23">
        <v>82</v>
      </c>
      <c r="B84" s="23" t="s">
        <v>57</v>
      </c>
      <c r="C84" s="7">
        <v>717573</v>
      </c>
      <c r="D84" s="4">
        <v>0.02</v>
      </c>
      <c r="E84" s="7">
        <v>2.97</v>
      </c>
      <c r="F84" s="6">
        <f t="shared" si="11"/>
        <v>84400</v>
      </c>
      <c r="G84" s="6" t="str">
        <f ca="1"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4" s="23">
        <v>84400</v>
      </c>
      <c r="I84" s="24">
        <v>42472</v>
      </c>
      <c r="J84" s="7">
        <v>3.3</v>
      </c>
      <c r="K84" s="7">
        <v>2.77</v>
      </c>
      <c r="L84" s="6">
        <f t="shared" si="12"/>
        <v>84400</v>
      </c>
      <c r="M84" s="24">
        <v>42481</v>
      </c>
      <c r="N84" s="7">
        <v>2.8</v>
      </c>
      <c r="O84" s="7"/>
      <c r="P84" s="7"/>
      <c r="Q84" s="23"/>
      <c r="R84" s="23"/>
      <c r="S84" s="23"/>
      <c r="T84" s="23"/>
      <c r="U84" s="5">
        <f t="shared" si="13"/>
        <v>0.111111111111111</v>
      </c>
      <c r="V84" s="5">
        <f t="shared" si="14"/>
        <v>0.0572390572390574</v>
      </c>
      <c r="W84" s="25">
        <f t="shared" si="15"/>
        <v>1.94117647058823</v>
      </c>
      <c r="X84" s="3">
        <f t="shared" si="16"/>
        <v>-16880</v>
      </c>
      <c r="Y84" s="5">
        <f t="shared" si="17"/>
        <v>-0.0673400673400674</v>
      </c>
      <c r="Z84" s="5">
        <f>IF(OR(AE84="",多次统计数据!$B$8=""),"",AE84-多次统计数据!$B$8)</f>
        <v>-0.121733705070487</v>
      </c>
      <c r="AA84" s="8">
        <f t="shared" si="18"/>
        <v>9</v>
      </c>
      <c r="AB84" s="5">
        <f>IF(OR(A84="",多次统计数据!$B$8="",多次统计数据!$B$6&lt;=0,多次统计数据!$B$6&gt;=1),"",1-POWER(1+多次统计数据!$B$8,-多次统计数据!$B$6/(1-多次统计数据!$B$6)))</f>
        <v>0.0965082919530571</v>
      </c>
      <c r="AC84" s="6" t="str">
        <f>IF(OR(AB84="",多次统计数据!$B$9=""),"",IF(多次统计数据!$B$9&lt;AB84,"低于上限","达到或超过上限"))</f>
        <v>低于上限</v>
      </c>
      <c r="AD84" s="23"/>
      <c r="AE84" s="5">
        <f t="shared" si="19"/>
        <v>-0.0235237390481526</v>
      </c>
      <c r="AG84" s="23" t="s">
        <v>45</v>
      </c>
      <c r="AH84" s="23" t="s">
        <v>46</v>
      </c>
      <c r="AI84" s="23" t="s">
        <v>51</v>
      </c>
      <c r="AJ84" s="6" t="str">
        <f t="shared" si="20"/>
        <v>匹配</v>
      </c>
      <c r="AK84" s="26">
        <f>IF(A84="","",COUNTIFS(加仓管理!$A$2:$A$1001,A84,加仓管理!$G$2:$G$1001,"&gt;0"))</f>
        <v>0</v>
      </c>
      <c r="AL84" s="26">
        <f>IF(A84="","",SUMIFS(加仓管理!$G$2:$G$1001,加仓管理!$A$2:$A$1001,A84))</f>
        <v>0</v>
      </c>
      <c r="AM84" s="27" t="str">
        <f>IF(AK84=0,"",IFERROR(LOOKUP(2,1/((加仓管理!$A$2:$A$1001=A84)*(加仓管理!$G$2:$G$1001&gt;0)),加仓管理!$D$2:$D$1001),""))</f>
        <v/>
      </c>
      <c r="AN84" s="27" t="str">
        <f>IF(AK84=0,"",IFERROR(LOOKUP(2,1/((加仓管理!$A$2:$A$1001=A84)*(加仓管理!$G$2:$G$1001&gt;0)),加仓管理!$E$2:$E$1001),""))</f>
        <v/>
      </c>
      <c r="AO84" s="27">
        <f>IF(OR(A84="",H84="",H84&lt;=0),"",(E84*H84+SUMIFS(加仓管理!$H$2:$H$1001,加仓管理!$A$2:$A$1001,A84))/AP84)</f>
        <v>2.97</v>
      </c>
      <c r="AP84" s="26">
        <f t="shared" si="21"/>
        <v>84400</v>
      </c>
      <c r="AQ84" s="27">
        <f>IF(A84="","",IF(M84&lt;&gt;"",0,IF(OR(H84="",N84=""),"",MAX((E84*H84+SUMIFS(加仓管理!$H$2:$H$1001,加仓管理!$A$2:$A$1001,A84))-MAX(N84,AN84)*AP84,0))))</f>
        <v>0</v>
      </c>
      <c r="AR84" s="27" t="str">
        <f ca="1"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>通过</v>
      </c>
    </row>
    <row r="85" ht="17" spans="1:44">
      <c r="A85" s="23">
        <v>83</v>
      </c>
      <c r="B85" s="23" t="s">
        <v>57</v>
      </c>
      <c r="C85" s="7">
        <v>700693</v>
      </c>
      <c r="D85" s="4">
        <v>0.02</v>
      </c>
      <c r="E85" s="7">
        <v>2.78</v>
      </c>
      <c r="F85" s="6">
        <f t="shared" si="11"/>
        <v>50000</v>
      </c>
      <c r="G85" s="6" t="str">
        <f ca="1"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5" s="23">
        <v>50000</v>
      </c>
      <c r="I85" s="24">
        <v>42527</v>
      </c>
      <c r="J85" s="7">
        <v>3</v>
      </c>
      <c r="K85" s="7">
        <v>3.32</v>
      </c>
      <c r="L85" s="6">
        <f t="shared" si="12"/>
        <v>215000</v>
      </c>
      <c r="M85" s="24">
        <v>42601</v>
      </c>
      <c r="N85" s="7">
        <v>2.5</v>
      </c>
      <c r="O85" s="7"/>
      <c r="P85" s="7"/>
      <c r="Q85" s="23"/>
      <c r="R85" s="23"/>
      <c r="S85" s="23"/>
      <c r="T85" s="23"/>
      <c r="U85" s="5">
        <f t="shared" si="13"/>
        <v>-0.0700692041522491</v>
      </c>
      <c r="V85" s="5">
        <f t="shared" si="14"/>
        <v>0.225057670126874</v>
      </c>
      <c r="W85" s="25">
        <f t="shared" si="15"/>
        <v>-0.311338885329917</v>
      </c>
      <c r="X85" s="3">
        <f t="shared" si="16"/>
        <v>20200</v>
      </c>
      <c r="Y85" s="5">
        <f t="shared" si="17"/>
        <v>0.0291234140715109</v>
      </c>
      <c r="Z85" s="5">
        <f>IF(OR(AE85="",多次统计数据!$B$8=""),"",AE85-多次统计数据!$B$8)</f>
        <v>-0.069381363481707</v>
      </c>
      <c r="AA85" s="8">
        <f t="shared" si="18"/>
        <v>74</v>
      </c>
      <c r="AB85" s="5">
        <f>IF(OR(A85="",多次统计数据!$B$8="",多次统计数据!$B$6&lt;=0,多次统计数据!$B$6&gt;=1),"",1-POWER(1+多次统计数据!$B$8,-多次统计数据!$B$6/(1-多次统计数据!$B$6)))</f>
        <v>0.0965082919530571</v>
      </c>
      <c r="AC85" s="6" t="str">
        <f>IF(OR(AB85="",多次统计数据!$B$9=""),"",IF(多次统计数据!$B$9&lt;AB85,"低于上限","达到或超过上限"))</f>
        <v>低于上限</v>
      </c>
      <c r="AD85" s="23"/>
      <c r="AE85" s="5">
        <f t="shared" si="19"/>
        <v>0.0288286025406276</v>
      </c>
      <c r="AG85" s="23" t="s">
        <v>45</v>
      </c>
      <c r="AH85" s="23" t="s">
        <v>46</v>
      </c>
      <c r="AI85" s="23" t="s">
        <v>51</v>
      </c>
      <c r="AJ85" s="6" t="str">
        <f t="shared" si="20"/>
        <v>匹配</v>
      </c>
      <c r="AK85" s="26">
        <f>IF(A85="","",COUNTIFS(加仓管理!$A$2:$A$1001,A85,加仓管理!$G$2:$G$1001,"&gt;0"))</f>
        <v>3</v>
      </c>
      <c r="AL85" s="26">
        <f>IF(A85="","",SUMIFS(加仓管理!$G$2:$G$1001,加仓管理!$A$2:$A$1001,A85))</f>
        <v>165000</v>
      </c>
      <c r="AM85" s="27">
        <f>IF(AK85=0,"",IFERROR(LOOKUP(2,1/((加仓管理!$A$2:$A$1001=A85)*(加仓管理!$G$2:$G$1001&gt;0)),加仓管理!$D$2:$D$1001),""))</f>
        <v>3.44</v>
      </c>
      <c r="AN85" s="27">
        <f>IF(AK85=0,"",IFERROR(LOOKUP(2,1/((加仓管理!$A$2:$A$1001=A85)*(加仓管理!$G$2:$G$1001&gt;0)),加仓管理!$E$2:$E$1001),""))</f>
        <v>3.3</v>
      </c>
      <c r="AO85" s="27">
        <f>IF(OR(A85="",H85="",H85&lt;=0),"",(E85*H85+SUMIFS(加仓管理!$H$2:$H$1001,加仓管理!$A$2:$A$1001,A85))/AP85)</f>
        <v>3.22604651162791</v>
      </c>
      <c r="AP85" s="26">
        <f t="shared" si="21"/>
        <v>215000</v>
      </c>
      <c r="AQ85" s="27">
        <f>IF(A85="","",IF(M85&lt;&gt;"",0,IF(OR(H85="",N85=""),"",MAX((E85*H85+SUMIFS(加仓管理!$H$2:$H$1001,加仓管理!$A$2:$A$1001,A85))-MAX(N85,AN85)*AP85,0))))</f>
        <v>0</v>
      </c>
      <c r="AR85" s="27" t="str">
        <f ca="1"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>违规：请检查加仓管理表</v>
      </c>
    </row>
    <row r="86" ht="17" spans="1:44">
      <c r="A86" s="23">
        <v>84</v>
      </c>
      <c r="B86" s="23" t="s">
        <v>57</v>
      </c>
      <c r="C86" s="7">
        <v>720893</v>
      </c>
      <c r="D86" s="4">
        <v>0.02</v>
      </c>
      <c r="E86" s="7">
        <v>3.16</v>
      </c>
      <c r="F86" s="6">
        <f t="shared" si="11"/>
        <v>40000</v>
      </c>
      <c r="G86" s="6" t="str">
        <f ca="1"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6" s="23">
        <v>40000</v>
      </c>
      <c r="I86" s="24">
        <v>42671</v>
      </c>
      <c r="J86" s="7">
        <v>3.5</v>
      </c>
      <c r="K86" s="7">
        <v>3.08</v>
      </c>
      <c r="L86" s="6">
        <f t="shared" si="12"/>
        <v>40000</v>
      </c>
      <c r="M86" s="24">
        <v>42698</v>
      </c>
      <c r="N86" s="7">
        <v>2.8</v>
      </c>
      <c r="O86" s="7"/>
      <c r="P86" s="7"/>
      <c r="Q86" s="23"/>
      <c r="R86" s="23"/>
      <c r="S86" s="23"/>
      <c r="T86" s="23"/>
      <c r="U86" s="5">
        <f t="shared" si="13"/>
        <v>0.107594936708861</v>
      </c>
      <c r="V86" s="5">
        <f t="shared" si="14"/>
        <v>0.113924050632911</v>
      </c>
      <c r="W86" s="25">
        <f t="shared" si="15"/>
        <v>0.944444444444443</v>
      </c>
      <c r="X86" s="3">
        <f t="shared" si="16"/>
        <v>-3200</v>
      </c>
      <c r="Y86" s="5">
        <f t="shared" si="17"/>
        <v>-0.0253164556962026</v>
      </c>
      <c r="Z86" s="5">
        <f>IF(OR(AE86="",多次统计数据!$B$8=""),"",AE86-多次统计数据!$B$8)</f>
        <v>-0.102648904949471</v>
      </c>
      <c r="AA86" s="8">
        <f t="shared" si="18"/>
        <v>27</v>
      </c>
      <c r="AB86" s="5">
        <f>IF(OR(A86="",多次统计数据!$B$8="",多次统计数据!$B$6&lt;=0,多次统计数据!$B$6&gt;=1),"",1-POWER(1+多次统计数据!$B$8,-多次统计数据!$B$6/(1-多次统计数据!$B$6)))</f>
        <v>0.0965082919530571</v>
      </c>
      <c r="AC86" s="6" t="str">
        <f>IF(OR(AB86="",多次统计数据!$B$9=""),"",IF(多次统计数据!$B$9&lt;AB86,"低于上限","达到或超过上限"))</f>
        <v>低于上限</v>
      </c>
      <c r="AD86" s="23"/>
      <c r="AE86" s="5">
        <f t="shared" si="19"/>
        <v>-0.00443893892713621</v>
      </c>
      <c r="AG86" s="23" t="s">
        <v>48</v>
      </c>
      <c r="AH86" s="23" t="s">
        <v>49</v>
      </c>
      <c r="AI86" s="23" t="s">
        <v>58</v>
      </c>
      <c r="AJ86" s="6" t="str">
        <f t="shared" si="20"/>
        <v>匹配</v>
      </c>
      <c r="AK86" s="26">
        <f>IF(A86="","",COUNTIFS(加仓管理!$A$2:$A$1001,A86,加仓管理!$G$2:$G$1001,"&gt;0"))</f>
        <v>0</v>
      </c>
      <c r="AL86" s="26">
        <f>IF(A86="","",SUMIFS(加仓管理!$G$2:$G$1001,加仓管理!$A$2:$A$1001,A86))</f>
        <v>0</v>
      </c>
      <c r="AM86" s="27" t="str">
        <f>IF(AK86=0,"",IFERROR(LOOKUP(2,1/((加仓管理!$A$2:$A$1001=A86)*(加仓管理!$G$2:$G$1001&gt;0)),加仓管理!$D$2:$D$1001),""))</f>
        <v/>
      </c>
      <c r="AN86" s="27" t="str">
        <f>IF(AK86=0,"",IFERROR(LOOKUP(2,1/((加仓管理!$A$2:$A$1001=A86)*(加仓管理!$G$2:$G$1001&gt;0)),加仓管理!$E$2:$E$1001),""))</f>
        <v/>
      </c>
      <c r="AO86" s="27">
        <f>IF(OR(A86="",H86="",H86&lt;=0),"",(E86*H86+SUMIFS(加仓管理!$H$2:$H$1001,加仓管理!$A$2:$A$1001,A86))/AP86)</f>
        <v>3.16</v>
      </c>
      <c r="AP86" s="26">
        <f t="shared" si="21"/>
        <v>40000</v>
      </c>
      <c r="AQ86" s="27">
        <f>IF(A86="","",IF(M86&lt;&gt;"",0,IF(OR(H86="",N86=""),"",MAX((E86*H86+SUMIFS(加仓管理!$H$2:$H$1001,加仓管理!$A$2:$A$1001,A86))-MAX(N86,AN86)*AP86,0))))</f>
        <v>0</v>
      </c>
      <c r="AR86" s="27" t="str">
        <f ca="1"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>通过</v>
      </c>
    </row>
    <row r="87" ht="17" spans="1:44">
      <c r="A87" s="23">
        <v>85</v>
      </c>
      <c r="B87" s="23" t="s">
        <v>57</v>
      </c>
      <c r="C87" s="7">
        <v>717693</v>
      </c>
      <c r="D87" s="4">
        <v>0.02</v>
      </c>
      <c r="E87" s="7">
        <v>2.78</v>
      </c>
      <c r="F87" s="6">
        <f t="shared" si="11"/>
        <v>51200</v>
      </c>
      <c r="G87" s="6" t="str">
        <f ca="1"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7" s="23">
        <v>51200</v>
      </c>
      <c r="I87" s="24">
        <v>42716</v>
      </c>
      <c r="J87" s="7">
        <v>3</v>
      </c>
      <c r="K87" s="7">
        <v>4.11</v>
      </c>
      <c r="L87" s="6">
        <f t="shared" si="12"/>
        <v>226200</v>
      </c>
      <c r="M87" s="24">
        <v>43059</v>
      </c>
      <c r="N87" s="7">
        <v>2.5</v>
      </c>
      <c r="O87" s="7"/>
      <c r="P87" s="7"/>
      <c r="Q87" s="23"/>
      <c r="R87" s="23"/>
      <c r="S87" s="23"/>
      <c r="T87" s="23"/>
      <c r="U87" s="5">
        <f t="shared" si="13"/>
        <v>-0.0148598505304601</v>
      </c>
      <c r="V87" s="5">
        <f t="shared" si="14"/>
        <v>0.17904987544205</v>
      </c>
      <c r="W87" s="25">
        <f t="shared" si="15"/>
        <v>-0.0829928001556726</v>
      </c>
      <c r="X87" s="3">
        <f t="shared" si="16"/>
        <v>240846</v>
      </c>
      <c r="Y87" s="5">
        <f t="shared" si="17"/>
        <v>0.34964200477327</v>
      </c>
      <c r="Z87" s="5">
        <f>IF(OR(AE87="",多次统计数据!$B$8=""),"",AE87-多次统计数据!$B$8)</f>
        <v>0.237373633093165</v>
      </c>
      <c r="AA87" s="8">
        <f t="shared" si="18"/>
        <v>343</v>
      </c>
      <c r="AB87" s="5">
        <f>IF(OR(A87="",多次统计数据!$B$8="",多次统计数据!$B$6&lt;=0,多次统计数据!$B$6&gt;=1),"",1-POWER(1+多次统计数据!$B$8,-多次统计数据!$B$6/(1-多次统计数据!$B$6)))</f>
        <v>0.0965082919530571</v>
      </c>
      <c r="AC87" s="6" t="str">
        <f>IF(OR(AB87="",多次统计数据!$B$9=""),"",IF(多次统计数据!$B$9&lt;AB87,"低于上限","达到或超过上限"))</f>
        <v>低于上限</v>
      </c>
      <c r="AD87" s="23"/>
      <c r="AE87" s="5">
        <f t="shared" si="19"/>
        <v>0.335583599115499</v>
      </c>
      <c r="AG87" s="23" t="s">
        <v>48</v>
      </c>
      <c r="AH87" s="23" t="s">
        <v>49</v>
      </c>
      <c r="AI87" s="23" t="s">
        <v>58</v>
      </c>
      <c r="AJ87" s="6" t="str">
        <f t="shared" si="20"/>
        <v>匹配</v>
      </c>
      <c r="AK87" s="26">
        <f>IF(A87="","",COUNTIFS(加仓管理!$A$2:$A$1001,A87,加仓管理!$G$2:$G$1001,"&gt;0"))</f>
        <v>5</v>
      </c>
      <c r="AL87" s="26">
        <f>IF(A87="","",SUMIFS(加仓管理!$G$2:$G$1001,加仓管理!$A$2:$A$1001,A87))</f>
        <v>175000</v>
      </c>
      <c r="AM87" s="27">
        <f>IF(AK87=0,"",IFERROR(LOOKUP(2,1/((加仓管理!$A$2:$A$1001=A87)*(加仓管理!$G$2:$G$1001&gt;0)),加仓管理!$D$2:$D$1001),""))</f>
        <v>3.35</v>
      </c>
      <c r="AN87" s="27">
        <f>IF(AK87=0,"",IFERROR(LOOKUP(2,1/((加仓管理!$A$2:$A$1001=A87)*(加仓管理!$G$2:$G$1001&gt;0)),加仓管理!$E$2:$E$1001),""))</f>
        <v>3</v>
      </c>
      <c r="AO87" s="27">
        <f>IF(OR(A87="",H87="",H87&lt;=0),"",(E87*H87+SUMIFS(加仓管理!$H$2:$H$1001,加仓管理!$A$2:$A$1001,A87))/AP87)</f>
        <v>3.04525198938992</v>
      </c>
      <c r="AP87" s="26">
        <f t="shared" si="21"/>
        <v>226200</v>
      </c>
      <c r="AQ87" s="27">
        <f>IF(A87="","",IF(M87&lt;&gt;"",0,IF(OR(H87="",N87=""),"",MAX((E87*H87+SUMIFS(加仓管理!$H$2:$H$1001,加仓管理!$A$2:$A$1001,A87))-MAX(N87,AN87)*AP87,0))))</f>
        <v>0</v>
      </c>
      <c r="AR87" s="27" t="str">
        <f ca="1"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>违规：请检查加仓管理表</v>
      </c>
    </row>
    <row r="88" ht="17" spans="1:44">
      <c r="A88" s="23">
        <v>86</v>
      </c>
      <c r="B88" s="23" t="s">
        <v>57</v>
      </c>
      <c r="C88" s="7">
        <v>958539</v>
      </c>
      <c r="D88" s="4">
        <v>0.02</v>
      </c>
      <c r="E88" s="7">
        <v>3.86</v>
      </c>
      <c r="F88" s="6">
        <f t="shared" si="11"/>
        <v>53200</v>
      </c>
      <c r="G88" s="6" t="str">
        <f ca="1"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8" s="23">
        <v>53200</v>
      </c>
      <c r="I88" s="24">
        <v>43062</v>
      </c>
      <c r="J88" s="7">
        <v>4</v>
      </c>
      <c r="K88" s="7">
        <v>4.81</v>
      </c>
      <c r="L88" s="6">
        <f t="shared" si="12"/>
        <v>198200</v>
      </c>
      <c r="M88" s="24">
        <v>43137</v>
      </c>
      <c r="N88" s="7">
        <v>3.5</v>
      </c>
      <c r="O88" s="7"/>
      <c r="P88" s="7"/>
      <c r="Q88" s="23"/>
      <c r="R88" s="23"/>
      <c r="S88" s="23"/>
      <c r="T88" s="23"/>
      <c r="U88" s="5">
        <f t="shared" si="13"/>
        <v>-0.146840684765812</v>
      </c>
      <c r="V88" s="5">
        <f t="shared" si="14"/>
        <v>0.253485599170085</v>
      </c>
      <c r="W88" s="25">
        <f t="shared" si="15"/>
        <v>-0.579286102431735</v>
      </c>
      <c r="X88" s="3">
        <f t="shared" si="16"/>
        <v>24089.9999999999</v>
      </c>
      <c r="Y88" s="5">
        <f t="shared" si="17"/>
        <v>0.0259240765691114</v>
      </c>
      <c r="Z88" s="5">
        <f>IF(OR(AE88="",多次统计数据!$B$8=""),"",AE88-多次统计数据!$B$8)</f>
        <v>-0.0730779682632451</v>
      </c>
      <c r="AA88" s="8">
        <f t="shared" si="18"/>
        <v>75</v>
      </c>
      <c r="AB88" s="5">
        <f>IF(OR(A88="",多次统计数据!$B$8="",多次统计数据!$B$6&lt;=0,多次统计数据!$B$6&gt;=1),"",1-POWER(1+多次统计数据!$B$8,-多次统计数据!$B$6/(1-多次统计数据!$B$6)))</f>
        <v>0.0965082919530571</v>
      </c>
      <c r="AC88" s="6" t="str">
        <f>IF(OR(AB88="",多次统计数据!$B$9=""),"",IF(多次统计数据!$B$9&lt;AB88,"低于上限","达到或超过上限"))</f>
        <v>低于上限</v>
      </c>
      <c r="AD88" s="23"/>
      <c r="AE88" s="5">
        <f t="shared" si="19"/>
        <v>0.0251319977590895</v>
      </c>
      <c r="AG88" s="23" t="s">
        <v>48</v>
      </c>
      <c r="AH88" s="23" t="s">
        <v>49</v>
      </c>
      <c r="AI88" s="23" t="s">
        <v>58</v>
      </c>
      <c r="AJ88" s="6" t="str">
        <f t="shared" si="20"/>
        <v>匹配</v>
      </c>
      <c r="AK88" s="26">
        <f>IF(A88="","",COUNTIFS(加仓管理!$A$2:$A$1001,A88,加仓管理!$G$2:$G$1001,"&gt;0"))</f>
        <v>5</v>
      </c>
      <c r="AL88" s="26">
        <f>IF(A88="","",SUMIFS(加仓管理!$G$2:$G$1001,加仓管理!$A$2:$A$1001,A88))</f>
        <v>145000</v>
      </c>
      <c r="AM88" s="27">
        <f>IF(AK88=0,"",IFERROR(LOOKUP(2,1/((加仓管理!$A$2:$A$1001=A88)*(加仓管理!$G$2:$G$1001&gt;0)),加仓管理!$D$2:$D$1001),""))</f>
        <v>5.52</v>
      </c>
      <c r="AN88" s="27">
        <f>IF(AK88=0,"",IFERROR(LOOKUP(2,1/((加仓管理!$A$2:$A$1001=A88)*(加仓管理!$G$2:$G$1001&gt;0)),加仓管理!$E$2:$E$1001),""))</f>
        <v>5</v>
      </c>
      <c r="AO88" s="27">
        <f>IF(OR(A88="",H88="",H88&lt;=0),"",(E88*H88+SUMIFS(加仓管理!$H$2:$H$1001,加仓管理!$A$2:$A$1001,A88))/AP88)</f>
        <v>4.6884561049445</v>
      </c>
      <c r="AP88" s="26">
        <f t="shared" si="21"/>
        <v>198200</v>
      </c>
      <c r="AQ88" s="27">
        <f>IF(A88="","",IF(M88&lt;&gt;"",0,IF(OR(H88="",N88=""),"",MAX((E88*H88+SUMIFS(加仓管理!$H$2:$H$1001,加仓管理!$A$2:$A$1001,A88))-MAX(N88,AN88)*AP88,0))))</f>
        <v>0</v>
      </c>
      <c r="AR88" s="27" t="str">
        <f ca="1"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>违规：请检查加仓管理表</v>
      </c>
    </row>
    <row r="89" ht="17" spans="1:44">
      <c r="A89" s="23">
        <v>87</v>
      </c>
      <c r="B89" s="23" t="s">
        <v>57</v>
      </c>
      <c r="C89" s="7">
        <v>982629</v>
      </c>
      <c r="D89" s="4">
        <v>0.02</v>
      </c>
      <c r="E89" s="7">
        <v>5.46</v>
      </c>
      <c r="F89" s="6">
        <f t="shared" si="11"/>
        <v>42700</v>
      </c>
      <c r="G89" s="6" t="str">
        <f ca="1"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89" s="23">
        <v>42700</v>
      </c>
      <c r="I89" s="24">
        <v>43145</v>
      </c>
      <c r="J89" s="7">
        <v>6</v>
      </c>
      <c r="K89" s="7">
        <v>6.34</v>
      </c>
      <c r="L89" s="6">
        <f t="shared" si="12"/>
        <v>142700</v>
      </c>
      <c r="M89" s="24">
        <v>43188</v>
      </c>
      <c r="N89" s="7">
        <v>5</v>
      </c>
      <c r="O89" s="7"/>
      <c r="P89" s="7"/>
      <c r="Q89" s="23"/>
      <c r="R89" s="23"/>
      <c r="S89" s="23"/>
      <c r="T89" s="23"/>
      <c r="U89" s="5">
        <f t="shared" si="13"/>
        <v>-0.000224196396043004</v>
      </c>
      <c r="V89" s="5">
        <f t="shared" si="14"/>
        <v>0.166853496996703</v>
      </c>
      <c r="W89" s="25">
        <f t="shared" si="15"/>
        <v>-0.00134367214399728</v>
      </c>
      <c r="X89" s="3">
        <f t="shared" si="16"/>
        <v>48325.9999999999</v>
      </c>
      <c r="Y89" s="5">
        <f t="shared" si="17"/>
        <v>0.0564297658081812</v>
      </c>
      <c r="Z89" s="5">
        <f>IF(OR(AE89="",多次统计数据!$B$8=""),"",AE89-多次统计数据!$B$8)</f>
        <v>-0.0490296548367295</v>
      </c>
      <c r="AA89" s="8">
        <f t="shared" si="18"/>
        <v>43</v>
      </c>
      <c r="AB89" s="5">
        <f>IF(OR(A89="",多次统计数据!$B$8="",多次统计数据!$B$6&lt;=0,多次统计数据!$B$6&gt;=1),"",1-POWER(1+多次统计数据!$B$8,-多次统计数据!$B$6/(1-多次统计数据!$B$6)))</f>
        <v>0.0965082919530571</v>
      </c>
      <c r="AC89" s="6" t="str">
        <f>IF(OR(AB89="",多次统计数据!$B$9=""),"",IF(多次统计数据!$B$9&lt;AB89,"低于上限","达到或超过上限"))</f>
        <v>低于上限</v>
      </c>
      <c r="AD89" s="23"/>
      <c r="AE89" s="5">
        <f t="shared" si="19"/>
        <v>0.0491803111856051</v>
      </c>
      <c r="AG89" s="23" t="s">
        <v>52</v>
      </c>
      <c r="AH89" s="23" t="s">
        <v>49</v>
      </c>
      <c r="AI89" s="23" t="s">
        <v>53</v>
      </c>
      <c r="AJ89" s="6" t="str">
        <f t="shared" si="20"/>
        <v>匹配</v>
      </c>
      <c r="AK89" s="26">
        <f>IF(A89="","",COUNTIFS(加仓管理!$A$2:$A$1001,A89,加仓管理!$G$2:$G$1001,"&gt;0"))</f>
        <v>3</v>
      </c>
      <c r="AL89" s="26">
        <f>IF(A89="","",SUMIFS(加仓管理!$G$2:$G$1001,加仓管理!$A$2:$A$1001,A89))</f>
        <v>100000</v>
      </c>
      <c r="AM89" s="27">
        <f>IF(AK89=0,"",IFERROR(LOOKUP(2,1/((加仓管理!$A$2:$A$1001=A89)*(加仓管理!$G$2:$G$1001&gt;0)),加仓管理!$D$2:$D$1001),""))</f>
        <v>6.92</v>
      </c>
      <c r="AN89" s="27">
        <f>IF(AK89=0,"",IFERROR(LOOKUP(2,1/((加仓管理!$A$2:$A$1001=A89)*(加仓管理!$G$2:$G$1001&gt;0)),加仓管理!$E$2:$E$1001),""))</f>
        <v>6.5</v>
      </c>
      <c r="AO89" s="27">
        <f>IF(OR(A89="",H89="",H89&lt;=0),"",(E89*H89+SUMIFS(加仓管理!$H$2:$H$1001,加仓管理!$A$2:$A$1001,A89))/AP89)</f>
        <v>6.00134548002803</v>
      </c>
      <c r="AP89" s="26">
        <f t="shared" si="21"/>
        <v>142700</v>
      </c>
      <c r="AQ89" s="27">
        <f>IF(A89="","",IF(M89&lt;&gt;"",0,IF(OR(H89="",N89=""),"",MAX((E89*H89+SUMIFS(加仓管理!$H$2:$H$1001,加仓管理!$A$2:$A$1001,A89))-MAX(N89,AN89)*AP89,0))))</f>
        <v>0</v>
      </c>
      <c r="AR89" s="27" t="str">
        <f ca="1"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>违规：请检查加仓管理表</v>
      </c>
    </row>
    <row r="90" ht="17" spans="1:44">
      <c r="A90" s="23">
        <v>88</v>
      </c>
      <c r="B90" s="23" t="s">
        <v>57</v>
      </c>
      <c r="C90" s="7">
        <v>1030955</v>
      </c>
      <c r="D90" s="4">
        <v>0.02</v>
      </c>
      <c r="E90" s="7">
        <v>7.34</v>
      </c>
      <c r="F90" s="6">
        <f t="shared" si="11"/>
        <v>60600</v>
      </c>
      <c r="G90" s="6" t="str">
        <f ca="1"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0" s="23">
        <v>60600</v>
      </c>
      <c r="I90" s="24">
        <v>43215</v>
      </c>
      <c r="J90" s="7">
        <v>8</v>
      </c>
      <c r="K90" s="7">
        <v>7.6</v>
      </c>
      <c r="L90" s="6">
        <f t="shared" si="12"/>
        <v>80600</v>
      </c>
      <c r="M90" s="24">
        <v>43249</v>
      </c>
      <c r="N90" s="7">
        <v>7</v>
      </c>
      <c r="O90" s="7"/>
      <c r="P90" s="7"/>
      <c r="Q90" s="23"/>
      <c r="R90" s="23"/>
      <c r="S90" s="23"/>
      <c r="T90" s="23"/>
      <c r="U90" s="5">
        <f t="shared" si="13"/>
        <v>0.0696677527023709</v>
      </c>
      <c r="V90" s="5">
        <f t="shared" si="14"/>
        <v>0.0640407163854255</v>
      </c>
      <c r="W90" s="25">
        <f t="shared" si="15"/>
        <v>1.08786654232722</v>
      </c>
      <c r="X90" s="3">
        <f t="shared" si="16"/>
        <v>9755.99999999995</v>
      </c>
      <c r="Y90" s="5">
        <f t="shared" si="17"/>
        <v>0.0161843650672523</v>
      </c>
      <c r="Z90" s="5">
        <f>IF(OR(AE90="",多次统计数据!$B$8=""),"",AE90-多次统计数据!$B$8)</f>
        <v>-0.0887468953742462</v>
      </c>
      <c r="AA90" s="8">
        <f t="shared" si="18"/>
        <v>34</v>
      </c>
      <c r="AB90" s="5">
        <f>IF(OR(A90="",多次统计数据!$B$8="",多次统计数据!$B$6&lt;=0,多次统计数据!$B$6&gt;=1),"",1-POWER(1+多次统计数据!$B$8,-多次统计数据!$B$6/(1-多次统计数据!$B$6)))</f>
        <v>0.0965082919530571</v>
      </c>
      <c r="AC90" s="6" t="str">
        <f>IF(OR(AB90="",多次统计数据!$B$9=""),"",IF(多次统计数据!$B$9&lt;AB90,"低于上限","达到或超过上限"))</f>
        <v>低于上限</v>
      </c>
      <c r="AD90" s="23"/>
      <c r="AE90" s="5">
        <f t="shared" si="19"/>
        <v>0.00946307064808837</v>
      </c>
      <c r="AG90" s="23" t="s">
        <v>52</v>
      </c>
      <c r="AH90" s="23" t="s">
        <v>49</v>
      </c>
      <c r="AI90" s="23" t="s">
        <v>53</v>
      </c>
      <c r="AJ90" s="6" t="str">
        <f t="shared" si="20"/>
        <v>匹配</v>
      </c>
      <c r="AK90" s="26">
        <f>IF(A90="","",COUNTIFS(加仓管理!$A$2:$A$1001,A90,加仓管理!$G$2:$G$1001,"&gt;0"))</f>
        <v>1</v>
      </c>
      <c r="AL90" s="26">
        <f>IF(A90="","",SUMIFS(加仓管理!$G$2:$G$1001,加仓管理!$A$2:$A$1001,A90))</f>
        <v>20000</v>
      </c>
      <c r="AM90" s="27">
        <f>IF(AK90=0,"",IFERROR(LOOKUP(2,1/((加仓管理!$A$2:$A$1001=A90)*(加仓管理!$G$2:$G$1001&gt;0)),加仓管理!$D$2:$D$1001),""))</f>
        <v>7.9</v>
      </c>
      <c r="AN90" s="27">
        <f>IF(AK90=0,"",IFERROR(LOOKUP(2,1/((加仓管理!$A$2:$A$1001=A90)*(加仓管理!$G$2:$G$1001&gt;0)),加仓管理!$E$2:$E$1001),""))</f>
        <v>7.2</v>
      </c>
      <c r="AO90" s="27">
        <f>IF(OR(A90="",H90="",H90&lt;=0),"",(E90*H90+SUMIFS(加仓管理!$H$2:$H$1001,加仓管理!$A$2:$A$1001,A90))/AP90)</f>
        <v>7.47895781637717</v>
      </c>
      <c r="AP90" s="26">
        <f t="shared" si="21"/>
        <v>80600</v>
      </c>
      <c r="AQ90" s="27">
        <f>IF(A90="","",IF(M90&lt;&gt;"",0,IF(OR(H90="",N90=""),"",MAX((E90*H90+SUMIFS(加仓管理!$H$2:$H$1001,加仓管理!$A$2:$A$1001,A90))-MAX(N90,AN90)*AP90,0))))</f>
        <v>0</v>
      </c>
      <c r="AR90" s="27" t="str">
        <f ca="1"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>违规：请检查加仓管理表</v>
      </c>
    </row>
    <row r="91" ht="17" spans="1:44">
      <c r="A91" s="23">
        <v>89</v>
      </c>
      <c r="B91" s="23" t="s">
        <v>57</v>
      </c>
      <c r="C91" s="7">
        <v>1040711</v>
      </c>
      <c r="D91" s="4">
        <v>0.02</v>
      </c>
      <c r="E91" s="7">
        <v>8.82</v>
      </c>
      <c r="F91" s="6">
        <f t="shared" si="11"/>
        <v>25300</v>
      </c>
      <c r="G91" s="6" t="str">
        <f ca="1"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1" s="23">
        <v>25300</v>
      </c>
      <c r="I91" s="24">
        <v>43297</v>
      </c>
      <c r="J91" s="7">
        <v>10</v>
      </c>
      <c r="K91" s="7">
        <v>7.82</v>
      </c>
      <c r="L91" s="6">
        <f t="shared" si="12"/>
        <v>25300</v>
      </c>
      <c r="M91" s="24">
        <v>43315</v>
      </c>
      <c r="N91" s="7">
        <v>8</v>
      </c>
      <c r="O91" s="7"/>
      <c r="P91" s="7"/>
      <c r="Q91" s="23"/>
      <c r="R91" s="23"/>
      <c r="S91" s="23"/>
      <c r="T91" s="23"/>
      <c r="U91" s="5">
        <f t="shared" si="13"/>
        <v>0.133786848072562</v>
      </c>
      <c r="V91" s="5">
        <f t="shared" si="14"/>
        <v>0.0929705215419501</v>
      </c>
      <c r="W91" s="25">
        <f t="shared" si="15"/>
        <v>1.4390243902439</v>
      </c>
      <c r="X91" s="3">
        <f t="shared" si="16"/>
        <v>-25300</v>
      </c>
      <c r="Y91" s="5">
        <f t="shared" si="17"/>
        <v>-0.113378684807256</v>
      </c>
      <c r="Z91" s="5">
        <f>IF(OR(AE91="",多次统计数据!$B$8=""),"",AE91-多次统计数据!$B$8)</f>
        <v>-0.122520269266943</v>
      </c>
      <c r="AA91" s="8">
        <f t="shared" si="18"/>
        <v>18</v>
      </c>
      <c r="AB91" s="5">
        <f>IF(OR(A91="",多次统计数据!$B$8="",多次统计数据!$B$6&lt;=0,多次统计数据!$B$6&gt;=1),"",1-POWER(1+多次统计数据!$B$8,-多次统计数据!$B$6/(1-多次统计数据!$B$6)))</f>
        <v>0.0965082919530571</v>
      </c>
      <c r="AC91" s="6" t="str">
        <f>IF(OR(AB91="",多次统计数据!$B$9=""),"",IF(多次统计数据!$B$9&lt;AB91,"低于上限","达到或超过上限"))</f>
        <v>低于上限</v>
      </c>
      <c r="AD91" s="23"/>
      <c r="AE91" s="5">
        <f t="shared" si="19"/>
        <v>-0.0243103032446087</v>
      </c>
      <c r="AG91" s="23" t="s">
        <v>52</v>
      </c>
      <c r="AH91" s="23" t="s">
        <v>49</v>
      </c>
      <c r="AI91" s="23" t="s">
        <v>53</v>
      </c>
      <c r="AJ91" s="6" t="str">
        <f t="shared" si="20"/>
        <v>匹配</v>
      </c>
      <c r="AK91" s="26">
        <f>IF(A91="","",COUNTIFS(加仓管理!$A$2:$A$1001,A91,加仓管理!$G$2:$G$1001,"&gt;0"))</f>
        <v>0</v>
      </c>
      <c r="AL91" s="26">
        <f>IF(A91="","",SUMIFS(加仓管理!$G$2:$G$1001,加仓管理!$A$2:$A$1001,A91))</f>
        <v>0</v>
      </c>
      <c r="AM91" s="27" t="str">
        <f>IF(AK91=0,"",IFERROR(LOOKUP(2,1/((加仓管理!$A$2:$A$1001=A91)*(加仓管理!$G$2:$G$1001&gt;0)),加仓管理!$D$2:$D$1001),""))</f>
        <v/>
      </c>
      <c r="AN91" s="27" t="str">
        <f>IF(AK91=0,"",IFERROR(LOOKUP(2,1/((加仓管理!$A$2:$A$1001=A91)*(加仓管理!$G$2:$G$1001&gt;0)),加仓管理!$E$2:$E$1001),""))</f>
        <v/>
      </c>
      <c r="AO91" s="27">
        <f>IF(OR(A91="",H91="",H91&lt;=0),"",(E91*H91+SUMIFS(加仓管理!$H$2:$H$1001,加仓管理!$A$2:$A$1001,A91))/AP91)</f>
        <v>8.82</v>
      </c>
      <c r="AP91" s="26">
        <f t="shared" si="21"/>
        <v>25300</v>
      </c>
      <c r="AQ91" s="27">
        <f>IF(A91="","",IF(M91&lt;&gt;"",0,IF(OR(H91="",N91=""),"",MAX((E91*H91+SUMIFS(加仓管理!$H$2:$H$1001,加仓管理!$A$2:$A$1001,A91))-MAX(N91,AN91)*AP91,0))))</f>
        <v>0</v>
      </c>
      <c r="AR91" s="27" t="str">
        <f ca="1"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>通过</v>
      </c>
    </row>
    <row r="92" ht="17" spans="1:44">
      <c r="A92" s="23">
        <v>90</v>
      </c>
      <c r="B92" s="23" t="s">
        <v>57</v>
      </c>
      <c r="C92" s="7">
        <v>1015411</v>
      </c>
      <c r="D92" s="4">
        <v>0.02</v>
      </c>
      <c r="E92" s="7">
        <v>7.32</v>
      </c>
      <c r="F92" s="6">
        <f t="shared" si="11"/>
        <v>24700</v>
      </c>
      <c r="G92" s="6" t="str">
        <f ca="1"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2" s="23">
        <v>24700</v>
      </c>
      <c r="I92" s="24">
        <v>43385</v>
      </c>
      <c r="J92" s="7">
        <v>8</v>
      </c>
      <c r="K92" s="7">
        <v>6.27</v>
      </c>
      <c r="L92" s="6">
        <f t="shared" si="12"/>
        <v>24700</v>
      </c>
      <c r="M92" s="24">
        <v>43402</v>
      </c>
      <c r="N92" s="7">
        <v>6.5</v>
      </c>
      <c r="O92" s="7"/>
      <c r="P92" s="7"/>
      <c r="Q92" s="23"/>
      <c r="R92" s="23"/>
      <c r="S92" s="23"/>
      <c r="T92" s="23"/>
      <c r="U92" s="5">
        <f t="shared" si="13"/>
        <v>0.0928961748633879</v>
      </c>
      <c r="V92" s="5">
        <f t="shared" si="14"/>
        <v>0.112021857923497</v>
      </c>
      <c r="W92" s="25">
        <f t="shared" si="15"/>
        <v>0.829268292682926</v>
      </c>
      <c r="X92" s="3">
        <f t="shared" si="16"/>
        <v>-25935</v>
      </c>
      <c r="Y92" s="5">
        <f t="shared" si="17"/>
        <v>-0.14344262295082</v>
      </c>
      <c r="Z92" s="5">
        <f>IF(OR(AE92="",多次统计数据!$B$8=""),"",AE92-多次统计数据!$B$8)</f>
        <v>-0.123751347787945</v>
      </c>
      <c r="AA92" s="8">
        <f t="shared" si="18"/>
        <v>17</v>
      </c>
      <c r="AB92" s="5">
        <f>IF(OR(A92="",多次统计数据!$B$8="",多次统计数据!$B$6&lt;=0,多次统计数据!$B$6&gt;=1),"",1-POWER(1+多次统计数据!$B$8,-多次统计数据!$B$6/(1-多次统计数据!$B$6)))</f>
        <v>0.0965082919530571</v>
      </c>
      <c r="AC92" s="6" t="str">
        <f>IF(OR(AB92="",多次统计数据!$B$9=""),"",IF(多次统计数据!$B$9&lt;AB92,"低于上限","达到或超过上限"))</f>
        <v>低于上限</v>
      </c>
      <c r="AD92" s="23"/>
      <c r="AE92" s="5">
        <f t="shared" si="19"/>
        <v>-0.0255413817656102</v>
      </c>
      <c r="AG92" s="23" t="s">
        <v>45</v>
      </c>
      <c r="AH92" s="23" t="s">
        <v>46</v>
      </c>
      <c r="AI92" s="23" t="s">
        <v>51</v>
      </c>
      <c r="AJ92" s="6" t="str">
        <f t="shared" si="20"/>
        <v>匹配</v>
      </c>
      <c r="AK92" s="26">
        <f>IF(A92="","",COUNTIFS(加仓管理!$A$2:$A$1001,A92,加仓管理!$G$2:$G$1001,"&gt;0"))</f>
        <v>0</v>
      </c>
      <c r="AL92" s="26">
        <f>IF(A92="","",SUMIFS(加仓管理!$G$2:$G$1001,加仓管理!$A$2:$A$1001,A92))</f>
        <v>0</v>
      </c>
      <c r="AM92" s="27" t="str">
        <f>IF(AK92=0,"",IFERROR(LOOKUP(2,1/((加仓管理!$A$2:$A$1001=A92)*(加仓管理!$G$2:$G$1001&gt;0)),加仓管理!$D$2:$D$1001),""))</f>
        <v/>
      </c>
      <c r="AN92" s="27" t="str">
        <f>IF(AK92=0,"",IFERROR(LOOKUP(2,1/((加仓管理!$A$2:$A$1001=A92)*(加仓管理!$G$2:$G$1001&gt;0)),加仓管理!$E$2:$E$1001),""))</f>
        <v/>
      </c>
      <c r="AO92" s="27">
        <f>IF(OR(A92="",H92="",H92&lt;=0),"",(E92*H92+SUMIFS(加仓管理!$H$2:$H$1001,加仓管理!$A$2:$A$1001,A92))/AP92)</f>
        <v>7.32</v>
      </c>
      <c r="AP92" s="26">
        <f t="shared" si="21"/>
        <v>24700</v>
      </c>
      <c r="AQ92" s="27">
        <f>IF(A92="","",IF(M92&lt;&gt;"",0,IF(OR(H92="",N92=""),"",MAX((E92*H92+SUMIFS(加仓管理!$H$2:$H$1001,加仓管理!$A$2:$A$1001,A92))-MAX(N92,AN92)*AP92,0))))</f>
        <v>0</v>
      </c>
      <c r="AR92" s="27" t="str">
        <f ca="1"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>通过</v>
      </c>
    </row>
    <row r="93" ht="17" spans="1:44">
      <c r="A93" s="23">
        <v>91</v>
      </c>
      <c r="B93" s="23" t="s">
        <v>57</v>
      </c>
      <c r="C93" s="7">
        <v>989476</v>
      </c>
      <c r="D93" s="4">
        <v>0.02</v>
      </c>
      <c r="E93" s="7">
        <v>7.25</v>
      </c>
      <c r="F93" s="6">
        <f t="shared" si="11"/>
        <v>26300</v>
      </c>
      <c r="G93" s="6" t="str">
        <f ca="1"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3" s="23">
        <v>26300</v>
      </c>
      <c r="I93" s="24">
        <v>43402</v>
      </c>
      <c r="J93" s="7">
        <v>8</v>
      </c>
      <c r="K93" s="7">
        <v>6.31</v>
      </c>
      <c r="L93" s="6">
        <f t="shared" si="12"/>
        <v>26300</v>
      </c>
      <c r="M93" s="24">
        <v>43455</v>
      </c>
      <c r="N93" s="7">
        <v>6.5</v>
      </c>
      <c r="O93" s="7"/>
      <c r="P93" s="7"/>
      <c r="Q93" s="23"/>
      <c r="R93" s="23"/>
      <c r="S93" s="23"/>
      <c r="T93" s="23"/>
      <c r="U93" s="5">
        <f t="shared" si="13"/>
        <v>0.103448275862069</v>
      </c>
      <c r="V93" s="5">
        <f t="shared" si="14"/>
        <v>0.103448275862069</v>
      </c>
      <c r="W93" s="25">
        <f t="shared" si="15"/>
        <v>1</v>
      </c>
      <c r="X93" s="3">
        <f t="shared" si="16"/>
        <v>-24722</v>
      </c>
      <c r="Y93" s="5">
        <f t="shared" si="17"/>
        <v>-0.129655172413793</v>
      </c>
      <c r="Z93" s="5">
        <f>IF(OR(AE93="",多次统计数据!$B$8=""),"",AE93-多次统计数据!$B$8)</f>
        <v>-0.12319490754694</v>
      </c>
      <c r="AA93" s="8">
        <f t="shared" si="18"/>
        <v>53</v>
      </c>
      <c r="AB93" s="5">
        <f>IF(OR(A93="",多次统计数据!$B$8="",多次统计数据!$B$6&lt;=0,多次统计数据!$B$6&gt;=1),"",1-POWER(1+多次统计数据!$B$8,-多次统计数据!$B$6/(1-多次统计数据!$B$6)))</f>
        <v>0.0965082919530571</v>
      </c>
      <c r="AC93" s="6" t="str">
        <f>IF(OR(AB93="",多次统计数据!$B$9=""),"",IF(多次统计数据!$B$9&lt;AB93,"低于上限","达到或超过上限"))</f>
        <v>低于上限</v>
      </c>
      <c r="AD93" s="23"/>
      <c r="AE93" s="5">
        <f t="shared" si="19"/>
        <v>-0.024984941524605</v>
      </c>
      <c r="AG93" s="23" t="s">
        <v>45</v>
      </c>
      <c r="AH93" s="23" t="s">
        <v>46</v>
      </c>
      <c r="AI93" s="23" t="s">
        <v>51</v>
      </c>
      <c r="AJ93" s="6" t="str">
        <f t="shared" si="20"/>
        <v>匹配</v>
      </c>
      <c r="AK93" s="26">
        <f>IF(A93="","",COUNTIFS(加仓管理!$A$2:$A$1001,A93,加仓管理!$G$2:$G$1001,"&gt;0"))</f>
        <v>0</v>
      </c>
      <c r="AL93" s="26">
        <f>IF(A93="","",SUMIFS(加仓管理!$G$2:$G$1001,加仓管理!$A$2:$A$1001,A93))</f>
        <v>0</v>
      </c>
      <c r="AM93" s="27" t="str">
        <f>IF(AK93=0,"",IFERROR(LOOKUP(2,1/((加仓管理!$A$2:$A$1001=A93)*(加仓管理!$G$2:$G$1001&gt;0)),加仓管理!$D$2:$D$1001),""))</f>
        <v/>
      </c>
      <c r="AN93" s="27" t="str">
        <f>IF(AK93=0,"",IFERROR(LOOKUP(2,1/((加仓管理!$A$2:$A$1001=A93)*(加仓管理!$G$2:$G$1001&gt;0)),加仓管理!$E$2:$E$1001),""))</f>
        <v/>
      </c>
      <c r="AO93" s="27">
        <f>IF(OR(A93="",H93="",H93&lt;=0),"",(E93*H93+SUMIFS(加仓管理!$H$2:$H$1001,加仓管理!$A$2:$A$1001,A93))/AP93)</f>
        <v>7.25</v>
      </c>
      <c r="AP93" s="26">
        <f t="shared" si="21"/>
        <v>26300</v>
      </c>
      <c r="AQ93" s="27">
        <f>IF(A93="","",IF(M93&lt;&gt;"",0,IF(OR(H93="",N93=""),"",MAX((E93*H93+SUMIFS(加仓管理!$H$2:$H$1001,加仓管理!$A$2:$A$1001,A93))-MAX(N93,AN93)*AP93,0))))</f>
        <v>0</v>
      </c>
      <c r="AR93" s="27" t="str">
        <f ca="1"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>通过</v>
      </c>
    </row>
    <row r="94" ht="17" spans="1:44">
      <c r="A94" s="23">
        <v>92</v>
      </c>
      <c r="B94" s="23" t="s">
        <v>57</v>
      </c>
      <c r="C94" s="7">
        <v>964754</v>
      </c>
      <c r="D94" s="4">
        <v>0.02</v>
      </c>
      <c r="E94" s="7">
        <v>6.6</v>
      </c>
      <c r="F94" s="6">
        <f t="shared" si="11"/>
        <v>32100</v>
      </c>
      <c r="G94" s="6" t="str">
        <f ca="1"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4" s="23">
        <v>32100</v>
      </c>
      <c r="I94" s="24">
        <v>43486</v>
      </c>
      <c r="J94" s="7">
        <v>7</v>
      </c>
      <c r="K94" s="7">
        <v>8.51</v>
      </c>
      <c r="L94" s="6">
        <f t="shared" si="12"/>
        <v>112100</v>
      </c>
      <c r="M94" s="24">
        <v>43611</v>
      </c>
      <c r="N94" s="7">
        <v>6</v>
      </c>
      <c r="O94" s="7"/>
      <c r="P94" s="7"/>
      <c r="Q94" s="23"/>
      <c r="R94" s="23"/>
      <c r="S94" s="23"/>
      <c r="T94" s="23"/>
      <c r="U94" s="5">
        <f t="shared" si="13"/>
        <v>-0.0615432453119021</v>
      </c>
      <c r="V94" s="5">
        <f t="shared" si="14"/>
        <v>0.19560849598163</v>
      </c>
      <c r="W94" s="25">
        <f t="shared" si="15"/>
        <v>-0.314624602592321</v>
      </c>
      <c r="X94" s="3">
        <f t="shared" si="16"/>
        <v>117811</v>
      </c>
      <c r="Y94" s="5">
        <f t="shared" si="17"/>
        <v>0.140895283199388</v>
      </c>
      <c r="Z94" s="5">
        <f>IF(OR(AE94="",多次统计数据!$B$8=""),"",AE94-多次统计数据!$B$8)</f>
        <v>0.0239051016529484</v>
      </c>
      <c r="AA94" s="8">
        <f t="shared" si="18"/>
        <v>125</v>
      </c>
      <c r="AB94" s="5">
        <f>IF(OR(A94="",多次统计数据!$B$8="",多次统计数据!$B$6&lt;=0,多次统计数据!$B$6&gt;=1),"",1-POWER(1+多次统计数据!$B$8,-多次统计数据!$B$6/(1-多次统计数据!$B$6)))</f>
        <v>0.0965082919530571</v>
      </c>
      <c r="AC94" s="6" t="str">
        <f>IF(OR(AB94="",多次统计数据!$B$9=""),"",IF(多次统计数据!$B$9&lt;AB94,"低于上限","达到或超过上限"))</f>
        <v>低于上限</v>
      </c>
      <c r="AD94" s="23"/>
      <c r="AE94" s="5">
        <f t="shared" si="19"/>
        <v>0.122115067675283</v>
      </c>
      <c r="AG94" s="23" t="s">
        <v>48</v>
      </c>
      <c r="AH94" s="23" t="s">
        <v>49</v>
      </c>
      <c r="AI94" s="23" t="s">
        <v>50</v>
      </c>
      <c r="AJ94" s="6" t="str">
        <f t="shared" si="20"/>
        <v>匹配</v>
      </c>
      <c r="AK94" s="26">
        <f>IF(A94="","",COUNTIFS(加仓管理!$A$2:$A$1001,A94,加仓管理!$G$2:$G$1001,"&gt;0"))</f>
        <v>5</v>
      </c>
      <c r="AL94" s="26">
        <f>IF(A94="","",SUMIFS(加仓管理!$G$2:$G$1001,加仓管理!$A$2:$A$1001,A94))</f>
        <v>80000</v>
      </c>
      <c r="AM94" s="27">
        <f>IF(AK94=0,"",IFERROR(LOOKUP(2,1/((加仓管理!$A$2:$A$1001=A94)*(加仓管理!$G$2:$G$1001&gt;0)),加仓管理!$D$2:$D$1001),""))</f>
        <v>8.84</v>
      </c>
      <c r="AN94" s="27">
        <f>IF(AK94=0,"",IFERROR(LOOKUP(2,1/((加仓管理!$A$2:$A$1001=A94)*(加仓管理!$G$2:$G$1001&gt;0)),加仓管理!$E$2:$E$1001),""))</f>
        <v>8</v>
      </c>
      <c r="AO94" s="27">
        <f>IF(OR(A94="",H94="",H94&lt;=0),"",(E94*H94+SUMIFS(加仓管理!$H$2:$H$1001,加仓管理!$A$2:$A$1001,A94))/AP94)</f>
        <v>7.45905441570027</v>
      </c>
      <c r="AP94" s="26">
        <f t="shared" si="21"/>
        <v>112100</v>
      </c>
      <c r="AQ94" s="27">
        <f>IF(A94="","",IF(M94&lt;&gt;"",0,IF(OR(H94="",N94=""),"",MAX((E94*H94+SUMIFS(加仓管理!$H$2:$H$1001,加仓管理!$A$2:$A$1001,A94))-MAX(N94,AN94)*AP94,0))))</f>
        <v>0</v>
      </c>
      <c r="AR94" s="27" t="str">
        <f ca="1"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>违规：请检查加仓管理表</v>
      </c>
    </row>
    <row r="95" ht="17" spans="1:44">
      <c r="A95" s="23">
        <v>93</v>
      </c>
      <c r="B95" s="23" t="s">
        <v>57</v>
      </c>
      <c r="C95" s="7">
        <v>1082565</v>
      </c>
      <c r="D95" s="4">
        <v>0.02</v>
      </c>
      <c r="E95" s="7">
        <v>9.43</v>
      </c>
      <c r="F95" s="6">
        <f t="shared" si="11"/>
        <v>15100</v>
      </c>
      <c r="G95" s="6" t="str">
        <f ca="1"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5" s="23">
        <v>15100</v>
      </c>
      <c r="I95" s="24">
        <v>43594</v>
      </c>
      <c r="J95" s="7">
        <v>10</v>
      </c>
      <c r="K95" s="7">
        <v>9.02</v>
      </c>
      <c r="L95" s="6">
        <f t="shared" si="12"/>
        <v>15100</v>
      </c>
      <c r="M95" s="24">
        <v>43621</v>
      </c>
      <c r="N95" s="7">
        <v>8</v>
      </c>
      <c r="O95" s="7"/>
      <c r="P95" s="7"/>
      <c r="Q95" s="23"/>
      <c r="R95" s="23"/>
      <c r="S95" s="23"/>
      <c r="T95" s="23"/>
      <c r="U95" s="5">
        <f t="shared" si="13"/>
        <v>0.0604453870625663</v>
      </c>
      <c r="V95" s="5">
        <f t="shared" si="14"/>
        <v>0.151643690349947</v>
      </c>
      <c r="W95" s="25">
        <f t="shared" si="15"/>
        <v>0.398601398601399</v>
      </c>
      <c r="X95" s="3">
        <f t="shared" si="16"/>
        <v>-6191</v>
      </c>
      <c r="Y95" s="5">
        <f t="shared" si="17"/>
        <v>-0.0434782608695652</v>
      </c>
      <c r="Z95" s="5">
        <f>IF(OR(AE95="",多次统计数据!$B$8=""),"",AE95-多次统计数据!$B$8)</f>
        <v>-0.103928791219898</v>
      </c>
      <c r="AA95" s="8">
        <f t="shared" si="18"/>
        <v>27</v>
      </c>
      <c r="AB95" s="5">
        <f>IF(OR(A95="",多次统计数据!$B$8="",多次统计数据!$B$6&lt;=0,多次统计数据!$B$6&gt;=1),"",1-POWER(1+多次统计数据!$B$8,-多次统计数据!$B$6/(1-多次统计数据!$B$6)))</f>
        <v>0.0965082919530571</v>
      </c>
      <c r="AC95" s="6" t="str">
        <f>IF(OR(AB95="",多次统计数据!$B$9=""),"",IF(多次统计数据!$B$9&lt;AB95,"低于上限","达到或超过上限"))</f>
        <v>低于上限</v>
      </c>
      <c r="AD95" s="23"/>
      <c r="AE95" s="5">
        <f t="shared" si="19"/>
        <v>-0.0057188251975632</v>
      </c>
      <c r="AG95" s="23" t="s">
        <v>52</v>
      </c>
      <c r="AH95" s="23" t="s">
        <v>46</v>
      </c>
      <c r="AI95" s="23" t="s">
        <v>53</v>
      </c>
      <c r="AJ95" s="6" t="str">
        <f t="shared" si="20"/>
        <v>匹配</v>
      </c>
      <c r="AK95" s="26">
        <f>IF(A95="","",COUNTIFS(加仓管理!$A$2:$A$1001,A95,加仓管理!$G$2:$G$1001,"&gt;0"))</f>
        <v>0</v>
      </c>
      <c r="AL95" s="26">
        <f>IF(A95="","",SUMIFS(加仓管理!$G$2:$G$1001,加仓管理!$A$2:$A$1001,A95))</f>
        <v>0</v>
      </c>
      <c r="AM95" s="27" t="str">
        <f>IF(AK95=0,"",IFERROR(LOOKUP(2,1/((加仓管理!$A$2:$A$1001=A95)*(加仓管理!$G$2:$G$1001&gt;0)),加仓管理!$D$2:$D$1001),""))</f>
        <v/>
      </c>
      <c r="AN95" s="27" t="str">
        <f>IF(AK95=0,"",IFERROR(LOOKUP(2,1/((加仓管理!$A$2:$A$1001=A95)*(加仓管理!$G$2:$G$1001&gt;0)),加仓管理!$E$2:$E$1001),""))</f>
        <v/>
      </c>
      <c r="AO95" s="27">
        <f>IF(OR(A95="",H95="",H95&lt;=0),"",(E95*H95+SUMIFS(加仓管理!$H$2:$H$1001,加仓管理!$A$2:$A$1001,A95))/AP95)</f>
        <v>9.43</v>
      </c>
      <c r="AP95" s="26">
        <f t="shared" si="21"/>
        <v>15100</v>
      </c>
      <c r="AQ95" s="27">
        <f>IF(A95="","",IF(M95&lt;&gt;"",0,IF(OR(H95="",N95=""),"",MAX((E95*H95+SUMIFS(加仓管理!$H$2:$H$1001,加仓管理!$A$2:$A$1001,A95))-MAX(N95,AN95)*AP95,0))))</f>
        <v>0</v>
      </c>
      <c r="AR95" s="27" t="str">
        <f ca="1"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>通过</v>
      </c>
    </row>
    <row r="96" ht="17" spans="1:44">
      <c r="A96" s="23">
        <v>94</v>
      </c>
      <c r="B96" s="23" t="s">
        <v>57</v>
      </c>
      <c r="C96" s="7">
        <v>1076374</v>
      </c>
      <c r="D96" s="4">
        <v>0.02</v>
      </c>
      <c r="E96" s="7">
        <v>10.15</v>
      </c>
      <c r="F96" s="6">
        <f t="shared" si="11"/>
        <v>33100</v>
      </c>
      <c r="G96" s="6" t="str">
        <f ca="1"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6" s="23">
        <v>33100</v>
      </c>
      <c r="I96" s="24">
        <v>43642</v>
      </c>
      <c r="J96" s="7">
        <v>12</v>
      </c>
      <c r="K96" s="7">
        <v>9.67</v>
      </c>
      <c r="L96" s="6">
        <f t="shared" si="12"/>
        <v>33100</v>
      </c>
      <c r="M96" s="24">
        <v>43682</v>
      </c>
      <c r="N96" s="7">
        <v>9.5</v>
      </c>
      <c r="O96" s="7"/>
      <c r="P96" s="7"/>
      <c r="Q96" s="23"/>
      <c r="R96" s="23"/>
      <c r="S96" s="23"/>
      <c r="T96" s="23"/>
      <c r="U96" s="5">
        <f t="shared" si="13"/>
        <v>0.182266009852217</v>
      </c>
      <c r="V96" s="5">
        <f t="shared" si="14"/>
        <v>0.0640394088669951</v>
      </c>
      <c r="W96" s="25">
        <f t="shared" si="15"/>
        <v>2.84615384615384</v>
      </c>
      <c r="X96" s="3">
        <f t="shared" si="16"/>
        <v>-15888</v>
      </c>
      <c r="Y96" s="5">
        <f t="shared" si="17"/>
        <v>-0.0472906403940887</v>
      </c>
      <c r="Z96" s="5">
        <f>IF(OR(AE96="",多次统计数据!$B$8=""),"",AE96-多次统计数据!$B$8)</f>
        <v>-0.112970634711842</v>
      </c>
      <c r="AA96" s="8">
        <f t="shared" si="18"/>
        <v>40</v>
      </c>
      <c r="AB96" s="5">
        <f>IF(OR(A96="",多次统计数据!$B$8="",多次统计数据!$B$6&lt;=0,多次统计数据!$B$6&gt;=1),"",1-POWER(1+多次统计数据!$B$8,-多次统计数据!$B$6/(1-多次统计数据!$B$6)))</f>
        <v>0.0965082919530571</v>
      </c>
      <c r="AC96" s="6" t="str">
        <f>IF(OR(AB96="",多次统计数据!$B$9=""),"",IF(多次统计数据!$B$9&lt;AB96,"低于上限","达到或超过上限"))</f>
        <v>低于上限</v>
      </c>
      <c r="AD96" s="23"/>
      <c r="AE96" s="5">
        <f t="shared" si="19"/>
        <v>-0.0147606686895076</v>
      </c>
      <c r="AG96" s="23" t="s">
        <v>52</v>
      </c>
      <c r="AH96" s="23" t="s">
        <v>49</v>
      </c>
      <c r="AI96" s="23" t="s">
        <v>53</v>
      </c>
      <c r="AJ96" s="6" t="str">
        <f t="shared" si="20"/>
        <v>匹配</v>
      </c>
      <c r="AK96" s="26">
        <f>IF(A96="","",COUNTIFS(加仓管理!$A$2:$A$1001,A96,加仓管理!$G$2:$G$1001,"&gt;0"))</f>
        <v>0</v>
      </c>
      <c r="AL96" s="26">
        <f>IF(A96="","",SUMIFS(加仓管理!$G$2:$G$1001,加仓管理!$A$2:$A$1001,A96))</f>
        <v>0</v>
      </c>
      <c r="AM96" s="27" t="str">
        <f>IF(AK96=0,"",IFERROR(LOOKUP(2,1/((加仓管理!$A$2:$A$1001=A96)*(加仓管理!$G$2:$G$1001&gt;0)),加仓管理!$D$2:$D$1001),""))</f>
        <v/>
      </c>
      <c r="AN96" s="27" t="str">
        <f>IF(AK96=0,"",IFERROR(LOOKUP(2,1/((加仓管理!$A$2:$A$1001=A96)*(加仓管理!$G$2:$G$1001&gt;0)),加仓管理!$E$2:$E$1001),""))</f>
        <v/>
      </c>
      <c r="AO96" s="27">
        <f>IF(OR(A96="",H96="",H96&lt;=0),"",(E96*H96+SUMIFS(加仓管理!$H$2:$H$1001,加仓管理!$A$2:$A$1001,A96))/AP96)</f>
        <v>10.15</v>
      </c>
      <c r="AP96" s="26">
        <f t="shared" si="21"/>
        <v>33100</v>
      </c>
      <c r="AQ96" s="27">
        <f>IF(A96="","",IF(M96&lt;&gt;"",0,IF(OR(H96="",N96=""),"",MAX((E96*H96+SUMIFS(加仓管理!$H$2:$H$1001,加仓管理!$A$2:$A$1001,A96))-MAX(N96,AN96)*AP96,0))))</f>
        <v>0</v>
      </c>
      <c r="AR96" s="27" t="str">
        <f ca="1"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>通过</v>
      </c>
    </row>
    <row r="97" ht="17" spans="1:44">
      <c r="A97" s="23">
        <v>95</v>
      </c>
      <c r="B97" s="23" t="s">
        <v>57</v>
      </c>
      <c r="C97" s="7">
        <v>1060486</v>
      </c>
      <c r="D97" s="4">
        <v>0.02</v>
      </c>
      <c r="E97" s="7">
        <v>10.77</v>
      </c>
      <c r="F97" s="6">
        <f t="shared" si="11"/>
        <v>27500</v>
      </c>
      <c r="G97" s="6" t="str">
        <f ca="1"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7" s="23">
        <v>27500</v>
      </c>
      <c r="I97" s="24">
        <v>43699</v>
      </c>
      <c r="J97" s="7">
        <v>12</v>
      </c>
      <c r="K97" s="7">
        <v>11.06</v>
      </c>
      <c r="L97" s="6">
        <f t="shared" si="12"/>
        <v>27500</v>
      </c>
      <c r="M97" s="24">
        <v>43725</v>
      </c>
      <c r="N97" s="7">
        <v>10</v>
      </c>
      <c r="O97" s="7"/>
      <c r="P97" s="7"/>
      <c r="Q97" s="23"/>
      <c r="R97" s="23"/>
      <c r="S97" s="23"/>
      <c r="T97" s="23"/>
      <c r="U97" s="5">
        <f t="shared" si="13"/>
        <v>0.114206128133705</v>
      </c>
      <c r="V97" s="5">
        <f t="shared" si="14"/>
        <v>0.0714948932219127</v>
      </c>
      <c r="W97" s="25">
        <f t="shared" si="15"/>
        <v>1.5974025974026</v>
      </c>
      <c r="X97" s="3">
        <f t="shared" si="16"/>
        <v>7975.00000000003</v>
      </c>
      <c r="Y97" s="5">
        <f t="shared" si="17"/>
        <v>0.0269266480965646</v>
      </c>
      <c r="Z97" s="5">
        <f>IF(OR(AE97="",多次统计数据!$B$8=""),"",AE97-多次统计数据!$B$8)</f>
        <v>-0.0906898290285412</v>
      </c>
      <c r="AA97" s="8">
        <f t="shared" si="18"/>
        <v>26</v>
      </c>
      <c r="AB97" s="5">
        <f>IF(OR(A97="",多次统计数据!$B$8="",多次统计数据!$B$6&lt;=0,多次统计数据!$B$6&gt;=1),"",1-POWER(1+多次统计数据!$B$8,-多次统计数据!$B$6/(1-多次统计数据!$B$6)))</f>
        <v>0.0965082919530571</v>
      </c>
      <c r="AC97" s="6" t="str">
        <f>IF(OR(AB97="",多次统计数据!$B$9=""),"",IF(多次统计数据!$B$9&lt;AB97,"低于上限","达到或超过上限"))</f>
        <v>低于上限</v>
      </c>
      <c r="AD97" s="23"/>
      <c r="AE97" s="5">
        <f t="shared" si="19"/>
        <v>0.00752013699379344</v>
      </c>
      <c r="AF97" s="39"/>
      <c r="AG97" s="23" t="s">
        <v>52</v>
      </c>
      <c r="AH97" s="23" t="s">
        <v>49</v>
      </c>
      <c r="AI97" s="23" t="s">
        <v>53</v>
      </c>
      <c r="AJ97" s="6" t="str">
        <f t="shared" si="20"/>
        <v>匹配</v>
      </c>
      <c r="AK97" s="26">
        <f>IF(A97="","",COUNTIFS(加仓管理!$A$2:$A$1001,A97,加仓管理!$G$2:$G$1001,"&gt;0"))</f>
        <v>0</v>
      </c>
      <c r="AL97" s="26">
        <f>IF(A97="","",SUMIFS(加仓管理!$G$2:$G$1001,加仓管理!$A$2:$A$1001,A97))</f>
        <v>0</v>
      </c>
      <c r="AM97" s="27" t="str">
        <f>IF(AK97=0,"",IFERROR(LOOKUP(2,1/((加仓管理!$A$2:$A$1001=A97)*(加仓管理!$G$2:$G$1001&gt;0)),加仓管理!$D$2:$D$1001),""))</f>
        <v/>
      </c>
      <c r="AN97" s="27" t="str">
        <f>IF(AK97=0,"",IFERROR(LOOKUP(2,1/((加仓管理!$A$2:$A$1001=A97)*(加仓管理!$G$2:$G$1001&gt;0)),加仓管理!$E$2:$E$1001),""))</f>
        <v/>
      </c>
      <c r="AO97" s="27">
        <f>IF(OR(A97="",H97="",H97&lt;=0),"",(E97*H97+SUMIFS(加仓管理!$H$2:$H$1001,加仓管理!$A$2:$A$1001,A97))/AP97)</f>
        <v>10.77</v>
      </c>
      <c r="AP97" s="26">
        <f t="shared" si="21"/>
        <v>27500</v>
      </c>
      <c r="AQ97" s="27">
        <f>IF(A97="","",IF(M97&lt;&gt;"",0,IF(OR(H97="",N97=""),"",MAX((E97*H97+SUMIFS(加仓管理!$H$2:$H$1001,加仓管理!$A$2:$A$1001,A97))-MAX(N97,AN97)*AP97,0))))</f>
        <v>0</v>
      </c>
      <c r="AR97" s="27" t="str">
        <f ca="1"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>通过</v>
      </c>
    </row>
    <row r="98" ht="17" spans="1:44">
      <c r="A98" s="23">
        <v>96</v>
      </c>
      <c r="B98" s="23" t="s">
        <v>57</v>
      </c>
      <c r="C98" s="7">
        <v>1068461</v>
      </c>
      <c r="D98" s="4">
        <v>0.02</v>
      </c>
      <c r="E98" s="7">
        <v>14.39</v>
      </c>
      <c r="F98" s="6">
        <f t="shared" si="11"/>
        <v>15300</v>
      </c>
      <c r="G98" s="6" t="str">
        <f ca="1"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8" s="23">
        <v>15300</v>
      </c>
      <c r="I98" s="24">
        <v>43769</v>
      </c>
      <c r="J98" s="7">
        <v>15</v>
      </c>
      <c r="K98" s="7">
        <v>14.7</v>
      </c>
      <c r="L98" s="6">
        <f t="shared" si="12"/>
        <v>25300</v>
      </c>
      <c r="M98" s="24">
        <v>43790</v>
      </c>
      <c r="N98" s="7">
        <v>13</v>
      </c>
      <c r="O98" s="7"/>
      <c r="P98" s="7"/>
      <c r="Q98" s="23"/>
      <c r="R98" s="23"/>
      <c r="S98" s="23"/>
      <c r="T98" s="23"/>
      <c r="U98" s="5">
        <f t="shared" si="13"/>
        <v>-0.0022793775485255</v>
      </c>
      <c r="V98" s="5">
        <f t="shared" si="14"/>
        <v>0.135308793875389</v>
      </c>
      <c r="W98" s="25">
        <f t="shared" si="15"/>
        <v>-0.0168457458177084</v>
      </c>
      <c r="X98" s="3">
        <f t="shared" si="16"/>
        <v>-8457.00000000002</v>
      </c>
      <c r="Y98" s="5">
        <f t="shared" si="17"/>
        <v>-0.022233789997555</v>
      </c>
      <c r="Z98" s="5">
        <f>IF(OR(AE98="",多次统计数据!$B$8=""),"",AE98-多次统计数据!$B$8)</f>
        <v>-0.106125088801734</v>
      </c>
      <c r="AA98" s="8">
        <f t="shared" si="18"/>
        <v>21</v>
      </c>
      <c r="AB98" s="5">
        <f>IF(OR(A98="",多次统计数据!$B$8="",多次统计数据!$B$6&lt;=0,多次统计数据!$B$6&gt;=1),"",1-POWER(1+多次统计数据!$B$8,-多次统计数据!$B$6/(1-多次统计数据!$B$6)))</f>
        <v>0.0965082919530571</v>
      </c>
      <c r="AC98" s="6" t="str">
        <f>IF(OR(AB98="",多次统计数据!$B$9=""),"",IF(多次统计数据!$B$9&lt;AB98,"低于上限","达到或超过上限"))</f>
        <v>低于上限</v>
      </c>
      <c r="AD98" s="23"/>
      <c r="AE98" s="5">
        <f t="shared" si="19"/>
        <v>-0.00791512277939955</v>
      </c>
      <c r="AF98" s="39"/>
      <c r="AG98" s="23" t="s">
        <v>52</v>
      </c>
      <c r="AH98" s="23" t="s">
        <v>49</v>
      </c>
      <c r="AI98" s="23" t="s">
        <v>53</v>
      </c>
      <c r="AJ98" s="6" t="str">
        <f t="shared" si="20"/>
        <v>匹配</v>
      </c>
      <c r="AK98" s="26">
        <f>IF(A98="","",COUNTIFS(加仓管理!$A$2:$A$1001,A98,加仓管理!$G$2:$G$1001,"&gt;0"))</f>
        <v>1</v>
      </c>
      <c r="AL98" s="26">
        <f>IF(A98="","",SUMIFS(加仓管理!$G$2:$G$1001,加仓管理!$A$2:$A$1001,A98))</f>
        <v>10000</v>
      </c>
      <c r="AM98" s="27">
        <f>IF(AK98=0,"",IFERROR(LOOKUP(2,1/((加仓管理!$A$2:$A$1001=A98)*(加仓管理!$G$2:$G$1001&gt;0)),加仓管理!$D$2:$D$1001),""))</f>
        <v>16.02</v>
      </c>
      <c r="AN98" s="27">
        <f>IF(AK98=0,"",IFERROR(LOOKUP(2,1/((加仓管理!$A$2:$A$1001=A98)*(加仓管理!$G$2:$G$1001&gt;0)),加仓管理!$E$2:$E$1001),""))</f>
        <v>15</v>
      </c>
      <c r="AO98" s="27">
        <f>IF(OR(A98="",H98="",H98&lt;=0),"",(E98*H98+SUMIFS(加仓管理!$H$2:$H$1001,加仓管理!$A$2:$A$1001,A98))/AP98)</f>
        <v>15.0342687747036</v>
      </c>
      <c r="AP98" s="26">
        <f t="shared" si="21"/>
        <v>25300</v>
      </c>
      <c r="AQ98" s="27">
        <f>IF(A98="","",IF(M98&lt;&gt;"",0,IF(OR(H98="",N98=""),"",MAX((E98*H98+SUMIFS(加仓管理!$H$2:$H$1001,加仓管理!$A$2:$A$1001,A98))-MAX(N98,AN98)*AP98,0))))</f>
        <v>0</v>
      </c>
      <c r="AR98" s="27" t="str">
        <f ca="1"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>违规：请检查加仓管理表</v>
      </c>
    </row>
    <row r="99" ht="17" spans="1:44">
      <c r="A99" s="23">
        <v>97</v>
      </c>
      <c r="B99" s="23" t="s">
        <v>57</v>
      </c>
      <c r="C99" s="7">
        <v>1060004</v>
      </c>
      <c r="D99" s="4">
        <v>0.02</v>
      </c>
      <c r="E99" s="7">
        <v>14.95</v>
      </c>
      <c r="F99" s="6">
        <f t="shared" si="11"/>
        <v>22300</v>
      </c>
      <c r="G99" s="6" t="str">
        <f ca="1"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99" s="23">
        <v>22300</v>
      </c>
      <c r="I99" s="24">
        <v>43895</v>
      </c>
      <c r="J99" s="7">
        <v>16</v>
      </c>
      <c r="K99" s="7">
        <v>14.69</v>
      </c>
      <c r="L99" s="6">
        <f t="shared" si="12"/>
        <v>22300</v>
      </c>
      <c r="M99" s="24">
        <v>43798</v>
      </c>
      <c r="N99" s="7">
        <v>14</v>
      </c>
      <c r="O99" s="7"/>
      <c r="P99" s="7"/>
      <c r="Q99" s="23"/>
      <c r="R99" s="23"/>
      <c r="S99" s="23"/>
      <c r="T99" s="23"/>
      <c r="U99" s="5">
        <f t="shared" si="13"/>
        <v>0.0702341137123746</v>
      </c>
      <c r="V99" s="5">
        <f t="shared" si="14"/>
        <v>0.0635451505016722</v>
      </c>
      <c r="W99" s="25">
        <f t="shared" si="15"/>
        <v>1.10526315789474</v>
      </c>
      <c r="X99" s="3">
        <f t="shared" si="16"/>
        <v>-5798</v>
      </c>
      <c r="Y99" s="5">
        <f t="shared" si="17"/>
        <v>-0.0173913043478261</v>
      </c>
      <c r="Z99" s="5">
        <f>IF(OR(AE99="",多次统计数据!$B$8=""),"",AE99-多次统计数据!$B$8)</f>
        <v>-0.10367975670237</v>
      </c>
      <c r="AA99" s="8" t="str">
        <f t="shared" si="18"/>
        <v/>
      </c>
      <c r="AB99" s="5">
        <f>IF(OR(A99="",多次统计数据!$B$8="",多次统计数据!$B$6&lt;=0,多次统计数据!$B$6&gt;=1),"",1-POWER(1+多次统计数据!$B$8,-多次统计数据!$B$6/(1-多次统计数据!$B$6)))</f>
        <v>0.0965082919530571</v>
      </c>
      <c r="AC99" s="6" t="str">
        <f>IF(OR(AB99="",多次统计数据!$B$9=""),"",IF(多次统计数据!$B$9&lt;AB99,"低于上限","达到或超过上限"))</f>
        <v>低于上限</v>
      </c>
      <c r="AD99" s="23"/>
      <c r="AE99" s="5">
        <f t="shared" si="19"/>
        <v>-0.00546979068003517</v>
      </c>
      <c r="AF99" s="39"/>
      <c r="AG99" s="23" t="s">
        <v>45</v>
      </c>
      <c r="AH99" s="23" t="s">
        <v>46</v>
      </c>
      <c r="AI99" s="23" t="s">
        <v>51</v>
      </c>
      <c r="AJ99" s="6" t="str">
        <f t="shared" si="20"/>
        <v>匹配</v>
      </c>
      <c r="AK99" s="26">
        <f>IF(A99="","",COUNTIFS(加仓管理!$A$2:$A$1001,A99,加仓管理!$G$2:$G$1001,"&gt;0"))</f>
        <v>0</v>
      </c>
      <c r="AL99" s="26">
        <f>IF(A99="","",SUMIFS(加仓管理!$G$2:$G$1001,加仓管理!$A$2:$A$1001,A99))</f>
        <v>0</v>
      </c>
      <c r="AM99" s="27" t="str">
        <f>IF(AK99=0,"",IFERROR(LOOKUP(2,1/((加仓管理!$A$2:$A$1001=A99)*(加仓管理!$G$2:$G$1001&gt;0)),加仓管理!$D$2:$D$1001),""))</f>
        <v/>
      </c>
      <c r="AN99" s="27" t="str">
        <f>IF(AK99=0,"",IFERROR(LOOKUP(2,1/((加仓管理!$A$2:$A$1001=A99)*(加仓管理!$G$2:$G$1001&gt;0)),加仓管理!$E$2:$E$1001),""))</f>
        <v/>
      </c>
      <c r="AO99" s="27">
        <f>IF(OR(A99="",H99="",H99&lt;=0),"",(E99*H99+SUMIFS(加仓管理!$H$2:$H$1001,加仓管理!$A$2:$A$1001,A99))/AP99)</f>
        <v>14.95</v>
      </c>
      <c r="AP99" s="26">
        <f t="shared" si="21"/>
        <v>22300</v>
      </c>
      <c r="AQ99" s="27">
        <f>IF(A99="","",IF(M99&lt;&gt;"",0,IF(OR(H99="",N99=""),"",MAX((E99*H99+SUMIFS(加仓管理!$H$2:$H$1001,加仓管理!$A$2:$A$1001,A99))-MAX(N99,AN99)*AP99,0))))</f>
        <v>0</v>
      </c>
      <c r="AR99" s="27" t="str">
        <f ca="1"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>通过</v>
      </c>
    </row>
    <row r="100" ht="17" spans="1:44">
      <c r="A100" s="23">
        <v>98</v>
      </c>
      <c r="B100" s="23" t="s">
        <v>57</v>
      </c>
      <c r="C100" s="7">
        <v>1054209</v>
      </c>
      <c r="D100" s="4">
        <v>0.02</v>
      </c>
      <c r="E100" s="7">
        <v>16.21</v>
      </c>
      <c r="F100" s="6">
        <f t="shared" si="11"/>
        <v>17400</v>
      </c>
      <c r="G100" s="6" t="str">
        <f ca="1"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0" s="23">
        <v>17400</v>
      </c>
      <c r="I100" s="24">
        <v>43964</v>
      </c>
      <c r="J100" s="7">
        <v>18</v>
      </c>
      <c r="K100" s="7">
        <v>19.49</v>
      </c>
      <c r="L100" s="6">
        <f t="shared" si="12"/>
        <v>37400</v>
      </c>
      <c r="M100" s="24">
        <v>44000</v>
      </c>
      <c r="N100" s="7">
        <v>15</v>
      </c>
      <c r="O100" s="7"/>
      <c r="P100" s="7"/>
      <c r="Q100" s="23"/>
      <c r="R100" s="23"/>
      <c r="S100" s="23"/>
      <c r="T100" s="23"/>
      <c r="U100" s="5">
        <f t="shared" si="13"/>
        <v>0.0557449651378333</v>
      </c>
      <c r="V100" s="5">
        <f t="shared" si="14"/>
        <v>0.120212529051806</v>
      </c>
      <c r="W100" s="25">
        <f t="shared" si="15"/>
        <v>0.463720092884911</v>
      </c>
      <c r="X100" s="3">
        <f t="shared" si="16"/>
        <v>91271.9999999999</v>
      </c>
      <c r="Y100" s="5">
        <f t="shared" si="17"/>
        <v>0.143137187252021</v>
      </c>
      <c r="Z100" s="5">
        <f>IF(OR(AE100="",多次统计数据!$B$8=""),"",AE100-多次统计数据!$B$8)</f>
        <v>-0.0116313084696103</v>
      </c>
      <c r="AA100" s="8">
        <f t="shared" si="18"/>
        <v>36</v>
      </c>
      <c r="AB100" s="5">
        <f>IF(OR(A100="",多次统计数据!$B$8="",多次统计数据!$B$6&lt;=0,多次统计数据!$B$6&gt;=1),"",1-POWER(1+多次统计数据!$B$8,-多次统计数据!$B$6/(1-多次统计数据!$B$6)))</f>
        <v>0.0965082919530571</v>
      </c>
      <c r="AC100" s="6" t="str">
        <f>IF(OR(AB100="",多次统计数据!$B$9=""),"",IF(多次统计数据!$B$9&lt;AB100,"低于上限","达到或超过上限"))</f>
        <v>低于上限</v>
      </c>
      <c r="AD100" s="23"/>
      <c r="AE100" s="5">
        <f t="shared" si="19"/>
        <v>0.0865786575527243</v>
      </c>
      <c r="AG100" s="23" t="s">
        <v>52</v>
      </c>
      <c r="AH100" s="23" t="s">
        <v>46</v>
      </c>
      <c r="AI100" s="23" t="s">
        <v>53</v>
      </c>
      <c r="AJ100" s="6" t="str">
        <f t="shared" si="20"/>
        <v>匹配</v>
      </c>
      <c r="AK100" s="26">
        <f>IF(A100="","",COUNTIFS(加仓管理!$A$2:$A$1001,A100,加仓管理!$G$2:$G$1001,"&gt;0"))</f>
        <v>2</v>
      </c>
      <c r="AL100" s="26">
        <f>IF(A100="","",SUMIFS(加仓管理!$G$2:$G$1001,加仓管理!$A$2:$A$1001,A100))</f>
        <v>20000</v>
      </c>
      <c r="AM100" s="27">
        <f>IF(AK100=0,"",IFERROR(LOOKUP(2,1/((加仓管理!$A$2:$A$1001=A100)*(加仓管理!$G$2:$G$1001&gt;0)),加仓管理!$D$2:$D$1001),""))</f>
        <v>18.38</v>
      </c>
      <c r="AN100" s="27">
        <f>IF(AK100=0,"",IFERROR(LOOKUP(2,1/((加仓管理!$A$2:$A$1001=A100)*(加仓管理!$G$2:$G$1001&gt;0)),加仓管理!$E$2:$E$1001),""))</f>
        <v>17.18</v>
      </c>
      <c r="AO100" s="27">
        <f>IF(OR(A100="",H100="",H100&lt;=0),"",(E100*H100+SUMIFS(加仓管理!$H$2:$H$1001,加仓管理!$A$2:$A$1001,A100))/AP100)</f>
        <v>17.0495721925134</v>
      </c>
      <c r="AP100" s="26">
        <f t="shared" si="21"/>
        <v>37400</v>
      </c>
      <c r="AQ100" s="27">
        <f>IF(A100="","",IF(M100&lt;&gt;"",0,IF(OR(H100="",N100=""),"",MAX((E100*H100+SUMIFS(加仓管理!$H$2:$H$1001,加仓管理!$A$2:$A$1001,A100))-MAX(N100,AN100)*AP100,0))))</f>
        <v>0</v>
      </c>
      <c r="AR100" s="27" t="str">
        <f ca="1"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>违规：请检查加仓管理表</v>
      </c>
    </row>
    <row r="101" ht="34" spans="1:44">
      <c r="A101" s="23">
        <v>99</v>
      </c>
      <c r="B101" s="23" t="s">
        <v>57</v>
      </c>
      <c r="C101" s="7">
        <v>1145478</v>
      </c>
      <c r="D101" s="4">
        <v>0.02</v>
      </c>
      <c r="E101" s="7">
        <v>20.46</v>
      </c>
      <c r="F101" s="6">
        <f t="shared" si="11"/>
        <v>6600</v>
      </c>
      <c r="G101" s="6" t="str">
        <f ca="1"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101" s="23">
        <v>5000</v>
      </c>
      <c r="I101" s="24">
        <v>44021</v>
      </c>
      <c r="J101" s="7">
        <v>22</v>
      </c>
      <c r="K101" s="7">
        <v>21.08</v>
      </c>
      <c r="L101" s="6">
        <f t="shared" si="12"/>
        <v>5000</v>
      </c>
      <c r="M101" s="24">
        <v>44027</v>
      </c>
      <c r="N101" s="7">
        <v>17</v>
      </c>
      <c r="O101" s="7"/>
      <c r="P101" s="7"/>
      <c r="Q101" s="23"/>
      <c r="R101" s="23"/>
      <c r="S101" s="23"/>
      <c r="T101" s="23"/>
      <c r="U101" s="5">
        <f t="shared" si="13"/>
        <v>0.075268817204301</v>
      </c>
      <c r="V101" s="5">
        <f t="shared" si="14"/>
        <v>0.16911045943304</v>
      </c>
      <c r="W101" s="25">
        <f t="shared" si="15"/>
        <v>0.445086705202312</v>
      </c>
      <c r="X101" s="3">
        <f t="shared" si="16"/>
        <v>3099.99999999999</v>
      </c>
      <c r="Y101" s="5">
        <f t="shared" si="17"/>
        <v>0.0303030303030302</v>
      </c>
      <c r="Z101" s="5">
        <f>IF(OR(AE101="",多次统计数据!$B$8=""),"",AE101-多次统计数据!$B$8)</f>
        <v>-0.0955036722305726</v>
      </c>
      <c r="AA101" s="8">
        <f t="shared" si="18"/>
        <v>6</v>
      </c>
      <c r="AB101" s="5">
        <f>IF(OR(A101="",多次统计数据!$B$8="",多次统计数据!$B$6&lt;=0,多次统计数据!$B$6&gt;=1),"",1-POWER(1+多次统计数据!$B$8,-多次统计数据!$B$6/(1-多次统计数据!$B$6)))</f>
        <v>0.0965082919530571</v>
      </c>
      <c r="AC101" s="6" t="str">
        <f>IF(OR(AB101="",多次统计数据!$B$9=""),"",IF(多次统计数据!$B$9&lt;AB101,"低于上限","达到或超过上限"))</f>
        <v>低于上限</v>
      </c>
      <c r="AD101" s="23"/>
      <c r="AE101" s="5">
        <f t="shared" si="19"/>
        <v>0.00270629379176203</v>
      </c>
      <c r="AG101" s="23" t="s">
        <v>48</v>
      </c>
      <c r="AH101" s="23" t="s">
        <v>49</v>
      </c>
      <c r="AI101" s="23" t="s">
        <v>50</v>
      </c>
      <c r="AJ101" s="6" t="str">
        <f t="shared" si="20"/>
        <v>匹配</v>
      </c>
      <c r="AK101" s="26">
        <f>IF(A101="","",COUNTIFS(加仓管理!$A$2:$A$1001,A101,加仓管理!$G$2:$G$1001,"&gt;0"))</f>
        <v>0</v>
      </c>
      <c r="AL101" s="26">
        <f>IF(A101="","",SUMIFS(加仓管理!$G$2:$G$1001,加仓管理!$A$2:$A$1001,A101))</f>
        <v>0</v>
      </c>
      <c r="AM101" s="27" t="str">
        <f>IF(AK101=0,"",IFERROR(LOOKUP(2,1/((加仓管理!$A$2:$A$1001=A101)*(加仓管理!$G$2:$G$1001&gt;0)),加仓管理!$D$2:$D$1001),""))</f>
        <v/>
      </c>
      <c r="AN101" s="27" t="str">
        <f>IF(AK101=0,"",IFERROR(LOOKUP(2,1/((加仓管理!$A$2:$A$1001=A101)*(加仓管理!$G$2:$G$1001&gt;0)),加仓管理!$E$2:$E$1001),""))</f>
        <v/>
      </c>
      <c r="AO101" s="27">
        <f>IF(OR(A101="",H101="",H101&lt;=0),"",(E101*H101+SUMIFS(加仓管理!$H$2:$H$1001,加仓管理!$A$2:$A$1001,A101))/AP101)</f>
        <v>20.46</v>
      </c>
      <c r="AP101" s="26">
        <f t="shared" si="21"/>
        <v>5000</v>
      </c>
      <c r="AQ101" s="27">
        <f>IF(A101="","",IF(M101&lt;&gt;"",0,IF(OR(H101="",N101=""),"",MAX((E101*H101+SUMIFS(加仓管理!$H$2:$H$1001,加仓管理!$A$2:$A$1001,A101))-MAX(N101,AN101)*AP101,0))))</f>
        <v>0</v>
      </c>
      <c r="AR101" s="27" t="str">
        <f ca="1"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>通过</v>
      </c>
    </row>
    <row r="102" ht="17" spans="1:44">
      <c r="A102" s="23"/>
      <c r="B102" s="10"/>
      <c r="C102" s="7"/>
      <c r="D102" s="4"/>
      <c r="E102" s="7"/>
      <c r="F102" s="6" t="str">
        <f t="shared" si="11"/>
        <v/>
      </c>
      <c r="G102" s="6" t="str">
        <f ca="1"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2" s="23"/>
      <c r="I102" s="24"/>
      <c r="J102" s="7"/>
      <c r="K102" s="40"/>
      <c r="L102" s="6" t="str">
        <f t="shared" si="12"/>
        <v/>
      </c>
      <c r="M102" s="24"/>
      <c r="N102" s="7"/>
      <c r="O102" s="7"/>
      <c r="P102" s="7"/>
      <c r="Q102" s="23"/>
      <c r="R102" s="23"/>
      <c r="S102" s="23"/>
      <c r="T102" s="23"/>
      <c r="U102" s="5" t="str">
        <f t="shared" si="13"/>
        <v/>
      </c>
      <c r="V102" s="5" t="str">
        <f t="shared" si="14"/>
        <v/>
      </c>
      <c r="W102" s="25" t="str">
        <f t="shared" si="15"/>
        <v/>
      </c>
      <c r="X102" s="3" t="str">
        <f t="shared" si="16"/>
        <v/>
      </c>
      <c r="Y102" s="5" t="str">
        <f t="shared" si="17"/>
        <v/>
      </c>
      <c r="Z102" s="5" t="str">
        <f>IF(OR(AE102="",多次统计数据!$B$8=""),"",AE102-多次统计数据!$B$8)</f>
        <v/>
      </c>
      <c r="AA102" s="8" t="str">
        <f t="shared" si="18"/>
        <v/>
      </c>
      <c r="AB102" s="5" t="str">
        <f>IF(OR(A102="",多次统计数据!$B$8="",多次统计数据!$B$6&lt;=0,多次统计数据!$B$6&gt;=1),"",1-POWER(1+多次统计数据!$B$8,-多次统计数据!$B$6/(1-多次统计数据!$B$6)))</f>
        <v/>
      </c>
      <c r="AC102" s="6" t="str">
        <f>IF(OR(AB102="",多次统计数据!$B$9=""),"",IF(多次统计数据!$B$9&lt;AB102,"低于上限","达到或超过上限"))</f>
        <v/>
      </c>
      <c r="AD102" s="23"/>
      <c r="AE102" s="5" t="str">
        <f t="shared" si="19"/>
        <v/>
      </c>
      <c r="AG102" s="23"/>
      <c r="AH102" s="23"/>
      <c r="AI102" s="23"/>
      <c r="AJ102" s="6" t="str">
        <f t="shared" si="20"/>
        <v/>
      </c>
      <c r="AK102" s="26" t="str">
        <f>IF(A102="","",COUNTIFS(加仓管理!$A$2:$A$1001,A102,加仓管理!$G$2:$G$1001,"&gt;0"))</f>
        <v/>
      </c>
      <c r="AL102" s="26" t="str">
        <f>IF(A102="","",SUMIFS(加仓管理!$G$2:$G$1001,加仓管理!$A$2:$A$1001,A102))</f>
        <v/>
      </c>
      <c r="AM102" s="27" t="str">
        <f>IF(AK102=0,"",IFERROR(LOOKUP(2,1/((加仓管理!$A$2:$A$1001=A102)*(加仓管理!$G$2:$G$1001&gt;0)),加仓管理!$D$2:$D$1001),""))</f>
        <v/>
      </c>
      <c r="AN102" s="27" t="str">
        <f>IF(AK102=0,"",IFERROR(LOOKUP(2,1/((加仓管理!$A$2:$A$1001=A102)*(加仓管理!$G$2:$G$1001&gt;0)),加仓管理!$E$2:$E$1001),""))</f>
        <v/>
      </c>
      <c r="AO102" s="27" t="str">
        <f>IF(OR(A102="",H102="",H102&lt;=0),"",(E102*H102+SUMIFS(加仓管理!$H$2:$H$1001,加仓管理!$A$2:$A$1001,A102))/AP102)</f>
        <v/>
      </c>
      <c r="AP102" s="26" t="str">
        <f t="shared" si="21"/>
        <v/>
      </c>
      <c r="AQ102" s="27" t="str">
        <f>IF(A102="","",IF(M102&lt;&gt;"",0,IF(OR(H102="",N102=""),"",MAX((E102*H102+SUMIFS(加仓管理!$H$2:$H$1001,加仓管理!$A$2:$A$1001,A102))-MAX(N102,AN102)*AP102,0))))</f>
        <v/>
      </c>
      <c r="AR102" s="27" t="str">
        <f ca="1"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/>
      </c>
    </row>
    <row r="103" ht="17" spans="1:44">
      <c r="A103" s="23"/>
      <c r="B103" s="10"/>
      <c r="C103" s="7"/>
      <c r="D103" s="4"/>
      <c r="E103" s="7"/>
      <c r="F103" s="6" t="str">
        <f t="shared" si="11"/>
        <v/>
      </c>
      <c r="G103" s="6" t="str">
        <f ca="1"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3" s="23"/>
      <c r="I103" s="24"/>
      <c r="J103" s="7"/>
      <c r="K103" s="7"/>
      <c r="L103" s="6" t="str">
        <f t="shared" si="12"/>
        <v/>
      </c>
      <c r="M103" s="24"/>
      <c r="N103" s="7"/>
      <c r="O103" s="7"/>
      <c r="P103" s="7"/>
      <c r="Q103" s="23"/>
      <c r="R103" s="23"/>
      <c r="S103" s="23"/>
      <c r="T103" s="23"/>
      <c r="U103" s="5" t="str">
        <f t="shared" si="13"/>
        <v/>
      </c>
      <c r="V103" s="5" t="str">
        <f t="shared" si="14"/>
        <v/>
      </c>
      <c r="W103" s="25" t="str">
        <f t="shared" si="15"/>
        <v/>
      </c>
      <c r="X103" s="3" t="str">
        <f t="shared" si="16"/>
        <v/>
      </c>
      <c r="Y103" s="5" t="str">
        <f t="shared" si="17"/>
        <v/>
      </c>
      <c r="Z103" s="5" t="str">
        <f>IF(OR(AE103="",多次统计数据!$B$8=""),"",AE103-多次统计数据!$B$8)</f>
        <v/>
      </c>
      <c r="AA103" s="8" t="str">
        <f t="shared" si="18"/>
        <v/>
      </c>
      <c r="AB103" s="5" t="str">
        <f>IF(OR(A103="",多次统计数据!$B$8="",多次统计数据!$B$6&lt;=0,多次统计数据!$B$6&gt;=1),"",1-POWER(1+多次统计数据!$B$8,-多次统计数据!$B$6/(1-多次统计数据!$B$6)))</f>
        <v/>
      </c>
      <c r="AC103" s="6" t="str">
        <f>IF(OR(AB103="",多次统计数据!$B$9=""),"",IF(多次统计数据!$B$9&lt;AB103,"低于上限","达到或超过上限"))</f>
        <v/>
      </c>
      <c r="AD103" s="23"/>
      <c r="AE103" s="5" t="str">
        <f t="shared" si="19"/>
        <v/>
      </c>
      <c r="AG103" s="23"/>
      <c r="AH103" s="23"/>
      <c r="AI103" s="23"/>
      <c r="AJ103" s="6" t="str">
        <f t="shared" si="20"/>
        <v/>
      </c>
      <c r="AK103" s="26" t="str">
        <f>IF(A103="","",COUNTIFS(加仓管理!$A$2:$A$1001,A103,加仓管理!$G$2:$G$1001,"&gt;0"))</f>
        <v/>
      </c>
      <c r="AL103" s="26" t="str">
        <f>IF(A103="","",SUMIFS(加仓管理!$G$2:$G$1001,加仓管理!$A$2:$A$1001,A103))</f>
        <v/>
      </c>
      <c r="AM103" s="27" t="str">
        <f>IF(AK103=0,"",IFERROR(LOOKUP(2,1/((加仓管理!$A$2:$A$1001=A103)*(加仓管理!$G$2:$G$1001&gt;0)),加仓管理!$D$2:$D$1001),""))</f>
        <v/>
      </c>
      <c r="AN103" s="27" t="str">
        <f>IF(AK103=0,"",IFERROR(LOOKUP(2,1/((加仓管理!$A$2:$A$1001=A103)*(加仓管理!$G$2:$G$1001&gt;0)),加仓管理!$E$2:$E$1001),""))</f>
        <v/>
      </c>
      <c r="AO103" s="27" t="str">
        <f>IF(OR(A103="",H103="",H103&lt;=0),"",(E103*H103+SUMIFS(加仓管理!$H$2:$H$1001,加仓管理!$A$2:$A$1001,A103))/AP103)</f>
        <v/>
      </c>
      <c r="AP103" s="26" t="str">
        <f t="shared" si="21"/>
        <v/>
      </c>
      <c r="AQ103" s="27" t="str">
        <f>IF(A103="","",IF(M103&lt;&gt;"",0,IF(OR(H103="",N103=""),"",MAX((E103*H103+SUMIFS(加仓管理!$H$2:$H$1001,加仓管理!$A$2:$A$1001,A103))-MAX(N103,AN103)*AP103,0))))</f>
        <v/>
      </c>
      <c r="AR103" s="27" t="str">
        <f ca="1"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/>
      </c>
    </row>
    <row r="104" ht="27" customHeight="1" spans="1:44">
      <c r="A104" s="23"/>
      <c r="B104" s="10"/>
      <c r="C104" s="7"/>
      <c r="D104" s="4"/>
      <c r="E104" s="7"/>
      <c r="F104" s="6" t="str">
        <f t="shared" si="11"/>
        <v/>
      </c>
      <c r="G104" s="6" t="str">
        <f ca="1"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4" s="23"/>
      <c r="I104" s="24"/>
      <c r="J104" s="7"/>
      <c r="K104" s="3"/>
      <c r="L104" s="6" t="str">
        <f t="shared" si="12"/>
        <v/>
      </c>
      <c r="M104" s="41"/>
      <c r="N104" s="7"/>
      <c r="O104" s="7"/>
      <c r="P104" s="3"/>
      <c r="Q104" s="23"/>
      <c r="R104" s="23"/>
      <c r="S104" s="23"/>
      <c r="T104" s="23"/>
      <c r="U104" s="5" t="str">
        <f t="shared" si="13"/>
        <v/>
      </c>
      <c r="V104" s="5" t="str">
        <f t="shared" si="14"/>
        <v/>
      </c>
      <c r="W104" s="25" t="str">
        <f t="shared" si="15"/>
        <v/>
      </c>
      <c r="X104" s="3" t="str">
        <f t="shared" si="16"/>
        <v/>
      </c>
      <c r="Y104" s="5" t="str">
        <f t="shared" si="17"/>
        <v/>
      </c>
      <c r="Z104" s="5" t="str">
        <f>IF(OR(AE104="",多次统计数据!$B$8=""),"",AE104-多次统计数据!$B$8)</f>
        <v/>
      </c>
      <c r="AA104" s="8" t="str">
        <f t="shared" si="18"/>
        <v/>
      </c>
      <c r="AB104" s="5" t="str">
        <f>IF(OR(A104="",多次统计数据!$B$8="",多次统计数据!$B$6&lt;=0,多次统计数据!$B$6&gt;=1),"",1-POWER(1+多次统计数据!$B$8,-多次统计数据!$B$6/(1-多次统计数据!$B$6)))</f>
        <v/>
      </c>
      <c r="AC104" s="6" t="str">
        <f>IF(OR(AB104="",多次统计数据!$B$9=""),"",IF(多次统计数据!$B$9&lt;AB104,"低于上限","达到或超过上限"))</f>
        <v/>
      </c>
      <c r="AD104" s="23"/>
      <c r="AE104" s="5" t="str">
        <f t="shared" si="19"/>
        <v/>
      </c>
      <c r="AF104" s="39"/>
      <c r="AG104" s="23"/>
      <c r="AH104" s="23"/>
      <c r="AI104" s="10"/>
      <c r="AJ104" s="6" t="str">
        <f t="shared" si="20"/>
        <v/>
      </c>
      <c r="AK104" s="26" t="str">
        <f>IF(A104="","",COUNTIFS(加仓管理!$A$2:$A$1001,A104,加仓管理!$G$2:$G$1001,"&gt;0"))</f>
        <v/>
      </c>
      <c r="AL104" s="26" t="str">
        <f>IF(A104="","",SUMIFS(加仓管理!$G$2:$G$1001,加仓管理!$A$2:$A$1001,A104))</f>
        <v/>
      </c>
      <c r="AM104" s="27" t="str">
        <f>IF(AK104=0,"",IFERROR(LOOKUP(2,1/((加仓管理!$A$2:$A$1001=A104)*(加仓管理!$G$2:$G$1001&gt;0)),加仓管理!$D$2:$D$1001),""))</f>
        <v/>
      </c>
      <c r="AN104" s="27" t="str">
        <f>IF(AK104=0,"",IFERROR(LOOKUP(2,1/((加仓管理!$A$2:$A$1001=A104)*(加仓管理!$G$2:$G$1001&gt;0)),加仓管理!$E$2:$E$1001),""))</f>
        <v/>
      </c>
      <c r="AO104" s="27" t="str">
        <f>IF(OR(A104="",H104="",H104&lt;=0),"",(E104*H104+SUMIFS(加仓管理!$H$2:$H$1001,加仓管理!$A$2:$A$1001,A104))/AP104)</f>
        <v/>
      </c>
      <c r="AP104" s="26" t="str">
        <f t="shared" si="21"/>
        <v/>
      </c>
      <c r="AQ104" s="27" t="str">
        <f>IF(A104="","",IF(M104&lt;&gt;"",0,IF(OR(H104="",N104=""),"",MAX((E104*H104+SUMIFS(加仓管理!$H$2:$H$1001,加仓管理!$A$2:$A$1001,A104))-MAX(N104,AN104)*AP104,0))))</f>
        <v/>
      </c>
      <c r="AR104" s="27" t="str">
        <f ca="1"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/>
      </c>
    </row>
    <row r="105" ht="17" spans="1:44">
      <c r="A105" s="23"/>
      <c r="B105" s="10"/>
      <c r="C105" s="7"/>
      <c r="D105" s="4"/>
      <c r="E105" s="7"/>
      <c r="F105" s="6" t="str">
        <f t="shared" si="11"/>
        <v/>
      </c>
      <c r="G105" s="6" t="str">
        <f ca="1"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5" s="23"/>
      <c r="I105" s="24"/>
      <c r="J105" s="7"/>
      <c r="K105" s="3"/>
      <c r="L105" s="6" t="str">
        <f t="shared" si="12"/>
        <v/>
      </c>
      <c r="M105" s="41"/>
      <c r="N105" s="7"/>
      <c r="O105" s="7"/>
      <c r="P105" s="3"/>
      <c r="Q105" s="23"/>
      <c r="R105" s="23"/>
      <c r="S105" s="23"/>
      <c r="T105" s="23"/>
      <c r="U105" s="5" t="str">
        <f t="shared" si="13"/>
        <v/>
      </c>
      <c r="V105" s="5" t="str">
        <f t="shared" si="14"/>
        <v/>
      </c>
      <c r="W105" s="25" t="str">
        <f t="shared" si="15"/>
        <v/>
      </c>
      <c r="X105" s="3" t="str">
        <f t="shared" si="16"/>
        <v/>
      </c>
      <c r="Y105" s="5" t="str">
        <f t="shared" si="17"/>
        <v/>
      </c>
      <c r="Z105" s="5" t="str">
        <f>IF(OR(AE105="",多次统计数据!$B$8=""),"",AE105-多次统计数据!$B$8)</f>
        <v/>
      </c>
      <c r="AA105" s="8" t="str">
        <f t="shared" si="18"/>
        <v/>
      </c>
      <c r="AB105" s="5" t="str">
        <f>IF(OR(A105="",多次统计数据!$B$8="",多次统计数据!$B$6&lt;=0,多次统计数据!$B$6&gt;=1),"",1-POWER(1+多次统计数据!$B$8,-多次统计数据!$B$6/(1-多次统计数据!$B$6)))</f>
        <v/>
      </c>
      <c r="AC105" s="6" t="str">
        <f>IF(OR(AB105="",多次统计数据!$B$9=""),"",IF(多次统计数据!$B$9&lt;AB105,"低于上限","达到或超过上限"))</f>
        <v/>
      </c>
      <c r="AD105" s="23"/>
      <c r="AE105" s="5" t="str">
        <f t="shared" si="19"/>
        <v/>
      </c>
      <c r="AG105" s="23"/>
      <c r="AH105" s="23"/>
      <c r="AI105" s="10"/>
      <c r="AJ105" s="6" t="str">
        <f t="shared" si="20"/>
        <v/>
      </c>
      <c r="AK105" s="26" t="str">
        <f>IF(A105="","",COUNTIFS(加仓管理!$A$2:$A$1001,A105,加仓管理!$G$2:$G$1001,"&gt;0"))</f>
        <v/>
      </c>
      <c r="AL105" s="26" t="str">
        <f>IF(A105="","",SUMIFS(加仓管理!$G$2:$G$1001,加仓管理!$A$2:$A$1001,A105))</f>
        <v/>
      </c>
      <c r="AM105" s="27" t="str">
        <f>IF(AK105=0,"",IFERROR(LOOKUP(2,1/((加仓管理!$A$2:$A$1001=A105)*(加仓管理!$G$2:$G$1001&gt;0)),加仓管理!$D$2:$D$1001),""))</f>
        <v/>
      </c>
      <c r="AN105" s="27" t="str">
        <f>IF(AK105=0,"",IFERROR(LOOKUP(2,1/((加仓管理!$A$2:$A$1001=A105)*(加仓管理!$G$2:$G$1001&gt;0)),加仓管理!$E$2:$E$1001),""))</f>
        <v/>
      </c>
      <c r="AO105" s="27" t="str">
        <f>IF(OR(A105="",H105="",H105&lt;=0),"",(E105*H105+SUMIFS(加仓管理!$H$2:$H$1001,加仓管理!$A$2:$A$1001,A105))/AP105)</f>
        <v/>
      </c>
      <c r="AP105" s="26" t="str">
        <f t="shared" si="21"/>
        <v/>
      </c>
      <c r="AQ105" s="27" t="str">
        <f>IF(A105="","",IF(M105&lt;&gt;"",0,IF(OR(H105="",N105=""),"",MAX((E105*H105+SUMIFS(加仓管理!$H$2:$H$1001,加仓管理!$A$2:$A$1001,A105))-MAX(N105,AN105)*AP105,0))))</f>
        <v/>
      </c>
      <c r="AR105" s="27" t="str">
        <f ca="1"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/>
      </c>
    </row>
    <row r="106" ht="27" customHeight="1" spans="1:44">
      <c r="A106" s="23"/>
      <c r="B106" s="10"/>
      <c r="C106" s="7"/>
      <c r="D106" s="4"/>
      <c r="E106" s="7"/>
      <c r="F106" s="6" t="str">
        <f t="shared" si="11"/>
        <v/>
      </c>
      <c r="G106" s="6" t="str">
        <f ca="1"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6" s="23"/>
      <c r="I106" s="24"/>
      <c r="J106" s="7"/>
      <c r="K106" s="3"/>
      <c r="L106" s="6" t="str">
        <f t="shared" si="12"/>
        <v/>
      </c>
      <c r="M106" s="41"/>
      <c r="N106" s="7"/>
      <c r="O106" s="7"/>
      <c r="P106" s="3"/>
      <c r="Q106" s="23"/>
      <c r="R106" s="23"/>
      <c r="S106" s="23"/>
      <c r="T106" s="23"/>
      <c r="U106" s="5" t="str">
        <f t="shared" si="13"/>
        <v/>
      </c>
      <c r="V106" s="5" t="str">
        <f t="shared" si="14"/>
        <v/>
      </c>
      <c r="W106" s="25" t="str">
        <f t="shared" si="15"/>
        <v/>
      </c>
      <c r="X106" s="3" t="str">
        <f t="shared" si="16"/>
        <v/>
      </c>
      <c r="Y106" s="5" t="str">
        <f t="shared" si="17"/>
        <v/>
      </c>
      <c r="Z106" s="5" t="str">
        <f>IF(OR(AE106="",多次统计数据!$B$8=""),"",AE106-多次统计数据!$B$8)</f>
        <v/>
      </c>
      <c r="AA106" s="8" t="str">
        <f t="shared" si="18"/>
        <v/>
      </c>
      <c r="AB106" s="5" t="str">
        <f>IF(OR(A106="",多次统计数据!$B$8="",多次统计数据!$B$6&lt;=0,多次统计数据!$B$6&gt;=1),"",1-POWER(1+多次统计数据!$B$8,-多次统计数据!$B$6/(1-多次统计数据!$B$6)))</f>
        <v/>
      </c>
      <c r="AC106" s="6" t="str">
        <f>IF(OR(AB106="",多次统计数据!$B$9=""),"",IF(多次统计数据!$B$9&lt;AB106,"低于上限","达到或超过上限"))</f>
        <v/>
      </c>
      <c r="AD106" s="23"/>
      <c r="AE106" s="5" t="str">
        <f t="shared" si="19"/>
        <v/>
      </c>
      <c r="AG106" s="23"/>
      <c r="AH106" s="23"/>
      <c r="AI106" s="23"/>
      <c r="AJ106" s="6" t="str">
        <f t="shared" si="20"/>
        <v/>
      </c>
      <c r="AK106" s="26" t="str">
        <f>IF(A106="","",COUNTIFS(加仓管理!$A$2:$A$1001,A106,加仓管理!$G$2:$G$1001,"&gt;0"))</f>
        <v/>
      </c>
      <c r="AL106" s="26" t="str">
        <f>IF(A106="","",SUMIFS(加仓管理!$G$2:$G$1001,加仓管理!$A$2:$A$1001,A106))</f>
        <v/>
      </c>
      <c r="AM106" s="27" t="str">
        <f>IF(AK106=0,"",IFERROR(LOOKUP(2,1/((加仓管理!$A$2:$A$1001=A106)*(加仓管理!$G$2:$G$1001&gt;0)),加仓管理!$D$2:$D$1001),""))</f>
        <v/>
      </c>
      <c r="AN106" s="27" t="str">
        <f>IF(AK106=0,"",IFERROR(LOOKUP(2,1/((加仓管理!$A$2:$A$1001=A106)*(加仓管理!$G$2:$G$1001&gt;0)),加仓管理!$E$2:$E$1001),""))</f>
        <v/>
      </c>
      <c r="AO106" s="27" t="str">
        <f>IF(OR(A106="",H106="",H106&lt;=0),"",(E106*H106+SUMIFS(加仓管理!$H$2:$H$1001,加仓管理!$A$2:$A$1001,A106))/AP106)</f>
        <v/>
      </c>
      <c r="AP106" s="26" t="str">
        <f t="shared" si="21"/>
        <v/>
      </c>
      <c r="AQ106" s="27" t="str">
        <f>IF(A106="","",IF(M106&lt;&gt;"",0,IF(OR(H106="",N106=""),"",MAX((E106*H106+SUMIFS(加仓管理!$H$2:$H$1001,加仓管理!$A$2:$A$1001,A106))-MAX(N106,AN106)*AP106,0))))</f>
        <v/>
      </c>
      <c r="AR106" s="27" t="str">
        <f ca="1"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/>
      </c>
    </row>
    <row r="107" ht="17" spans="1:44">
      <c r="A107" s="23"/>
      <c r="B107" s="10"/>
      <c r="C107" s="7"/>
      <c r="D107" s="4"/>
      <c r="E107" s="7"/>
      <c r="F107" s="6" t="str">
        <f t="shared" si="11"/>
        <v/>
      </c>
      <c r="G107" s="6" t="str">
        <f ca="1"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7" s="23"/>
      <c r="I107" s="24"/>
      <c r="J107" s="7"/>
      <c r="K107" s="3"/>
      <c r="L107" s="6" t="str">
        <f t="shared" si="12"/>
        <v/>
      </c>
      <c r="M107" s="41"/>
      <c r="N107" s="7"/>
      <c r="O107" s="7"/>
      <c r="P107" s="3"/>
      <c r="Q107" s="23"/>
      <c r="R107" s="23"/>
      <c r="S107" s="23"/>
      <c r="T107" s="23"/>
      <c r="U107" s="5" t="str">
        <f t="shared" si="13"/>
        <v/>
      </c>
      <c r="V107" s="5" t="str">
        <f t="shared" si="14"/>
        <v/>
      </c>
      <c r="W107" s="25" t="str">
        <f t="shared" si="15"/>
        <v/>
      </c>
      <c r="X107" s="3" t="str">
        <f t="shared" si="16"/>
        <v/>
      </c>
      <c r="Y107" s="5" t="str">
        <f t="shared" si="17"/>
        <v/>
      </c>
      <c r="Z107" s="5" t="str">
        <f>IF(OR(AE107="",多次统计数据!$B$8=""),"",AE107-多次统计数据!$B$8)</f>
        <v/>
      </c>
      <c r="AA107" s="8" t="str">
        <f t="shared" si="18"/>
        <v/>
      </c>
      <c r="AB107" s="5" t="str">
        <f>IF(OR(A107="",多次统计数据!$B$8="",多次统计数据!$B$6&lt;=0,多次统计数据!$B$6&gt;=1),"",1-POWER(1+多次统计数据!$B$8,-多次统计数据!$B$6/(1-多次统计数据!$B$6)))</f>
        <v/>
      </c>
      <c r="AC107" s="6" t="str">
        <f>IF(OR(AB107="",多次统计数据!$B$9=""),"",IF(多次统计数据!$B$9&lt;AB107,"低于上限","达到或超过上限"))</f>
        <v/>
      </c>
      <c r="AD107" s="23"/>
      <c r="AE107" s="5" t="str">
        <f t="shared" si="19"/>
        <v/>
      </c>
      <c r="AG107" s="23"/>
      <c r="AH107" s="23"/>
      <c r="AI107" s="23"/>
      <c r="AJ107" s="6" t="str">
        <f t="shared" si="20"/>
        <v/>
      </c>
      <c r="AK107" s="26" t="str">
        <f>IF(A107="","",COUNTIFS(加仓管理!$A$2:$A$1001,A107,加仓管理!$G$2:$G$1001,"&gt;0"))</f>
        <v/>
      </c>
      <c r="AL107" s="26" t="str">
        <f>IF(A107="","",SUMIFS(加仓管理!$G$2:$G$1001,加仓管理!$A$2:$A$1001,A107))</f>
        <v/>
      </c>
      <c r="AM107" s="27" t="str">
        <f>IF(AK107=0,"",IFERROR(LOOKUP(2,1/((加仓管理!$A$2:$A$1001=A107)*(加仓管理!$G$2:$G$1001&gt;0)),加仓管理!$D$2:$D$1001),""))</f>
        <v/>
      </c>
      <c r="AN107" s="27" t="str">
        <f>IF(AK107=0,"",IFERROR(LOOKUP(2,1/((加仓管理!$A$2:$A$1001=A107)*(加仓管理!$G$2:$G$1001&gt;0)),加仓管理!$E$2:$E$1001),""))</f>
        <v/>
      </c>
      <c r="AO107" s="27" t="str">
        <f>IF(OR(A107="",H107="",H107&lt;=0),"",(E107*H107+SUMIFS(加仓管理!$H$2:$H$1001,加仓管理!$A$2:$A$1001,A107))/AP107)</f>
        <v/>
      </c>
      <c r="AP107" s="26" t="str">
        <f t="shared" si="21"/>
        <v/>
      </c>
      <c r="AQ107" s="27" t="str">
        <f>IF(A107="","",IF(M107&lt;&gt;"",0,IF(OR(H107="",N107=""),"",MAX((E107*H107+SUMIFS(加仓管理!$H$2:$H$1001,加仓管理!$A$2:$A$1001,A107))-MAX(N107,AN107)*AP107,0))))</f>
        <v/>
      </c>
      <c r="AR107" s="27" t="str">
        <f ca="1"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/>
      </c>
    </row>
    <row r="108" ht="17" spans="1:44">
      <c r="A108" s="23"/>
      <c r="B108" s="23"/>
      <c r="C108" s="7"/>
      <c r="D108" s="4"/>
      <c r="E108" s="7"/>
      <c r="F108" s="6" t="str">
        <f t="shared" si="11"/>
        <v/>
      </c>
      <c r="G108" s="6" t="str">
        <f ca="1"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8" s="23"/>
      <c r="I108" s="24"/>
      <c r="J108" s="7"/>
      <c r="K108" s="3"/>
      <c r="L108" s="6" t="str">
        <f t="shared" si="12"/>
        <v/>
      </c>
      <c r="M108" s="41"/>
      <c r="N108" s="7"/>
      <c r="O108" s="7"/>
      <c r="P108" s="3"/>
      <c r="Q108" s="23"/>
      <c r="R108" s="23"/>
      <c r="S108" s="23"/>
      <c r="T108" s="23"/>
      <c r="U108" s="5" t="str">
        <f t="shared" si="13"/>
        <v/>
      </c>
      <c r="V108" s="5" t="str">
        <f t="shared" si="14"/>
        <v/>
      </c>
      <c r="W108" s="25" t="str">
        <f t="shared" si="15"/>
        <v/>
      </c>
      <c r="X108" s="3" t="str">
        <f t="shared" si="16"/>
        <v/>
      </c>
      <c r="Y108" s="5" t="str">
        <f t="shared" si="17"/>
        <v/>
      </c>
      <c r="Z108" s="5" t="str">
        <f>IF(OR(AE108="",多次统计数据!$B$8=""),"",AE108-多次统计数据!$B$8)</f>
        <v/>
      </c>
      <c r="AA108" s="8" t="str">
        <f t="shared" si="18"/>
        <v/>
      </c>
      <c r="AB108" s="5" t="str">
        <f>IF(OR(A108="",多次统计数据!$B$8="",多次统计数据!$B$6&lt;=0,多次统计数据!$B$6&gt;=1),"",1-POWER(1+多次统计数据!$B$8,-多次统计数据!$B$6/(1-多次统计数据!$B$6)))</f>
        <v/>
      </c>
      <c r="AC108" s="6" t="str">
        <f>IF(OR(AB108="",多次统计数据!$B$9=""),"",IF(多次统计数据!$B$9&lt;AB108,"低于上限","达到或超过上限"))</f>
        <v/>
      </c>
      <c r="AD108" s="23"/>
      <c r="AE108" s="5" t="str">
        <f t="shared" si="19"/>
        <v/>
      </c>
      <c r="AG108" s="23"/>
      <c r="AH108" s="23"/>
      <c r="AI108" s="23"/>
      <c r="AJ108" s="6" t="str">
        <f t="shared" si="20"/>
        <v/>
      </c>
      <c r="AK108" s="26" t="str">
        <f>IF(A108="","",COUNTIFS(加仓管理!$A$2:$A$1001,A108,加仓管理!$G$2:$G$1001,"&gt;0"))</f>
        <v/>
      </c>
      <c r="AL108" s="26" t="str">
        <f>IF(A108="","",SUMIFS(加仓管理!$G$2:$G$1001,加仓管理!$A$2:$A$1001,A108))</f>
        <v/>
      </c>
      <c r="AM108" s="27" t="str">
        <f>IF(AK108=0,"",IFERROR(LOOKUP(2,1/((加仓管理!$A$2:$A$1001=A108)*(加仓管理!$G$2:$G$1001&gt;0)),加仓管理!$D$2:$D$1001),""))</f>
        <v/>
      </c>
      <c r="AN108" s="27" t="str">
        <f>IF(AK108=0,"",IFERROR(LOOKUP(2,1/((加仓管理!$A$2:$A$1001=A108)*(加仓管理!$G$2:$G$1001&gt;0)),加仓管理!$E$2:$E$1001),""))</f>
        <v/>
      </c>
      <c r="AO108" s="27" t="str">
        <f>IF(OR(A108="",H108="",H108&lt;=0),"",(E108*H108+SUMIFS(加仓管理!$H$2:$H$1001,加仓管理!$A$2:$A$1001,A108))/AP108)</f>
        <v/>
      </c>
      <c r="AP108" s="26" t="str">
        <f t="shared" si="21"/>
        <v/>
      </c>
      <c r="AQ108" s="27" t="str">
        <f>IF(A108="","",IF(M108&lt;&gt;"",0,IF(OR(H108="",N108=""),"",MAX((E108*H108+SUMIFS(加仓管理!$H$2:$H$1001,加仓管理!$A$2:$A$1001,A108))-MAX(N108,AN108)*AP108,0))))</f>
        <v/>
      </c>
      <c r="AR108" s="27" t="str">
        <f ca="1"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/>
      </c>
    </row>
    <row r="109" ht="17" spans="1:44">
      <c r="A109" s="23"/>
      <c r="B109" s="23"/>
      <c r="C109" s="7"/>
      <c r="D109" s="4"/>
      <c r="E109" s="7"/>
      <c r="F109" s="6" t="str">
        <f t="shared" si="11"/>
        <v/>
      </c>
      <c r="G109" s="6" t="str">
        <f ca="1"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9" s="23"/>
      <c r="I109" s="24"/>
      <c r="J109" s="7"/>
      <c r="K109" s="3"/>
      <c r="L109" s="6" t="str">
        <f t="shared" si="12"/>
        <v/>
      </c>
      <c r="M109" s="41"/>
      <c r="N109" s="7"/>
      <c r="O109" s="7"/>
      <c r="P109" s="3"/>
      <c r="Q109" s="23"/>
      <c r="R109" s="23"/>
      <c r="S109" s="23"/>
      <c r="T109" s="23"/>
      <c r="U109" s="5" t="str">
        <f t="shared" si="13"/>
        <v/>
      </c>
      <c r="V109" s="5" t="str">
        <f t="shared" si="14"/>
        <v/>
      </c>
      <c r="W109" s="25" t="str">
        <f t="shared" si="15"/>
        <v/>
      </c>
      <c r="X109" s="3" t="str">
        <f t="shared" si="16"/>
        <v/>
      </c>
      <c r="Y109" s="5" t="str">
        <f t="shared" si="17"/>
        <v/>
      </c>
      <c r="Z109" s="5" t="str">
        <f>IF(OR(AE109="",多次统计数据!$B$8=""),"",AE109-多次统计数据!$B$8)</f>
        <v/>
      </c>
      <c r="AA109" s="8" t="str">
        <f t="shared" si="18"/>
        <v/>
      </c>
      <c r="AB109" s="5" t="str">
        <f>IF(OR(A109="",多次统计数据!$B$8="",多次统计数据!$B$6&lt;=0,多次统计数据!$B$6&gt;=1),"",1-POWER(1+多次统计数据!$B$8,-多次统计数据!$B$6/(1-多次统计数据!$B$6)))</f>
        <v/>
      </c>
      <c r="AC109" s="6" t="str">
        <f>IF(OR(AB109="",多次统计数据!$B$9=""),"",IF(多次统计数据!$B$9&lt;AB109,"低于上限","达到或超过上限"))</f>
        <v/>
      </c>
      <c r="AD109" s="23"/>
      <c r="AE109" s="5" t="str">
        <f t="shared" si="19"/>
        <v/>
      </c>
      <c r="AG109" s="23"/>
      <c r="AH109" s="23"/>
      <c r="AI109" s="23"/>
      <c r="AJ109" s="6" t="str">
        <f t="shared" si="20"/>
        <v/>
      </c>
      <c r="AK109" s="26" t="str">
        <f>IF(A109="","",COUNTIFS(加仓管理!$A$2:$A$1001,A109,加仓管理!$G$2:$G$1001,"&gt;0"))</f>
        <v/>
      </c>
      <c r="AL109" s="26" t="str">
        <f>IF(A109="","",SUMIFS(加仓管理!$G$2:$G$1001,加仓管理!$A$2:$A$1001,A109))</f>
        <v/>
      </c>
      <c r="AM109" s="27" t="str">
        <f>IF(AK109=0,"",IFERROR(LOOKUP(2,1/((加仓管理!$A$2:$A$1001=A109)*(加仓管理!$G$2:$G$1001&gt;0)),加仓管理!$D$2:$D$1001),""))</f>
        <v/>
      </c>
      <c r="AN109" s="27" t="str">
        <f>IF(AK109=0,"",IFERROR(LOOKUP(2,1/((加仓管理!$A$2:$A$1001=A109)*(加仓管理!$G$2:$G$1001&gt;0)),加仓管理!$E$2:$E$1001),""))</f>
        <v/>
      </c>
      <c r="AO109" s="27" t="str">
        <f>IF(OR(A109="",H109="",H109&lt;=0),"",(E109*H109+SUMIFS(加仓管理!$H$2:$H$1001,加仓管理!$A$2:$A$1001,A109))/AP109)</f>
        <v/>
      </c>
      <c r="AP109" s="26" t="str">
        <f t="shared" si="21"/>
        <v/>
      </c>
      <c r="AQ109" s="27" t="str">
        <f>IF(A109="","",IF(M109&lt;&gt;"",0,IF(OR(H109="",N109=""),"",MAX((E109*H109+SUMIFS(加仓管理!$H$2:$H$1001,加仓管理!$A$2:$A$1001,A109))-MAX(N109,AN109)*AP109,0))))</f>
        <v/>
      </c>
      <c r="AR109" s="27" t="str">
        <f ca="1"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/>
      </c>
    </row>
    <row r="110" ht="17" spans="1:44">
      <c r="A110" s="23"/>
      <c r="B110" s="23"/>
      <c r="C110" s="7"/>
      <c r="D110" s="4"/>
      <c r="E110" s="7"/>
      <c r="F110" s="6" t="str">
        <f t="shared" si="11"/>
        <v/>
      </c>
      <c r="G110" s="6" t="str">
        <f ca="1"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0" s="23"/>
      <c r="I110" s="24"/>
      <c r="J110" s="7"/>
      <c r="K110" s="3"/>
      <c r="L110" s="6" t="str">
        <f t="shared" si="12"/>
        <v/>
      </c>
      <c r="M110" s="41"/>
      <c r="N110" s="7"/>
      <c r="O110" s="7"/>
      <c r="P110" s="3"/>
      <c r="Q110" s="23"/>
      <c r="R110" s="23"/>
      <c r="S110" s="23"/>
      <c r="T110" s="23"/>
      <c r="U110" s="5" t="str">
        <f t="shared" si="13"/>
        <v/>
      </c>
      <c r="V110" s="5" t="str">
        <f t="shared" si="14"/>
        <v/>
      </c>
      <c r="W110" s="25" t="str">
        <f t="shared" si="15"/>
        <v/>
      </c>
      <c r="X110" s="3" t="str">
        <f t="shared" si="16"/>
        <v/>
      </c>
      <c r="Y110" s="5" t="str">
        <f t="shared" si="17"/>
        <v/>
      </c>
      <c r="Z110" s="5" t="str">
        <f>IF(OR(AE110="",多次统计数据!$B$8=""),"",AE110-多次统计数据!$B$8)</f>
        <v/>
      </c>
      <c r="AA110" s="8" t="str">
        <f t="shared" si="18"/>
        <v/>
      </c>
      <c r="AB110" s="5" t="str">
        <f>IF(OR(A110="",多次统计数据!$B$8="",多次统计数据!$B$6&lt;=0,多次统计数据!$B$6&gt;=1),"",1-POWER(1+多次统计数据!$B$8,-多次统计数据!$B$6/(1-多次统计数据!$B$6)))</f>
        <v/>
      </c>
      <c r="AC110" s="6" t="str">
        <f>IF(OR(AB110="",多次统计数据!$B$9=""),"",IF(多次统计数据!$B$9&lt;AB110,"低于上限","达到或超过上限"))</f>
        <v/>
      </c>
      <c r="AD110" s="23"/>
      <c r="AE110" s="5" t="str">
        <f t="shared" si="19"/>
        <v/>
      </c>
      <c r="AG110" s="23"/>
      <c r="AH110" s="23"/>
      <c r="AI110" s="23"/>
      <c r="AJ110" s="6" t="str">
        <f t="shared" si="20"/>
        <v/>
      </c>
      <c r="AK110" s="26" t="str">
        <f>IF(A110="","",COUNTIFS(加仓管理!$A$2:$A$1001,A110,加仓管理!$G$2:$G$1001,"&gt;0"))</f>
        <v/>
      </c>
      <c r="AL110" s="26" t="str">
        <f>IF(A110="","",SUMIFS(加仓管理!$G$2:$G$1001,加仓管理!$A$2:$A$1001,A110))</f>
        <v/>
      </c>
      <c r="AM110" s="27" t="str">
        <f>IF(AK110=0,"",IFERROR(LOOKUP(2,1/((加仓管理!$A$2:$A$1001=A110)*(加仓管理!$G$2:$G$1001&gt;0)),加仓管理!$D$2:$D$1001),""))</f>
        <v/>
      </c>
      <c r="AN110" s="27" t="str">
        <f>IF(AK110=0,"",IFERROR(LOOKUP(2,1/((加仓管理!$A$2:$A$1001=A110)*(加仓管理!$G$2:$G$1001&gt;0)),加仓管理!$E$2:$E$1001),""))</f>
        <v/>
      </c>
      <c r="AO110" s="27" t="str">
        <f>IF(OR(A110="",H110="",H110&lt;=0),"",(E110*H110+SUMIFS(加仓管理!$H$2:$H$1001,加仓管理!$A$2:$A$1001,A110))/AP110)</f>
        <v/>
      </c>
      <c r="AP110" s="26" t="str">
        <f t="shared" si="21"/>
        <v/>
      </c>
      <c r="AQ110" s="27" t="str">
        <f>IF(A110="","",IF(M110&lt;&gt;"",0,IF(OR(H110="",N110=""),"",MAX((E110*H110+SUMIFS(加仓管理!$H$2:$H$1001,加仓管理!$A$2:$A$1001,A110))-MAX(N110,AN110)*AP110,0))))</f>
        <v/>
      </c>
      <c r="AR110" s="27" t="str">
        <f ca="1"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/>
      </c>
    </row>
    <row r="111" ht="17" spans="1:44">
      <c r="A111" s="23"/>
      <c r="B111" s="23"/>
      <c r="C111" s="7"/>
      <c r="D111" s="4"/>
      <c r="E111" s="7"/>
      <c r="F111" s="6" t="str">
        <f t="shared" si="11"/>
        <v/>
      </c>
      <c r="G111" s="6" t="str">
        <f ca="1"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23"/>
      <c r="I111" s="24"/>
      <c r="J111" s="7"/>
      <c r="K111" s="3"/>
      <c r="L111" s="6" t="str">
        <f t="shared" si="12"/>
        <v/>
      </c>
      <c r="M111" s="41"/>
      <c r="N111" s="7"/>
      <c r="O111" s="7"/>
      <c r="P111" s="3"/>
      <c r="Q111" s="23"/>
      <c r="R111" s="23"/>
      <c r="S111" s="23"/>
      <c r="T111" s="23"/>
      <c r="U111" s="5" t="str">
        <f t="shared" si="13"/>
        <v/>
      </c>
      <c r="V111" s="5" t="str">
        <f t="shared" si="14"/>
        <v/>
      </c>
      <c r="W111" s="25" t="str">
        <f t="shared" si="15"/>
        <v/>
      </c>
      <c r="X111" s="3" t="str">
        <f t="shared" si="16"/>
        <v/>
      </c>
      <c r="Y111" s="5" t="str">
        <f t="shared" si="17"/>
        <v/>
      </c>
      <c r="Z111" s="5" t="str">
        <f>IF(OR(AE111="",多次统计数据!$B$8=""),"",AE111-多次统计数据!$B$8)</f>
        <v/>
      </c>
      <c r="AA111" s="8" t="str">
        <f t="shared" si="18"/>
        <v/>
      </c>
      <c r="AB111" s="5" t="str">
        <f>IF(OR(A111="",多次统计数据!$B$8="",多次统计数据!$B$6&lt;=0,多次统计数据!$B$6&gt;=1),"",1-POWER(1+多次统计数据!$B$8,-多次统计数据!$B$6/(1-多次统计数据!$B$6)))</f>
        <v/>
      </c>
      <c r="AC111" s="6" t="str">
        <f>IF(OR(AB111="",多次统计数据!$B$9=""),"",IF(多次统计数据!$B$9&lt;AB111,"低于上限","达到或超过上限"))</f>
        <v/>
      </c>
      <c r="AD111" s="23"/>
      <c r="AE111" s="5" t="str">
        <f t="shared" si="19"/>
        <v/>
      </c>
      <c r="AG111" s="23"/>
      <c r="AH111" s="23"/>
      <c r="AI111" s="23"/>
      <c r="AJ111" s="6" t="str">
        <f t="shared" si="20"/>
        <v/>
      </c>
      <c r="AK111" s="26" t="str">
        <f>IF(A111="","",COUNTIFS(加仓管理!$A$2:$A$1001,A111,加仓管理!$G$2:$G$1001,"&gt;0"))</f>
        <v/>
      </c>
      <c r="AL111" s="26" t="str">
        <f>IF(A111="","",SUMIFS(加仓管理!$G$2:$G$1001,加仓管理!$A$2:$A$1001,A111))</f>
        <v/>
      </c>
      <c r="AM111" s="27" t="str">
        <f>IF(AK111=0,"",IFERROR(LOOKUP(2,1/((加仓管理!$A$2:$A$1001=A111)*(加仓管理!$G$2:$G$1001&gt;0)),加仓管理!$D$2:$D$1001),""))</f>
        <v/>
      </c>
      <c r="AN111" s="27" t="str">
        <f>IF(AK111=0,"",IFERROR(LOOKUP(2,1/((加仓管理!$A$2:$A$1001=A111)*(加仓管理!$G$2:$G$1001&gt;0)),加仓管理!$E$2:$E$1001),""))</f>
        <v/>
      </c>
      <c r="AO111" s="27" t="str">
        <f>IF(OR(A111="",H111="",H111&lt;=0),"",(E111*H111+SUMIFS(加仓管理!$H$2:$H$1001,加仓管理!$A$2:$A$1001,A111))/AP111)</f>
        <v/>
      </c>
      <c r="AP111" s="26" t="str">
        <f t="shared" si="21"/>
        <v/>
      </c>
      <c r="AQ111" s="27" t="str">
        <f>IF(A111="","",IF(M111&lt;&gt;"",0,IF(OR(H111="",N111=""),"",MAX((E111*H111+SUMIFS(加仓管理!$H$2:$H$1001,加仓管理!$A$2:$A$1001,A111))-MAX(N111,AN111)*AP111,0))))</f>
        <v/>
      </c>
      <c r="AR111" s="27" t="str">
        <f ca="1"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ht="17" spans="1:44">
      <c r="A112" s="23"/>
      <c r="B112" s="23"/>
      <c r="C112" s="7"/>
      <c r="D112" s="4"/>
      <c r="E112" s="7"/>
      <c r="F112" s="6" t="str">
        <f t="shared" si="11"/>
        <v/>
      </c>
      <c r="G112" s="6" t="str">
        <f ca="1"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23"/>
      <c r="I112" s="24"/>
      <c r="J112" s="7"/>
      <c r="K112" s="3"/>
      <c r="L112" s="6" t="str">
        <f t="shared" si="12"/>
        <v/>
      </c>
      <c r="M112" s="41"/>
      <c r="N112" s="7"/>
      <c r="O112" s="7"/>
      <c r="P112" s="3"/>
      <c r="Q112" s="23"/>
      <c r="R112" s="23"/>
      <c r="S112" s="23"/>
      <c r="T112" s="23"/>
      <c r="U112" s="5" t="str">
        <f t="shared" si="13"/>
        <v/>
      </c>
      <c r="V112" s="5" t="str">
        <f t="shared" si="14"/>
        <v/>
      </c>
      <c r="W112" s="25" t="str">
        <f t="shared" si="15"/>
        <v/>
      </c>
      <c r="X112" s="3" t="str">
        <f t="shared" si="16"/>
        <v/>
      </c>
      <c r="Y112" s="5" t="str">
        <f t="shared" si="17"/>
        <v/>
      </c>
      <c r="Z112" s="5" t="str">
        <f>IF(OR(AE112="",多次统计数据!$B$8=""),"",AE112-多次统计数据!$B$8)</f>
        <v/>
      </c>
      <c r="AA112" s="8" t="str">
        <f t="shared" si="18"/>
        <v/>
      </c>
      <c r="AB112" s="5" t="str">
        <f>IF(OR(A112="",多次统计数据!$B$8="",多次统计数据!$B$6&lt;=0,多次统计数据!$B$6&gt;=1),"",1-POWER(1+多次统计数据!$B$8,-多次统计数据!$B$6/(1-多次统计数据!$B$6)))</f>
        <v/>
      </c>
      <c r="AC112" s="6" t="str">
        <f>IF(OR(AB112="",多次统计数据!$B$9=""),"",IF(多次统计数据!$B$9&lt;AB112,"低于上限","达到或超过上限"))</f>
        <v/>
      </c>
      <c r="AD112" s="23"/>
      <c r="AE112" s="5" t="str">
        <f t="shared" si="19"/>
        <v/>
      </c>
      <c r="AG112" s="23"/>
      <c r="AH112" s="23"/>
      <c r="AI112" s="23"/>
      <c r="AJ112" s="6" t="str">
        <f t="shared" si="20"/>
        <v/>
      </c>
      <c r="AK112" s="26" t="str">
        <f>IF(A112="","",COUNTIFS(加仓管理!$A$2:$A$1001,A112,加仓管理!$G$2:$G$1001,"&gt;0"))</f>
        <v/>
      </c>
      <c r="AL112" s="26" t="str">
        <f>IF(A112="","",SUMIFS(加仓管理!$G$2:$G$1001,加仓管理!$A$2:$A$1001,A112))</f>
        <v/>
      </c>
      <c r="AM112" s="27" t="str">
        <f>IF(AK112=0,"",IFERROR(LOOKUP(2,1/((加仓管理!$A$2:$A$1001=A112)*(加仓管理!$G$2:$G$1001&gt;0)),加仓管理!$D$2:$D$1001),""))</f>
        <v/>
      </c>
      <c r="AN112" s="27" t="str">
        <f>IF(AK112=0,"",IFERROR(LOOKUP(2,1/((加仓管理!$A$2:$A$1001=A112)*(加仓管理!$G$2:$G$1001&gt;0)),加仓管理!$E$2:$E$1001),""))</f>
        <v/>
      </c>
      <c r="AO112" s="27" t="str">
        <f>IF(OR(A112="",H112="",H112&lt;=0),"",(E112*H112+SUMIFS(加仓管理!$H$2:$H$1001,加仓管理!$A$2:$A$1001,A112))/AP112)</f>
        <v/>
      </c>
      <c r="AP112" s="26" t="str">
        <f t="shared" si="21"/>
        <v/>
      </c>
      <c r="AQ112" s="27" t="str">
        <f>IF(A112="","",IF(M112&lt;&gt;"",0,IF(OR(H112="",N112=""),"",MAX((E112*H112+SUMIFS(加仓管理!$H$2:$H$1001,加仓管理!$A$2:$A$1001,A112))-MAX(N112,AN112)*AP112,0))))</f>
        <v/>
      </c>
      <c r="AR112" s="27" t="str">
        <f ca="1"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ht="17" spans="1:44">
      <c r="A113" s="23"/>
      <c r="B113" s="23"/>
      <c r="C113" s="7"/>
      <c r="D113" s="4"/>
      <c r="E113" s="7"/>
      <c r="F113" s="6" t="str">
        <f t="shared" si="11"/>
        <v/>
      </c>
      <c r="G113" s="6" t="str">
        <f ca="1"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23"/>
      <c r="I113" s="24"/>
      <c r="J113" s="7"/>
      <c r="K113" s="3"/>
      <c r="L113" s="6" t="str">
        <f t="shared" si="12"/>
        <v/>
      </c>
      <c r="M113" s="41"/>
      <c r="N113" s="7"/>
      <c r="O113" s="7"/>
      <c r="P113" s="3"/>
      <c r="Q113" s="23"/>
      <c r="R113" s="23"/>
      <c r="S113" s="23"/>
      <c r="T113" s="23"/>
      <c r="U113" s="5" t="str">
        <f t="shared" si="13"/>
        <v/>
      </c>
      <c r="V113" s="5" t="str">
        <f t="shared" si="14"/>
        <v/>
      </c>
      <c r="W113" s="25" t="str">
        <f t="shared" si="15"/>
        <v/>
      </c>
      <c r="X113" s="3" t="str">
        <f t="shared" si="16"/>
        <v/>
      </c>
      <c r="Y113" s="5" t="str">
        <f t="shared" si="17"/>
        <v/>
      </c>
      <c r="Z113" s="5" t="str">
        <f>IF(OR(AE113="",多次统计数据!$B$8=""),"",AE113-多次统计数据!$B$8)</f>
        <v/>
      </c>
      <c r="AA113" s="8" t="str">
        <f t="shared" si="18"/>
        <v/>
      </c>
      <c r="AB113" s="5" t="str">
        <f>IF(OR(A113="",多次统计数据!$B$8="",多次统计数据!$B$6&lt;=0,多次统计数据!$B$6&gt;=1),"",1-POWER(1+多次统计数据!$B$8,-多次统计数据!$B$6/(1-多次统计数据!$B$6)))</f>
        <v/>
      </c>
      <c r="AC113" s="6" t="str">
        <f>IF(OR(AB113="",多次统计数据!$B$9=""),"",IF(多次统计数据!$B$9&lt;AB113,"低于上限","达到或超过上限"))</f>
        <v/>
      </c>
      <c r="AD113" s="23"/>
      <c r="AE113" s="5" t="str">
        <f t="shared" si="19"/>
        <v/>
      </c>
      <c r="AG113" s="23"/>
      <c r="AH113" s="23"/>
      <c r="AI113" s="23"/>
      <c r="AJ113" s="6" t="str">
        <f t="shared" si="20"/>
        <v/>
      </c>
      <c r="AK113" s="26" t="str">
        <f>IF(A113="","",COUNTIFS(加仓管理!$A$2:$A$1001,A113,加仓管理!$G$2:$G$1001,"&gt;0"))</f>
        <v/>
      </c>
      <c r="AL113" s="26" t="str">
        <f>IF(A113="","",SUMIFS(加仓管理!$G$2:$G$1001,加仓管理!$A$2:$A$1001,A113))</f>
        <v/>
      </c>
      <c r="AM113" s="27" t="str">
        <f>IF(AK113=0,"",IFERROR(LOOKUP(2,1/((加仓管理!$A$2:$A$1001=A113)*(加仓管理!$G$2:$G$1001&gt;0)),加仓管理!$D$2:$D$1001),""))</f>
        <v/>
      </c>
      <c r="AN113" s="27" t="str">
        <f>IF(AK113=0,"",IFERROR(LOOKUP(2,1/((加仓管理!$A$2:$A$1001=A113)*(加仓管理!$G$2:$G$1001&gt;0)),加仓管理!$E$2:$E$1001),""))</f>
        <v/>
      </c>
      <c r="AO113" s="27" t="str">
        <f>IF(OR(A113="",H113="",H113&lt;=0),"",(E113*H113+SUMIFS(加仓管理!$H$2:$H$1001,加仓管理!$A$2:$A$1001,A113))/AP113)</f>
        <v/>
      </c>
      <c r="AP113" s="26" t="str">
        <f t="shared" si="21"/>
        <v/>
      </c>
      <c r="AQ113" s="27" t="str">
        <f>IF(A113="","",IF(M113&lt;&gt;"",0,IF(OR(H113="",N113=""),"",MAX((E113*H113+SUMIFS(加仓管理!$H$2:$H$1001,加仓管理!$A$2:$A$1001,A113))-MAX(N113,AN113)*AP113,0))))</f>
        <v/>
      </c>
      <c r="AR113" s="27" t="str">
        <f ca="1"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ht="17" spans="1:44">
      <c r="A114" s="23"/>
      <c r="B114" s="23"/>
      <c r="C114" s="7"/>
      <c r="D114" s="4"/>
      <c r="E114" s="7"/>
      <c r="F114" s="6" t="str">
        <f t="shared" si="11"/>
        <v/>
      </c>
      <c r="G114" s="6" t="str">
        <f ca="1"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23"/>
      <c r="I114" s="24"/>
      <c r="J114" s="7"/>
      <c r="K114" s="3"/>
      <c r="L114" s="6" t="str">
        <f t="shared" si="12"/>
        <v/>
      </c>
      <c r="M114" s="41"/>
      <c r="N114" s="7"/>
      <c r="O114" s="7"/>
      <c r="P114" s="3"/>
      <c r="Q114" s="23"/>
      <c r="R114" s="23"/>
      <c r="S114" s="23"/>
      <c r="T114" s="23"/>
      <c r="U114" s="5" t="str">
        <f t="shared" si="13"/>
        <v/>
      </c>
      <c r="V114" s="5" t="str">
        <f t="shared" si="14"/>
        <v/>
      </c>
      <c r="W114" s="25" t="str">
        <f t="shared" si="15"/>
        <v/>
      </c>
      <c r="X114" s="3" t="str">
        <f t="shared" si="16"/>
        <v/>
      </c>
      <c r="Y114" s="5" t="str">
        <f t="shared" si="17"/>
        <v/>
      </c>
      <c r="Z114" s="5" t="str">
        <f>IF(OR(AE114="",多次统计数据!$B$8=""),"",AE114-多次统计数据!$B$8)</f>
        <v/>
      </c>
      <c r="AA114" s="8" t="str">
        <f t="shared" si="18"/>
        <v/>
      </c>
      <c r="AB114" s="5" t="str">
        <f>IF(OR(A114="",多次统计数据!$B$8="",多次统计数据!$B$6&lt;=0,多次统计数据!$B$6&gt;=1),"",1-POWER(1+多次统计数据!$B$8,-多次统计数据!$B$6/(1-多次统计数据!$B$6)))</f>
        <v/>
      </c>
      <c r="AC114" s="6" t="str">
        <f>IF(OR(AB114="",多次统计数据!$B$9=""),"",IF(多次统计数据!$B$9&lt;AB114,"低于上限","达到或超过上限"))</f>
        <v/>
      </c>
      <c r="AD114" s="23"/>
      <c r="AE114" s="5" t="str">
        <f t="shared" si="19"/>
        <v/>
      </c>
      <c r="AG114" s="23"/>
      <c r="AH114" s="23"/>
      <c r="AI114" s="23"/>
      <c r="AJ114" s="6" t="str">
        <f t="shared" si="20"/>
        <v/>
      </c>
      <c r="AK114" s="26" t="str">
        <f>IF(A114="","",COUNTIFS(加仓管理!$A$2:$A$1001,A114,加仓管理!$G$2:$G$1001,"&gt;0"))</f>
        <v/>
      </c>
      <c r="AL114" s="26" t="str">
        <f>IF(A114="","",SUMIFS(加仓管理!$G$2:$G$1001,加仓管理!$A$2:$A$1001,A114))</f>
        <v/>
      </c>
      <c r="AM114" s="27" t="str">
        <f>IF(AK114=0,"",IFERROR(LOOKUP(2,1/((加仓管理!$A$2:$A$1001=A114)*(加仓管理!$G$2:$G$1001&gt;0)),加仓管理!$D$2:$D$1001),""))</f>
        <v/>
      </c>
      <c r="AN114" s="27" t="str">
        <f>IF(AK114=0,"",IFERROR(LOOKUP(2,1/((加仓管理!$A$2:$A$1001=A114)*(加仓管理!$G$2:$G$1001&gt;0)),加仓管理!$E$2:$E$1001),""))</f>
        <v/>
      </c>
      <c r="AO114" s="27" t="str">
        <f>IF(OR(A114="",H114="",H114&lt;=0),"",(E114*H114+SUMIFS(加仓管理!$H$2:$H$1001,加仓管理!$A$2:$A$1001,A114))/AP114)</f>
        <v/>
      </c>
      <c r="AP114" s="26" t="str">
        <f t="shared" si="21"/>
        <v/>
      </c>
      <c r="AQ114" s="27" t="str">
        <f>IF(A114="","",IF(M114&lt;&gt;"",0,IF(OR(H114="",N114=""),"",MAX((E114*H114+SUMIFS(加仓管理!$H$2:$H$1001,加仓管理!$A$2:$A$1001,A114))-MAX(N114,AN114)*AP114,0))))</f>
        <v/>
      </c>
      <c r="AR114" s="27" t="str">
        <f ca="1"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ht="17" spans="1:44">
      <c r="A115" s="23"/>
      <c r="B115" s="23"/>
      <c r="C115" s="7"/>
      <c r="D115" s="4"/>
      <c r="E115" s="7"/>
      <c r="F115" s="6" t="str">
        <f t="shared" si="11"/>
        <v/>
      </c>
      <c r="G115" s="6" t="str">
        <f ca="1"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23"/>
      <c r="I115" s="24"/>
      <c r="J115" s="7"/>
      <c r="K115" s="3"/>
      <c r="L115" s="6" t="str">
        <f t="shared" si="12"/>
        <v/>
      </c>
      <c r="M115" s="41"/>
      <c r="N115" s="7"/>
      <c r="O115" s="7"/>
      <c r="P115" s="3"/>
      <c r="Q115" s="23"/>
      <c r="R115" s="23"/>
      <c r="S115" s="23"/>
      <c r="T115" s="23"/>
      <c r="U115" s="5" t="str">
        <f t="shared" si="13"/>
        <v/>
      </c>
      <c r="V115" s="5" t="str">
        <f t="shared" si="14"/>
        <v/>
      </c>
      <c r="W115" s="25" t="str">
        <f t="shared" si="15"/>
        <v/>
      </c>
      <c r="X115" s="3" t="str">
        <f t="shared" si="16"/>
        <v/>
      </c>
      <c r="Y115" s="5" t="str">
        <f t="shared" si="17"/>
        <v/>
      </c>
      <c r="Z115" s="5" t="str">
        <f>IF(OR(AE115="",多次统计数据!$B$8=""),"",AE115-多次统计数据!$B$8)</f>
        <v/>
      </c>
      <c r="AA115" s="8" t="str">
        <f t="shared" si="18"/>
        <v/>
      </c>
      <c r="AB115" s="5" t="str">
        <f>IF(OR(A115="",多次统计数据!$B$8="",多次统计数据!$B$6&lt;=0,多次统计数据!$B$6&gt;=1),"",1-POWER(1+多次统计数据!$B$8,-多次统计数据!$B$6/(1-多次统计数据!$B$6)))</f>
        <v/>
      </c>
      <c r="AC115" s="6" t="str">
        <f>IF(OR(AB115="",多次统计数据!$B$9=""),"",IF(多次统计数据!$B$9&lt;AB115,"低于上限","达到或超过上限"))</f>
        <v/>
      </c>
      <c r="AD115" s="23"/>
      <c r="AE115" s="5" t="str">
        <f t="shared" si="19"/>
        <v/>
      </c>
      <c r="AG115" s="23"/>
      <c r="AH115" s="23"/>
      <c r="AI115" s="23"/>
      <c r="AJ115" s="6" t="str">
        <f t="shared" si="20"/>
        <v/>
      </c>
      <c r="AK115" s="26" t="str">
        <f>IF(A115="","",COUNTIFS(加仓管理!$A$2:$A$1001,A115,加仓管理!$G$2:$G$1001,"&gt;0"))</f>
        <v/>
      </c>
      <c r="AL115" s="26" t="str">
        <f>IF(A115="","",SUMIFS(加仓管理!$G$2:$G$1001,加仓管理!$A$2:$A$1001,A115))</f>
        <v/>
      </c>
      <c r="AM115" s="27" t="str">
        <f>IF(AK115=0,"",IFERROR(LOOKUP(2,1/((加仓管理!$A$2:$A$1001=A115)*(加仓管理!$G$2:$G$1001&gt;0)),加仓管理!$D$2:$D$1001),""))</f>
        <v/>
      </c>
      <c r="AN115" s="27" t="str">
        <f>IF(AK115=0,"",IFERROR(LOOKUP(2,1/((加仓管理!$A$2:$A$1001=A115)*(加仓管理!$G$2:$G$1001&gt;0)),加仓管理!$E$2:$E$1001),""))</f>
        <v/>
      </c>
      <c r="AO115" s="27" t="str">
        <f>IF(OR(A115="",H115="",H115&lt;=0),"",(E115*H115+SUMIFS(加仓管理!$H$2:$H$1001,加仓管理!$A$2:$A$1001,A115))/AP115)</f>
        <v/>
      </c>
      <c r="AP115" s="26" t="str">
        <f t="shared" si="21"/>
        <v/>
      </c>
      <c r="AQ115" s="27" t="str">
        <f>IF(A115="","",IF(M115&lt;&gt;"",0,IF(OR(H115="",N115=""),"",MAX((E115*H115+SUMIFS(加仓管理!$H$2:$H$1001,加仓管理!$A$2:$A$1001,A115))-MAX(N115,AN115)*AP115,0))))</f>
        <v/>
      </c>
      <c r="AR115" s="27" t="str">
        <f ca="1"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ht="17" spans="1:44">
      <c r="A116" s="23"/>
      <c r="B116" s="23"/>
      <c r="C116" s="7"/>
      <c r="D116" s="4"/>
      <c r="E116" s="7"/>
      <c r="F116" s="6" t="str">
        <f t="shared" si="11"/>
        <v/>
      </c>
      <c r="G116" s="6" t="str">
        <f ca="1"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23"/>
      <c r="I116" s="24"/>
      <c r="J116" s="7"/>
      <c r="K116" s="3"/>
      <c r="L116" s="6" t="str">
        <f t="shared" si="12"/>
        <v/>
      </c>
      <c r="M116" s="41"/>
      <c r="N116" s="7"/>
      <c r="O116" s="7"/>
      <c r="P116" s="3"/>
      <c r="Q116" s="23"/>
      <c r="R116" s="23"/>
      <c r="S116" s="23"/>
      <c r="T116" s="23"/>
      <c r="U116" s="5" t="str">
        <f t="shared" si="13"/>
        <v/>
      </c>
      <c r="V116" s="5" t="str">
        <f t="shared" si="14"/>
        <v/>
      </c>
      <c r="W116" s="25" t="str">
        <f t="shared" si="15"/>
        <v/>
      </c>
      <c r="X116" s="3" t="str">
        <f t="shared" si="16"/>
        <v/>
      </c>
      <c r="Y116" s="5" t="str">
        <f t="shared" si="17"/>
        <v/>
      </c>
      <c r="Z116" s="5" t="str">
        <f>IF(OR(AE116="",多次统计数据!$B$8=""),"",AE116-多次统计数据!$B$8)</f>
        <v/>
      </c>
      <c r="AA116" s="8" t="str">
        <f t="shared" si="18"/>
        <v/>
      </c>
      <c r="AB116" s="5" t="str">
        <f>IF(OR(A116="",多次统计数据!$B$8="",多次统计数据!$B$6&lt;=0,多次统计数据!$B$6&gt;=1),"",1-POWER(1+多次统计数据!$B$8,-多次统计数据!$B$6/(1-多次统计数据!$B$6)))</f>
        <v/>
      </c>
      <c r="AC116" s="6" t="str">
        <f>IF(OR(AB116="",多次统计数据!$B$9=""),"",IF(多次统计数据!$B$9&lt;AB116,"低于上限","达到或超过上限"))</f>
        <v/>
      </c>
      <c r="AD116" s="23"/>
      <c r="AE116" s="5" t="str">
        <f t="shared" si="19"/>
        <v/>
      </c>
      <c r="AG116" s="23"/>
      <c r="AH116" s="23"/>
      <c r="AI116" s="23"/>
      <c r="AJ116" s="6" t="str">
        <f t="shared" si="20"/>
        <v/>
      </c>
      <c r="AK116" s="26" t="str">
        <f>IF(A116="","",COUNTIFS(加仓管理!$A$2:$A$1001,A116,加仓管理!$G$2:$G$1001,"&gt;0"))</f>
        <v/>
      </c>
      <c r="AL116" s="26" t="str">
        <f>IF(A116="","",SUMIFS(加仓管理!$G$2:$G$1001,加仓管理!$A$2:$A$1001,A116))</f>
        <v/>
      </c>
      <c r="AM116" s="27" t="str">
        <f>IF(AK116=0,"",IFERROR(LOOKUP(2,1/((加仓管理!$A$2:$A$1001=A116)*(加仓管理!$G$2:$G$1001&gt;0)),加仓管理!$D$2:$D$1001),""))</f>
        <v/>
      </c>
      <c r="AN116" s="27" t="str">
        <f>IF(AK116=0,"",IFERROR(LOOKUP(2,1/((加仓管理!$A$2:$A$1001=A116)*(加仓管理!$G$2:$G$1001&gt;0)),加仓管理!$E$2:$E$1001),""))</f>
        <v/>
      </c>
      <c r="AO116" s="27" t="str">
        <f>IF(OR(A116="",H116="",H116&lt;=0),"",(E116*H116+SUMIFS(加仓管理!$H$2:$H$1001,加仓管理!$A$2:$A$1001,A116))/AP116)</f>
        <v/>
      </c>
      <c r="AP116" s="26" t="str">
        <f t="shared" si="21"/>
        <v/>
      </c>
      <c r="AQ116" s="27" t="str">
        <f>IF(A116="","",IF(M116&lt;&gt;"",0,IF(OR(H116="",N116=""),"",MAX((E116*H116+SUMIFS(加仓管理!$H$2:$H$1001,加仓管理!$A$2:$A$1001,A116))-MAX(N116,AN116)*AP116,0))))</f>
        <v/>
      </c>
      <c r="AR116" s="27" t="str">
        <f ca="1"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ht="17" spans="1:44">
      <c r="A117" s="23"/>
      <c r="B117" s="23"/>
      <c r="C117" s="7"/>
      <c r="D117" s="4"/>
      <c r="E117" s="7"/>
      <c r="F117" s="6" t="str">
        <f t="shared" si="11"/>
        <v/>
      </c>
      <c r="G117" s="6" t="str">
        <f ca="1"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23"/>
      <c r="I117" s="24"/>
      <c r="J117" s="7"/>
      <c r="K117" s="3"/>
      <c r="L117" s="6" t="str">
        <f t="shared" si="12"/>
        <v/>
      </c>
      <c r="M117" s="41"/>
      <c r="N117" s="7"/>
      <c r="O117" s="7"/>
      <c r="P117" s="3"/>
      <c r="Q117" s="23"/>
      <c r="R117" s="23"/>
      <c r="S117" s="23"/>
      <c r="T117" s="23"/>
      <c r="U117" s="5" t="str">
        <f t="shared" si="13"/>
        <v/>
      </c>
      <c r="V117" s="5" t="str">
        <f t="shared" si="14"/>
        <v/>
      </c>
      <c r="W117" s="25" t="str">
        <f t="shared" si="15"/>
        <v/>
      </c>
      <c r="X117" s="3" t="str">
        <f t="shared" si="16"/>
        <v/>
      </c>
      <c r="Y117" s="5" t="str">
        <f t="shared" si="17"/>
        <v/>
      </c>
      <c r="Z117" s="5" t="str">
        <f>IF(OR(AE117="",多次统计数据!$B$8=""),"",AE117-多次统计数据!$B$8)</f>
        <v/>
      </c>
      <c r="AA117" s="8" t="str">
        <f t="shared" si="18"/>
        <v/>
      </c>
      <c r="AB117" s="5" t="str">
        <f>IF(OR(A117="",多次统计数据!$B$8="",多次统计数据!$B$6&lt;=0,多次统计数据!$B$6&gt;=1),"",1-POWER(1+多次统计数据!$B$8,-多次统计数据!$B$6/(1-多次统计数据!$B$6)))</f>
        <v/>
      </c>
      <c r="AC117" s="6" t="str">
        <f>IF(OR(AB117="",多次统计数据!$B$9=""),"",IF(多次统计数据!$B$9&lt;AB117,"低于上限","达到或超过上限"))</f>
        <v/>
      </c>
      <c r="AD117" s="23"/>
      <c r="AE117" s="5" t="str">
        <f t="shared" si="19"/>
        <v/>
      </c>
      <c r="AG117" s="23"/>
      <c r="AH117" s="23"/>
      <c r="AI117" s="23"/>
      <c r="AJ117" s="6" t="str">
        <f t="shared" si="20"/>
        <v/>
      </c>
      <c r="AK117" s="26" t="str">
        <f>IF(A117="","",COUNTIFS(加仓管理!$A$2:$A$1001,A117,加仓管理!$G$2:$G$1001,"&gt;0"))</f>
        <v/>
      </c>
      <c r="AL117" s="26" t="str">
        <f>IF(A117="","",SUMIFS(加仓管理!$G$2:$G$1001,加仓管理!$A$2:$A$1001,A117))</f>
        <v/>
      </c>
      <c r="AM117" s="27" t="str">
        <f>IF(AK117=0,"",IFERROR(LOOKUP(2,1/((加仓管理!$A$2:$A$1001=A117)*(加仓管理!$G$2:$G$1001&gt;0)),加仓管理!$D$2:$D$1001),""))</f>
        <v/>
      </c>
      <c r="AN117" s="27" t="str">
        <f>IF(AK117=0,"",IFERROR(LOOKUP(2,1/((加仓管理!$A$2:$A$1001=A117)*(加仓管理!$G$2:$G$1001&gt;0)),加仓管理!$E$2:$E$1001),""))</f>
        <v/>
      </c>
      <c r="AO117" s="27" t="str">
        <f>IF(OR(A117="",H117="",H117&lt;=0),"",(E117*H117+SUMIFS(加仓管理!$H$2:$H$1001,加仓管理!$A$2:$A$1001,A117))/AP117)</f>
        <v/>
      </c>
      <c r="AP117" s="26" t="str">
        <f t="shared" si="21"/>
        <v/>
      </c>
      <c r="AQ117" s="27" t="str">
        <f>IF(A117="","",IF(M117&lt;&gt;"",0,IF(OR(H117="",N117=""),"",MAX((E117*H117+SUMIFS(加仓管理!$H$2:$H$1001,加仓管理!$A$2:$A$1001,A117))-MAX(N117,AN117)*AP117,0))))</f>
        <v/>
      </c>
      <c r="AR117" s="27" t="str">
        <f ca="1"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ht="17" spans="1:44">
      <c r="A118" s="23"/>
      <c r="B118" s="23"/>
      <c r="C118" s="7"/>
      <c r="D118" s="4"/>
      <c r="E118" s="7"/>
      <c r="F118" s="6" t="str">
        <f t="shared" si="11"/>
        <v/>
      </c>
      <c r="G118" s="6" t="str">
        <f ca="1"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23"/>
      <c r="I118" s="24"/>
      <c r="J118" s="7"/>
      <c r="K118" s="3"/>
      <c r="L118" s="6" t="str">
        <f t="shared" si="12"/>
        <v/>
      </c>
      <c r="M118" s="41"/>
      <c r="N118" s="7"/>
      <c r="O118" s="7"/>
      <c r="P118" s="3"/>
      <c r="Q118" s="23"/>
      <c r="R118" s="23"/>
      <c r="S118" s="23"/>
      <c r="T118" s="23"/>
      <c r="U118" s="5" t="str">
        <f t="shared" si="13"/>
        <v/>
      </c>
      <c r="V118" s="5" t="str">
        <f t="shared" si="14"/>
        <v/>
      </c>
      <c r="W118" s="25" t="str">
        <f t="shared" si="15"/>
        <v/>
      </c>
      <c r="X118" s="3" t="str">
        <f t="shared" si="16"/>
        <v/>
      </c>
      <c r="Y118" s="5" t="str">
        <f t="shared" si="17"/>
        <v/>
      </c>
      <c r="Z118" s="5" t="str">
        <f>IF(OR(AE118="",多次统计数据!$B$8=""),"",AE118-多次统计数据!$B$8)</f>
        <v/>
      </c>
      <c r="AA118" s="8" t="str">
        <f t="shared" si="18"/>
        <v/>
      </c>
      <c r="AB118" s="5" t="str">
        <f>IF(OR(A118="",多次统计数据!$B$8="",多次统计数据!$B$6&lt;=0,多次统计数据!$B$6&gt;=1),"",1-POWER(1+多次统计数据!$B$8,-多次统计数据!$B$6/(1-多次统计数据!$B$6)))</f>
        <v/>
      </c>
      <c r="AC118" s="6" t="str">
        <f>IF(OR(AB118="",多次统计数据!$B$9=""),"",IF(多次统计数据!$B$9&lt;AB118,"低于上限","达到或超过上限"))</f>
        <v/>
      </c>
      <c r="AD118" s="23"/>
      <c r="AE118" s="5" t="str">
        <f t="shared" si="19"/>
        <v/>
      </c>
      <c r="AG118" s="23"/>
      <c r="AH118" s="23"/>
      <c r="AI118" s="23"/>
      <c r="AJ118" s="6" t="str">
        <f t="shared" si="20"/>
        <v/>
      </c>
      <c r="AK118" s="26" t="str">
        <f>IF(A118="","",COUNTIFS(加仓管理!$A$2:$A$1001,A118,加仓管理!$G$2:$G$1001,"&gt;0"))</f>
        <v/>
      </c>
      <c r="AL118" s="26" t="str">
        <f>IF(A118="","",SUMIFS(加仓管理!$G$2:$G$1001,加仓管理!$A$2:$A$1001,A118))</f>
        <v/>
      </c>
      <c r="AM118" s="27" t="str">
        <f>IF(AK118=0,"",IFERROR(LOOKUP(2,1/((加仓管理!$A$2:$A$1001=A118)*(加仓管理!$G$2:$G$1001&gt;0)),加仓管理!$D$2:$D$1001),""))</f>
        <v/>
      </c>
      <c r="AN118" s="27" t="str">
        <f>IF(AK118=0,"",IFERROR(LOOKUP(2,1/((加仓管理!$A$2:$A$1001=A118)*(加仓管理!$G$2:$G$1001&gt;0)),加仓管理!$E$2:$E$1001),""))</f>
        <v/>
      </c>
      <c r="AO118" s="27" t="str">
        <f>IF(OR(A118="",H118="",H118&lt;=0),"",(E118*H118+SUMIFS(加仓管理!$H$2:$H$1001,加仓管理!$A$2:$A$1001,A118))/AP118)</f>
        <v/>
      </c>
      <c r="AP118" s="26" t="str">
        <f t="shared" si="21"/>
        <v/>
      </c>
      <c r="AQ118" s="27" t="str">
        <f>IF(A118="","",IF(M118&lt;&gt;"",0,IF(OR(H118="",N118=""),"",MAX((E118*H118+SUMIFS(加仓管理!$H$2:$H$1001,加仓管理!$A$2:$A$1001,A118))-MAX(N118,AN118)*AP118,0))))</f>
        <v/>
      </c>
      <c r="AR118" s="27" t="str">
        <f ca="1"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ht="17" spans="1:44">
      <c r="A119" s="23"/>
      <c r="B119" s="23"/>
      <c r="C119" s="7"/>
      <c r="D119" s="4"/>
      <c r="E119" s="7"/>
      <c r="F119" s="6" t="str">
        <f t="shared" si="11"/>
        <v/>
      </c>
      <c r="G119" s="6" t="str">
        <f ca="1"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23"/>
      <c r="I119" s="24"/>
      <c r="J119" s="7"/>
      <c r="K119" s="3"/>
      <c r="L119" s="6" t="str">
        <f t="shared" si="12"/>
        <v/>
      </c>
      <c r="M119" s="41"/>
      <c r="N119" s="7"/>
      <c r="O119" s="7"/>
      <c r="P119" s="3"/>
      <c r="Q119" s="23"/>
      <c r="R119" s="23"/>
      <c r="S119" s="23"/>
      <c r="T119" s="23"/>
      <c r="U119" s="5" t="str">
        <f t="shared" si="13"/>
        <v/>
      </c>
      <c r="V119" s="5" t="str">
        <f t="shared" si="14"/>
        <v/>
      </c>
      <c r="W119" s="25" t="str">
        <f t="shared" si="15"/>
        <v/>
      </c>
      <c r="X119" s="3" t="str">
        <f t="shared" si="16"/>
        <v/>
      </c>
      <c r="Y119" s="5" t="str">
        <f t="shared" si="17"/>
        <v/>
      </c>
      <c r="Z119" s="5" t="str">
        <f>IF(OR(AE119="",多次统计数据!$B$8=""),"",AE119-多次统计数据!$B$8)</f>
        <v/>
      </c>
      <c r="AA119" s="8" t="str">
        <f t="shared" si="18"/>
        <v/>
      </c>
      <c r="AB119" s="5" t="str">
        <f>IF(OR(A119="",多次统计数据!$B$8="",多次统计数据!$B$6&lt;=0,多次统计数据!$B$6&gt;=1),"",1-POWER(1+多次统计数据!$B$8,-多次统计数据!$B$6/(1-多次统计数据!$B$6)))</f>
        <v/>
      </c>
      <c r="AC119" s="6" t="str">
        <f>IF(OR(AB119="",多次统计数据!$B$9=""),"",IF(多次统计数据!$B$9&lt;AB119,"低于上限","达到或超过上限"))</f>
        <v/>
      </c>
      <c r="AD119" s="23"/>
      <c r="AE119" s="5" t="str">
        <f t="shared" si="19"/>
        <v/>
      </c>
      <c r="AG119" s="23"/>
      <c r="AH119" s="23"/>
      <c r="AI119" s="23"/>
      <c r="AJ119" s="6" t="str">
        <f t="shared" si="20"/>
        <v/>
      </c>
      <c r="AK119" s="26" t="str">
        <f>IF(A119="","",COUNTIFS(加仓管理!$A$2:$A$1001,A119,加仓管理!$G$2:$G$1001,"&gt;0"))</f>
        <v/>
      </c>
      <c r="AL119" s="26" t="str">
        <f>IF(A119="","",SUMIFS(加仓管理!$G$2:$G$1001,加仓管理!$A$2:$A$1001,A119))</f>
        <v/>
      </c>
      <c r="AM119" s="27" t="str">
        <f>IF(AK119=0,"",IFERROR(LOOKUP(2,1/((加仓管理!$A$2:$A$1001=A119)*(加仓管理!$G$2:$G$1001&gt;0)),加仓管理!$D$2:$D$1001),""))</f>
        <v/>
      </c>
      <c r="AN119" s="27" t="str">
        <f>IF(AK119=0,"",IFERROR(LOOKUP(2,1/((加仓管理!$A$2:$A$1001=A119)*(加仓管理!$G$2:$G$1001&gt;0)),加仓管理!$E$2:$E$1001),""))</f>
        <v/>
      </c>
      <c r="AO119" s="27" t="str">
        <f>IF(OR(A119="",H119="",H119&lt;=0),"",(E119*H119+SUMIFS(加仓管理!$H$2:$H$1001,加仓管理!$A$2:$A$1001,A119))/AP119)</f>
        <v/>
      </c>
      <c r="AP119" s="26" t="str">
        <f t="shared" si="21"/>
        <v/>
      </c>
      <c r="AQ119" s="27" t="str">
        <f>IF(A119="","",IF(M119&lt;&gt;"",0,IF(OR(H119="",N119=""),"",MAX((E119*H119+SUMIFS(加仓管理!$H$2:$H$1001,加仓管理!$A$2:$A$1001,A119))-MAX(N119,AN119)*AP119,0))))</f>
        <v/>
      </c>
      <c r="AR119" s="27" t="str">
        <f ca="1"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ht="17" spans="1:44">
      <c r="A120" s="23"/>
      <c r="B120" s="23"/>
      <c r="C120" s="7"/>
      <c r="D120" s="4"/>
      <c r="E120" s="7"/>
      <c r="F120" s="6" t="str">
        <f t="shared" si="11"/>
        <v/>
      </c>
      <c r="G120" s="6" t="str">
        <f ca="1"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23"/>
      <c r="I120" s="24"/>
      <c r="J120" s="7"/>
      <c r="K120" s="3"/>
      <c r="L120" s="6" t="str">
        <f t="shared" si="12"/>
        <v/>
      </c>
      <c r="M120" s="41"/>
      <c r="N120" s="7"/>
      <c r="O120" s="7"/>
      <c r="P120" s="3"/>
      <c r="Q120" s="23"/>
      <c r="R120" s="23"/>
      <c r="S120" s="23"/>
      <c r="T120" s="23"/>
      <c r="U120" s="5" t="str">
        <f t="shared" si="13"/>
        <v/>
      </c>
      <c r="V120" s="5" t="str">
        <f t="shared" si="14"/>
        <v/>
      </c>
      <c r="W120" s="25" t="str">
        <f t="shared" si="15"/>
        <v/>
      </c>
      <c r="X120" s="3" t="str">
        <f t="shared" si="16"/>
        <v/>
      </c>
      <c r="Y120" s="5" t="str">
        <f t="shared" si="17"/>
        <v/>
      </c>
      <c r="Z120" s="5" t="str">
        <f>IF(OR(AE120="",多次统计数据!$B$8=""),"",AE120-多次统计数据!$B$8)</f>
        <v/>
      </c>
      <c r="AA120" s="8" t="str">
        <f t="shared" si="18"/>
        <v/>
      </c>
      <c r="AB120" s="5" t="str">
        <f>IF(OR(A120="",多次统计数据!$B$8="",多次统计数据!$B$6&lt;=0,多次统计数据!$B$6&gt;=1),"",1-POWER(1+多次统计数据!$B$8,-多次统计数据!$B$6/(1-多次统计数据!$B$6)))</f>
        <v/>
      </c>
      <c r="AC120" s="6" t="str">
        <f>IF(OR(AB120="",多次统计数据!$B$9=""),"",IF(多次统计数据!$B$9&lt;AB120,"低于上限","达到或超过上限"))</f>
        <v/>
      </c>
      <c r="AD120" s="23"/>
      <c r="AE120" s="5" t="str">
        <f t="shared" si="19"/>
        <v/>
      </c>
      <c r="AG120" s="23"/>
      <c r="AH120" s="23"/>
      <c r="AI120" s="23"/>
      <c r="AJ120" s="6" t="str">
        <f t="shared" si="20"/>
        <v/>
      </c>
      <c r="AK120" s="26" t="str">
        <f>IF(A120="","",COUNTIFS(加仓管理!$A$2:$A$1001,A120,加仓管理!$G$2:$G$1001,"&gt;0"))</f>
        <v/>
      </c>
      <c r="AL120" s="26" t="str">
        <f>IF(A120="","",SUMIFS(加仓管理!$G$2:$G$1001,加仓管理!$A$2:$A$1001,A120))</f>
        <v/>
      </c>
      <c r="AM120" s="27" t="str">
        <f>IF(AK120=0,"",IFERROR(LOOKUP(2,1/((加仓管理!$A$2:$A$1001=A120)*(加仓管理!$G$2:$G$1001&gt;0)),加仓管理!$D$2:$D$1001),""))</f>
        <v/>
      </c>
      <c r="AN120" s="27" t="str">
        <f>IF(AK120=0,"",IFERROR(LOOKUP(2,1/((加仓管理!$A$2:$A$1001=A120)*(加仓管理!$G$2:$G$1001&gt;0)),加仓管理!$E$2:$E$1001),""))</f>
        <v/>
      </c>
      <c r="AO120" s="27" t="str">
        <f>IF(OR(A120="",H120="",H120&lt;=0),"",(E120*H120+SUMIFS(加仓管理!$H$2:$H$1001,加仓管理!$A$2:$A$1001,A120))/AP120)</f>
        <v/>
      </c>
      <c r="AP120" s="26" t="str">
        <f t="shared" si="21"/>
        <v/>
      </c>
      <c r="AQ120" s="27" t="str">
        <f>IF(A120="","",IF(M120&lt;&gt;"",0,IF(OR(H120="",N120=""),"",MAX((E120*H120+SUMIFS(加仓管理!$H$2:$H$1001,加仓管理!$A$2:$A$1001,A120))-MAX(N120,AN120)*AP120,0))))</f>
        <v/>
      </c>
      <c r="AR120" s="27" t="str">
        <f ca="1"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ht="17" spans="1:44">
      <c r="A121" s="23"/>
      <c r="B121" s="23"/>
      <c r="C121" s="7"/>
      <c r="D121" s="4"/>
      <c r="E121" s="7"/>
      <c r="F121" s="6" t="str">
        <f t="shared" si="11"/>
        <v/>
      </c>
      <c r="G121" s="6" t="str">
        <f ca="1"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23"/>
      <c r="I121" s="24"/>
      <c r="J121" s="7"/>
      <c r="K121" s="3"/>
      <c r="L121" s="6" t="str">
        <f t="shared" si="12"/>
        <v/>
      </c>
      <c r="M121" s="41"/>
      <c r="N121" s="7"/>
      <c r="O121" s="7"/>
      <c r="P121" s="3"/>
      <c r="Q121" s="23"/>
      <c r="R121" s="23"/>
      <c r="S121" s="23"/>
      <c r="T121" s="23"/>
      <c r="U121" s="5" t="str">
        <f t="shared" si="13"/>
        <v/>
      </c>
      <c r="V121" s="5" t="str">
        <f t="shared" si="14"/>
        <v/>
      </c>
      <c r="W121" s="25" t="str">
        <f t="shared" si="15"/>
        <v/>
      </c>
      <c r="X121" s="3" t="str">
        <f t="shared" si="16"/>
        <v/>
      </c>
      <c r="Y121" s="5" t="str">
        <f t="shared" si="17"/>
        <v/>
      </c>
      <c r="Z121" s="5" t="str">
        <f>IF(OR(AE121="",多次统计数据!$B$8=""),"",AE121-多次统计数据!$B$8)</f>
        <v/>
      </c>
      <c r="AA121" s="8" t="str">
        <f t="shared" si="18"/>
        <v/>
      </c>
      <c r="AB121" s="5" t="str">
        <f>IF(OR(A121="",多次统计数据!$B$8="",多次统计数据!$B$6&lt;=0,多次统计数据!$B$6&gt;=1),"",1-POWER(1+多次统计数据!$B$8,-多次统计数据!$B$6/(1-多次统计数据!$B$6)))</f>
        <v/>
      </c>
      <c r="AC121" s="6" t="str">
        <f>IF(OR(AB121="",多次统计数据!$B$9=""),"",IF(多次统计数据!$B$9&lt;AB121,"低于上限","达到或超过上限"))</f>
        <v/>
      </c>
      <c r="AD121" s="23"/>
      <c r="AE121" s="5" t="str">
        <f t="shared" si="19"/>
        <v/>
      </c>
      <c r="AG121" s="23"/>
      <c r="AH121" s="23"/>
      <c r="AI121" s="23"/>
      <c r="AJ121" s="6" t="str">
        <f t="shared" si="20"/>
        <v/>
      </c>
      <c r="AK121" s="26" t="str">
        <f>IF(A121="","",COUNTIFS(加仓管理!$A$2:$A$1001,A121,加仓管理!$G$2:$G$1001,"&gt;0"))</f>
        <v/>
      </c>
      <c r="AL121" s="26" t="str">
        <f>IF(A121="","",SUMIFS(加仓管理!$G$2:$G$1001,加仓管理!$A$2:$A$1001,A121))</f>
        <v/>
      </c>
      <c r="AM121" s="27" t="str">
        <f>IF(AK121=0,"",IFERROR(LOOKUP(2,1/((加仓管理!$A$2:$A$1001=A121)*(加仓管理!$G$2:$G$1001&gt;0)),加仓管理!$D$2:$D$1001),""))</f>
        <v/>
      </c>
      <c r="AN121" s="27" t="str">
        <f>IF(AK121=0,"",IFERROR(LOOKUP(2,1/((加仓管理!$A$2:$A$1001=A121)*(加仓管理!$G$2:$G$1001&gt;0)),加仓管理!$E$2:$E$1001),""))</f>
        <v/>
      </c>
      <c r="AO121" s="27" t="str">
        <f>IF(OR(A121="",H121="",H121&lt;=0),"",(E121*H121+SUMIFS(加仓管理!$H$2:$H$1001,加仓管理!$A$2:$A$1001,A121))/AP121)</f>
        <v/>
      </c>
      <c r="AP121" s="26" t="str">
        <f t="shared" si="21"/>
        <v/>
      </c>
      <c r="AQ121" s="27" t="str">
        <f>IF(A121="","",IF(M121&lt;&gt;"",0,IF(OR(H121="",N121=""),"",MAX((E121*H121+SUMIFS(加仓管理!$H$2:$H$1001,加仓管理!$A$2:$A$1001,A121))-MAX(N121,AN121)*AP121,0))))</f>
        <v/>
      </c>
      <c r="AR121" s="27" t="str">
        <f ca="1"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ht="17" spans="1:44">
      <c r="A122" s="23"/>
      <c r="B122" s="23"/>
      <c r="C122" s="7"/>
      <c r="D122" s="4"/>
      <c r="E122" s="7"/>
      <c r="F122" s="6" t="str">
        <f t="shared" si="11"/>
        <v/>
      </c>
      <c r="G122" s="6" t="str">
        <f ca="1"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23"/>
      <c r="I122" s="24"/>
      <c r="J122" s="7"/>
      <c r="K122" s="3"/>
      <c r="L122" s="6" t="str">
        <f t="shared" si="12"/>
        <v/>
      </c>
      <c r="M122" s="41"/>
      <c r="N122" s="7"/>
      <c r="O122" s="7"/>
      <c r="P122" s="3"/>
      <c r="Q122" s="23"/>
      <c r="R122" s="23"/>
      <c r="S122" s="23"/>
      <c r="T122" s="23"/>
      <c r="U122" s="5" t="str">
        <f t="shared" si="13"/>
        <v/>
      </c>
      <c r="V122" s="5" t="str">
        <f t="shared" si="14"/>
        <v/>
      </c>
      <c r="W122" s="25" t="str">
        <f t="shared" si="15"/>
        <v/>
      </c>
      <c r="X122" s="3" t="str">
        <f t="shared" si="16"/>
        <v/>
      </c>
      <c r="Y122" s="5" t="str">
        <f t="shared" si="17"/>
        <v/>
      </c>
      <c r="Z122" s="5" t="str">
        <f>IF(OR(AE122="",多次统计数据!$B$8=""),"",AE122-多次统计数据!$B$8)</f>
        <v/>
      </c>
      <c r="AA122" s="8" t="str">
        <f t="shared" si="18"/>
        <v/>
      </c>
      <c r="AB122" s="5" t="str">
        <f>IF(OR(A122="",多次统计数据!$B$8="",多次统计数据!$B$6&lt;=0,多次统计数据!$B$6&gt;=1),"",1-POWER(1+多次统计数据!$B$8,-多次统计数据!$B$6/(1-多次统计数据!$B$6)))</f>
        <v/>
      </c>
      <c r="AC122" s="6" t="str">
        <f>IF(OR(AB122="",多次统计数据!$B$9=""),"",IF(多次统计数据!$B$9&lt;AB122,"低于上限","达到或超过上限"))</f>
        <v/>
      </c>
      <c r="AD122" s="23"/>
      <c r="AE122" s="5" t="str">
        <f t="shared" si="19"/>
        <v/>
      </c>
      <c r="AG122" s="23"/>
      <c r="AH122" s="23"/>
      <c r="AI122" s="23"/>
      <c r="AJ122" s="6" t="str">
        <f t="shared" si="20"/>
        <v/>
      </c>
      <c r="AK122" s="26" t="str">
        <f>IF(A122="","",COUNTIFS(加仓管理!$A$2:$A$1001,A122,加仓管理!$G$2:$G$1001,"&gt;0"))</f>
        <v/>
      </c>
      <c r="AL122" s="26" t="str">
        <f>IF(A122="","",SUMIFS(加仓管理!$G$2:$G$1001,加仓管理!$A$2:$A$1001,A122))</f>
        <v/>
      </c>
      <c r="AM122" s="27" t="str">
        <f>IF(AK122=0,"",IFERROR(LOOKUP(2,1/((加仓管理!$A$2:$A$1001=A122)*(加仓管理!$G$2:$G$1001&gt;0)),加仓管理!$D$2:$D$1001),""))</f>
        <v/>
      </c>
      <c r="AN122" s="27" t="str">
        <f>IF(AK122=0,"",IFERROR(LOOKUP(2,1/((加仓管理!$A$2:$A$1001=A122)*(加仓管理!$G$2:$G$1001&gt;0)),加仓管理!$E$2:$E$1001),""))</f>
        <v/>
      </c>
      <c r="AO122" s="27" t="str">
        <f>IF(OR(A122="",H122="",H122&lt;=0),"",(E122*H122+SUMIFS(加仓管理!$H$2:$H$1001,加仓管理!$A$2:$A$1001,A122))/AP122)</f>
        <v/>
      </c>
      <c r="AP122" s="26" t="str">
        <f t="shared" si="21"/>
        <v/>
      </c>
      <c r="AQ122" s="27" t="str">
        <f>IF(A122="","",IF(M122&lt;&gt;"",0,IF(OR(H122="",N122=""),"",MAX((E122*H122+SUMIFS(加仓管理!$H$2:$H$1001,加仓管理!$A$2:$A$1001,A122))-MAX(N122,AN122)*AP122,0))))</f>
        <v/>
      </c>
      <c r="AR122" s="27" t="str">
        <f ca="1"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ht="17" spans="1:44">
      <c r="A123" s="23"/>
      <c r="B123" s="23"/>
      <c r="C123" s="7"/>
      <c r="D123" s="4"/>
      <c r="E123" s="7"/>
      <c r="F123" s="6" t="str">
        <f t="shared" si="11"/>
        <v/>
      </c>
      <c r="G123" s="6" t="str">
        <f ca="1"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23"/>
      <c r="I123" s="24"/>
      <c r="J123" s="7"/>
      <c r="K123" s="3"/>
      <c r="L123" s="6" t="str">
        <f t="shared" si="12"/>
        <v/>
      </c>
      <c r="M123" s="41"/>
      <c r="N123" s="7"/>
      <c r="O123" s="7"/>
      <c r="P123" s="3"/>
      <c r="Q123" s="23"/>
      <c r="R123" s="23"/>
      <c r="S123" s="23"/>
      <c r="T123" s="23"/>
      <c r="U123" s="5" t="str">
        <f t="shared" si="13"/>
        <v/>
      </c>
      <c r="V123" s="5" t="str">
        <f t="shared" si="14"/>
        <v/>
      </c>
      <c r="W123" s="25" t="str">
        <f t="shared" si="15"/>
        <v/>
      </c>
      <c r="X123" s="3" t="str">
        <f t="shared" si="16"/>
        <v/>
      </c>
      <c r="Y123" s="5" t="str">
        <f t="shared" si="17"/>
        <v/>
      </c>
      <c r="Z123" s="5" t="str">
        <f>IF(OR(AE123="",多次统计数据!$B$8=""),"",AE123-多次统计数据!$B$8)</f>
        <v/>
      </c>
      <c r="AA123" s="8" t="str">
        <f t="shared" si="18"/>
        <v/>
      </c>
      <c r="AB123" s="5" t="str">
        <f>IF(OR(A123="",多次统计数据!$B$8="",多次统计数据!$B$6&lt;=0,多次统计数据!$B$6&gt;=1),"",1-POWER(1+多次统计数据!$B$8,-多次统计数据!$B$6/(1-多次统计数据!$B$6)))</f>
        <v/>
      </c>
      <c r="AC123" s="6" t="str">
        <f>IF(OR(AB123="",多次统计数据!$B$9=""),"",IF(多次统计数据!$B$9&lt;AB123,"低于上限","达到或超过上限"))</f>
        <v/>
      </c>
      <c r="AD123" s="23"/>
      <c r="AE123" s="5" t="str">
        <f t="shared" si="19"/>
        <v/>
      </c>
      <c r="AG123" s="23"/>
      <c r="AH123" s="23"/>
      <c r="AI123" s="23"/>
      <c r="AJ123" s="6" t="str">
        <f t="shared" si="20"/>
        <v/>
      </c>
      <c r="AK123" s="26" t="str">
        <f>IF(A123="","",COUNTIFS(加仓管理!$A$2:$A$1001,A123,加仓管理!$G$2:$G$1001,"&gt;0"))</f>
        <v/>
      </c>
      <c r="AL123" s="26" t="str">
        <f>IF(A123="","",SUMIFS(加仓管理!$G$2:$G$1001,加仓管理!$A$2:$A$1001,A123))</f>
        <v/>
      </c>
      <c r="AM123" s="27" t="str">
        <f>IF(AK123=0,"",IFERROR(LOOKUP(2,1/((加仓管理!$A$2:$A$1001=A123)*(加仓管理!$G$2:$G$1001&gt;0)),加仓管理!$D$2:$D$1001),""))</f>
        <v/>
      </c>
      <c r="AN123" s="27" t="str">
        <f>IF(AK123=0,"",IFERROR(LOOKUP(2,1/((加仓管理!$A$2:$A$1001=A123)*(加仓管理!$G$2:$G$1001&gt;0)),加仓管理!$E$2:$E$1001),""))</f>
        <v/>
      </c>
      <c r="AO123" s="27" t="str">
        <f>IF(OR(A123="",H123="",H123&lt;=0),"",(E123*H123+SUMIFS(加仓管理!$H$2:$H$1001,加仓管理!$A$2:$A$1001,A123))/AP123)</f>
        <v/>
      </c>
      <c r="AP123" s="26" t="str">
        <f t="shared" si="21"/>
        <v/>
      </c>
      <c r="AQ123" s="27" t="str">
        <f>IF(A123="","",IF(M123&lt;&gt;"",0,IF(OR(H123="",N123=""),"",MAX((E123*H123+SUMIFS(加仓管理!$H$2:$H$1001,加仓管理!$A$2:$A$1001,A123))-MAX(N123,AN123)*AP123,0))))</f>
        <v/>
      </c>
      <c r="AR123" s="27" t="str">
        <f ca="1"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ht="17" spans="1:44">
      <c r="A124" s="23"/>
      <c r="B124" s="23"/>
      <c r="C124" s="7"/>
      <c r="D124" s="4"/>
      <c r="E124" s="7"/>
      <c r="F124" s="6" t="str">
        <f t="shared" si="11"/>
        <v/>
      </c>
      <c r="G124" s="6" t="str">
        <f ca="1"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23"/>
      <c r="I124" s="24"/>
      <c r="J124" s="7"/>
      <c r="K124" s="3"/>
      <c r="L124" s="6" t="str">
        <f t="shared" si="12"/>
        <v/>
      </c>
      <c r="M124" s="41"/>
      <c r="N124" s="7"/>
      <c r="O124" s="7"/>
      <c r="P124" s="3"/>
      <c r="Q124" s="23"/>
      <c r="R124" s="23"/>
      <c r="S124" s="23"/>
      <c r="T124" s="23"/>
      <c r="U124" s="5" t="str">
        <f t="shared" si="13"/>
        <v/>
      </c>
      <c r="V124" s="5" t="str">
        <f t="shared" si="14"/>
        <v/>
      </c>
      <c r="W124" s="25" t="str">
        <f t="shared" si="15"/>
        <v/>
      </c>
      <c r="X124" s="3" t="str">
        <f t="shared" si="16"/>
        <v/>
      </c>
      <c r="Y124" s="5" t="str">
        <f t="shared" si="17"/>
        <v/>
      </c>
      <c r="Z124" s="5" t="str">
        <f>IF(OR(AE124="",多次统计数据!$B$8=""),"",AE124-多次统计数据!$B$8)</f>
        <v/>
      </c>
      <c r="AA124" s="8" t="str">
        <f t="shared" si="18"/>
        <v/>
      </c>
      <c r="AB124" s="5" t="str">
        <f>IF(OR(A124="",多次统计数据!$B$8="",多次统计数据!$B$6&lt;=0,多次统计数据!$B$6&gt;=1),"",1-POWER(1+多次统计数据!$B$8,-多次统计数据!$B$6/(1-多次统计数据!$B$6)))</f>
        <v/>
      </c>
      <c r="AC124" s="6" t="str">
        <f>IF(OR(AB124="",多次统计数据!$B$9=""),"",IF(多次统计数据!$B$9&lt;AB124,"低于上限","达到或超过上限"))</f>
        <v/>
      </c>
      <c r="AD124" s="23"/>
      <c r="AE124" s="5" t="str">
        <f t="shared" si="19"/>
        <v/>
      </c>
      <c r="AG124" s="23"/>
      <c r="AH124" s="23"/>
      <c r="AI124" s="23"/>
      <c r="AJ124" s="6" t="str">
        <f t="shared" si="20"/>
        <v/>
      </c>
      <c r="AK124" s="26" t="str">
        <f>IF(A124="","",COUNTIFS(加仓管理!$A$2:$A$1001,A124,加仓管理!$G$2:$G$1001,"&gt;0"))</f>
        <v/>
      </c>
      <c r="AL124" s="26" t="str">
        <f>IF(A124="","",SUMIFS(加仓管理!$G$2:$G$1001,加仓管理!$A$2:$A$1001,A124))</f>
        <v/>
      </c>
      <c r="AM124" s="27" t="str">
        <f>IF(AK124=0,"",IFERROR(LOOKUP(2,1/((加仓管理!$A$2:$A$1001=A124)*(加仓管理!$G$2:$G$1001&gt;0)),加仓管理!$D$2:$D$1001),""))</f>
        <v/>
      </c>
      <c r="AN124" s="27" t="str">
        <f>IF(AK124=0,"",IFERROR(LOOKUP(2,1/((加仓管理!$A$2:$A$1001=A124)*(加仓管理!$G$2:$G$1001&gt;0)),加仓管理!$E$2:$E$1001),""))</f>
        <v/>
      </c>
      <c r="AO124" s="27" t="str">
        <f>IF(OR(A124="",H124="",H124&lt;=0),"",(E124*H124+SUMIFS(加仓管理!$H$2:$H$1001,加仓管理!$A$2:$A$1001,A124))/AP124)</f>
        <v/>
      </c>
      <c r="AP124" s="26" t="str">
        <f t="shared" si="21"/>
        <v/>
      </c>
      <c r="AQ124" s="27" t="str">
        <f>IF(A124="","",IF(M124&lt;&gt;"",0,IF(OR(H124="",N124=""),"",MAX((E124*H124+SUMIFS(加仓管理!$H$2:$H$1001,加仓管理!$A$2:$A$1001,A124))-MAX(N124,AN124)*AP124,0))))</f>
        <v/>
      </c>
      <c r="AR124" s="27" t="str">
        <f ca="1"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ht="17" spans="1:44">
      <c r="A125" s="23"/>
      <c r="B125" s="23"/>
      <c r="C125" s="7"/>
      <c r="D125" s="4"/>
      <c r="E125" s="7"/>
      <c r="F125" s="6" t="str">
        <f t="shared" si="11"/>
        <v/>
      </c>
      <c r="G125" s="6" t="str">
        <f ca="1"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23"/>
      <c r="I125" s="24"/>
      <c r="J125" s="7"/>
      <c r="K125" s="3"/>
      <c r="L125" s="6" t="str">
        <f t="shared" si="12"/>
        <v/>
      </c>
      <c r="M125" s="41"/>
      <c r="N125" s="7"/>
      <c r="O125" s="7"/>
      <c r="P125" s="3"/>
      <c r="Q125" s="23"/>
      <c r="R125" s="23"/>
      <c r="S125" s="23"/>
      <c r="T125" s="23"/>
      <c r="U125" s="5" t="str">
        <f t="shared" si="13"/>
        <v/>
      </c>
      <c r="V125" s="5" t="str">
        <f t="shared" si="14"/>
        <v/>
      </c>
      <c r="W125" s="25" t="str">
        <f t="shared" si="15"/>
        <v/>
      </c>
      <c r="X125" s="3" t="str">
        <f t="shared" si="16"/>
        <v/>
      </c>
      <c r="Y125" s="5" t="str">
        <f t="shared" si="17"/>
        <v/>
      </c>
      <c r="Z125" s="5" t="str">
        <f>IF(OR(AE125="",多次统计数据!$B$8=""),"",AE125-多次统计数据!$B$8)</f>
        <v/>
      </c>
      <c r="AA125" s="8" t="str">
        <f t="shared" si="18"/>
        <v/>
      </c>
      <c r="AB125" s="5" t="str">
        <f>IF(OR(A125="",多次统计数据!$B$8="",多次统计数据!$B$6&lt;=0,多次统计数据!$B$6&gt;=1),"",1-POWER(1+多次统计数据!$B$8,-多次统计数据!$B$6/(1-多次统计数据!$B$6)))</f>
        <v/>
      </c>
      <c r="AC125" s="6" t="str">
        <f>IF(OR(AB125="",多次统计数据!$B$9=""),"",IF(多次统计数据!$B$9&lt;AB125,"低于上限","达到或超过上限"))</f>
        <v/>
      </c>
      <c r="AD125" s="23"/>
      <c r="AE125" s="5" t="str">
        <f t="shared" si="19"/>
        <v/>
      </c>
      <c r="AG125" s="23"/>
      <c r="AH125" s="23"/>
      <c r="AI125" s="23"/>
      <c r="AJ125" s="6" t="str">
        <f t="shared" si="20"/>
        <v/>
      </c>
      <c r="AK125" s="26" t="str">
        <f>IF(A125="","",COUNTIFS(加仓管理!$A$2:$A$1001,A125,加仓管理!$G$2:$G$1001,"&gt;0"))</f>
        <v/>
      </c>
      <c r="AL125" s="26" t="str">
        <f>IF(A125="","",SUMIFS(加仓管理!$G$2:$G$1001,加仓管理!$A$2:$A$1001,A125))</f>
        <v/>
      </c>
      <c r="AM125" s="27" t="str">
        <f>IF(AK125=0,"",IFERROR(LOOKUP(2,1/((加仓管理!$A$2:$A$1001=A125)*(加仓管理!$G$2:$G$1001&gt;0)),加仓管理!$D$2:$D$1001),""))</f>
        <v/>
      </c>
      <c r="AN125" s="27" t="str">
        <f>IF(AK125=0,"",IFERROR(LOOKUP(2,1/((加仓管理!$A$2:$A$1001=A125)*(加仓管理!$G$2:$G$1001&gt;0)),加仓管理!$E$2:$E$1001),""))</f>
        <v/>
      </c>
      <c r="AO125" s="27" t="str">
        <f>IF(OR(A125="",H125="",H125&lt;=0),"",(E125*H125+SUMIFS(加仓管理!$H$2:$H$1001,加仓管理!$A$2:$A$1001,A125))/AP125)</f>
        <v/>
      </c>
      <c r="AP125" s="26" t="str">
        <f t="shared" si="21"/>
        <v/>
      </c>
      <c r="AQ125" s="27" t="str">
        <f>IF(A125="","",IF(M125&lt;&gt;"",0,IF(OR(H125="",N125=""),"",MAX((E125*H125+SUMIFS(加仓管理!$H$2:$H$1001,加仓管理!$A$2:$A$1001,A125))-MAX(N125,AN125)*AP125,0))))</f>
        <v/>
      </c>
      <c r="AR125" s="27" t="str">
        <f ca="1"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ht="17" spans="1:44">
      <c r="A126" s="23"/>
      <c r="B126" s="23"/>
      <c r="C126" s="7"/>
      <c r="D126" s="4"/>
      <c r="E126" s="7"/>
      <c r="F126" s="6" t="str">
        <f t="shared" si="11"/>
        <v/>
      </c>
      <c r="G126" s="6" t="str">
        <f ca="1"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23"/>
      <c r="I126" s="24"/>
      <c r="J126" s="7"/>
      <c r="K126" s="3"/>
      <c r="L126" s="6" t="str">
        <f t="shared" si="12"/>
        <v/>
      </c>
      <c r="M126" s="41"/>
      <c r="N126" s="7"/>
      <c r="O126" s="7"/>
      <c r="P126" s="3"/>
      <c r="Q126" s="23"/>
      <c r="R126" s="23"/>
      <c r="S126" s="23"/>
      <c r="T126" s="23"/>
      <c r="U126" s="5" t="str">
        <f t="shared" si="13"/>
        <v/>
      </c>
      <c r="V126" s="5" t="str">
        <f t="shared" si="14"/>
        <v/>
      </c>
      <c r="W126" s="25" t="str">
        <f t="shared" si="15"/>
        <v/>
      </c>
      <c r="X126" s="3" t="str">
        <f t="shared" si="16"/>
        <v/>
      </c>
      <c r="Y126" s="5" t="str">
        <f t="shared" si="17"/>
        <v/>
      </c>
      <c r="Z126" s="5" t="str">
        <f>IF(OR(AE126="",多次统计数据!$B$8=""),"",AE126-多次统计数据!$B$8)</f>
        <v/>
      </c>
      <c r="AA126" s="8" t="str">
        <f t="shared" si="18"/>
        <v/>
      </c>
      <c r="AB126" s="5" t="str">
        <f>IF(OR(A126="",多次统计数据!$B$8="",多次统计数据!$B$6&lt;=0,多次统计数据!$B$6&gt;=1),"",1-POWER(1+多次统计数据!$B$8,-多次统计数据!$B$6/(1-多次统计数据!$B$6)))</f>
        <v/>
      </c>
      <c r="AC126" s="6" t="str">
        <f>IF(OR(AB126="",多次统计数据!$B$9=""),"",IF(多次统计数据!$B$9&lt;AB126,"低于上限","达到或超过上限"))</f>
        <v/>
      </c>
      <c r="AD126" s="23"/>
      <c r="AE126" s="5" t="str">
        <f t="shared" si="19"/>
        <v/>
      </c>
      <c r="AG126" s="23"/>
      <c r="AH126" s="23"/>
      <c r="AI126" s="23"/>
      <c r="AJ126" s="6" t="str">
        <f t="shared" si="20"/>
        <v/>
      </c>
      <c r="AK126" s="26" t="str">
        <f>IF(A126="","",COUNTIFS(加仓管理!$A$2:$A$1001,A126,加仓管理!$G$2:$G$1001,"&gt;0"))</f>
        <v/>
      </c>
      <c r="AL126" s="26" t="str">
        <f>IF(A126="","",SUMIFS(加仓管理!$G$2:$G$1001,加仓管理!$A$2:$A$1001,A126))</f>
        <v/>
      </c>
      <c r="AM126" s="27" t="str">
        <f>IF(AK126=0,"",IFERROR(LOOKUP(2,1/((加仓管理!$A$2:$A$1001=A126)*(加仓管理!$G$2:$G$1001&gt;0)),加仓管理!$D$2:$D$1001),""))</f>
        <v/>
      </c>
      <c r="AN126" s="27" t="str">
        <f>IF(AK126=0,"",IFERROR(LOOKUP(2,1/((加仓管理!$A$2:$A$1001=A126)*(加仓管理!$G$2:$G$1001&gt;0)),加仓管理!$E$2:$E$1001),""))</f>
        <v/>
      </c>
      <c r="AO126" s="27" t="str">
        <f>IF(OR(A126="",H126="",H126&lt;=0),"",(E126*H126+SUMIFS(加仓管理!$H$2:$H$1001,加仓管理!$A$2:$A$1001,A126))/AP126)</f>
        <v/>
      </c>
      <c r="AP126" s="26" t="str">
        <f t="shared" si="21"/>
        <v/>
      </c>
      <c r="AQ126" s="27" t="str">
        <f>IF(A126="","",IF(M126&lt;&gt;"",0,IF(OR(H126="",N126=""),"",MAX((E126*H126+SUMIFS(加仓管理!$H$2:$H$1001,加仓管理!$A$2:$A$1001,A126))-MAX(N126,AN126)*AP126,0))))</f>
        <v/>
      </c>
      <c r="AR126" s="27" t="str">
        <f ca="1"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ht="17" spans="1:44">
      <c r="A127" s="23"/>
      <c r="B127" s="23"/>
      <c r="C127" s="7"/>
      <c r="D127" s="4"/>
      <c r="E127" s="7"/>
      <c r="F127" s="6" t="str">
        <f t="shared" si="11"/>
        <v/>
      </c>
      <c r="G127" s="6" t="str">
        <f ca="1"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23"/>
      <c r="I127" s="24"/>
      <c r="J127" s="7"/>
      <c r="K127" s="3"/>
      <c r="L127" s="6" t="str">
        <f t="shared" si="12"/>
        <v/>
      </c>
      <c r="M127" s="41"/>
      <c r="N127" s="7"/>
      <c r="O127" s="7"/>
      <c r="P127" s="3"/>
      <c r="Q127" s="23"/>
      <c r="R127" s="23"/>
      <c r="S127" s="23"/>
      <c r="T127" s="23"/>
      <c r="U127" s="5" t="str">
        <f t="shared" si="13"/>
        <v/>
      </c>
      <c r="V127" s="5" t="str">
        <f t="shared" si="14"/>
        <v/>
      </c>
      <c r="W127" s="25" t="str">
        <f t="shared" si="15"/>
        <v/>
      </c>
      <c r="X127" s="3" t="str">
        <f t="shared" si="16"/>
        <v/>
      </c>
      <c r="Y127" s="5" t="str">
        <f t="shared" si="17"/>
        <v/>
      </c>
      <c r="Z127" s="5" t="str">
        <f>IF(OR(AE127="",多次统计数据!$B$8=""),"",AE127-多次统计数据!$B$8)</f>
        <v/>
      </c>
      <c r="AA127" s="8" t="str">
        <f t="shared" si="18"/>
        <v/>
      </c>
      <c r="AB127" s="5" t="str">
        <f>IF(OR(A127="",多次统计数据!$B$8="",多次统计数据!$B$6&lt;=0,多次统计数据!$B$6&gt;=1),"",1-POWER(1+多次统计数据!$B$8,-多次统计数据!$B$6/(1-多次统计数据!$B$6)))</f>
        <v/>
      </c>
      <c r="AC127" s="6" t="str">
        <f>IF(OR(AB127="",多次统计数据!$B$9=""),"",IF(多次统计数据!$B$9&lt;AB127,"低于上限","达到或超过上限"))</f>
        <v/>
      </c>
      <c r="AD127" s="23"/>
      <c r="AE127" s="5" t="str">
        <f t="shared" si="19"/>
        <v/>
      </c>
      <c r="AG127" s="23"/>
      <c r="AH127" s="23"/>
      <c r="AI127" s="23"/>
      <c r="AJ127" s="6" t="str">
        <f t="shared" si="20"/>
        <v/>
      </c>
      <c r="AK127" s="26" t="str">
        <f>IF(A127="","",COUNTIFS(加仓管理!$A$2:$A$1001,A127,加仓管理!$G$2:$G$1001,"&gt;0"))</f>
        <v/>
      </c>
      <c r="AL127" s="26" t="str">
        <f>IF(A127="","",SUMIFS(加仓管理!$G$2:$G$1001,加仓管理!$A$2:$A$1001,A127))</f>
        <v/>
      </c>
      <c r="AM127" s="27" t="str">
        <f>IF(AK127=0,"",IFERROR(LOOKUP(2,1/((加仓管理!$A$2:$A$1001=A127)*(加仓管理!$G$2:$G$1001&gt;0)),加仓管理!$D$2:$D$1001),""))</f>
        <v/>
      </c>
      <c r="AN127" s="27" t="str">
        <f>IF(AK127=0,"",IFERROR(LOOKUP(2,1/((加仓管理!$A$2:$A$1001=A127)*(加仓管理!$G$2:$G$1001&gt;0)),加仓管理!$E$2:$E$1001),""))</f>
        <v/>
      </c>
      <c r="AO127" s="27" t="str">
        <f>IF(OR(A127="",H127="",H127&lt;=0),"",(E127*H127+SUMIFS(加仓管理!$H$2:$H$1001,加仓管理!$A$2:$A$1001,A127))/AP127)</f>
        <v/>
      </c>
      <c r="AP127" s="26" t="str">
        <f t="shared" si="21"/>
        <v/>
      </c>
      <c r="AQ127" s="27" t="str">
        <f>IF(A127="","",IF(M127&lt;&gt;"",0,IF(OR(H127="",N127=""),"",MAX((E127*H127+SUMIFS(加仓管理!$H$2:$H$1001,加仓管理!$A$2:$A$1001,A127))-MAX(N127,AN127)*AP127,0))))</f>
        <v/>
      </c>
      <c r="AR127" s="27" t="str">
        <f ca="1"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ht="17" spans="1:44">
      <c r="A128" s="23"/>
      <c r="B128" s="23"/>
      <c r="C128" s="7"/>
      <c r="D128" s="4"/>
      <c r="E128" s="7"/>
      <c r="F128" s="6" t="str">
        <f t="shared" si="11"/>
        <v/>
      </c>
      <c r="G128" s="6" t="str">
        <f ca="1"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23"/>
      <c r="I128" s="24"/>
      <c r="J128" s="7"/>
      <c r="K128" s="3"/>
      <c r="L128" s="6" t="str">
        <f t="shared" si="12"/>
        <v/>
      </c>
      <c r="M128" s="41"/>
      <c r="N128" s="7"/>
      <c r="O128" s="7"/>
      <c r="P128" s="3"/>
      <c r="Q128" s="23"/>
      <c r="R128" s="23"/>
      <c r="S128" s="23"/>
      <c r="T128" s="23"/>
      <c r="U128" s="5" t="str">
        <f t="shared" si="13"/>
        <v/>
      </c>
      <c r="V128" s="5" t="str">
        <f t="shared" si="14"/>
        <v/>
      </c>
      <c r="W128" s="25" t="str">
        <f t="shared" si="15"/>
        <v/>
      </c>
      <c r="X128" s="3" t="str">
        <f t="shared" si="16"/>
        <v/>
      </c>
      <c r="Y128" s="5" t="str">
        <f t="shared" si="17"/>
        <v/>
      </c>
      <c r="Z128" s="5" t="str">
        <f>IF(OR(AE128="",多次统计数据!$B$8=""),"",AE128-多次统计数据!$B$8)</f>
        <v/>
      </c>
      <c r="AA128" s="8" t="str">
        <f t="shared" si="18"/>
        <v/>
      </c>
      <c r="AB128" s="5" t="str">
        <f>IF(OR(A128="",多次统计数据!$B$8="",多次统计数据!$B$6&lt;=0,多次统计数据!$B$6&gt;=1),"",1-POWER(1+多次统计数据!$B$8,-多次统计数据!$B$6/(1-多次统计数据!$B$6)))</f>
        <v/>
      </c>
      <c r="AC128" s="6" t="str">
        <f>IF(OR(AB128="",多次统计数据!$B$9=""),"",IF(多次统计数据!$B$9&lt;AB128,"低于上限","达到或超过上限"))</f>
        <v/>
      </c>
      <c r="AD128" s="23"/>
      <c r="AE128" s="5" t="str">
        <f t="shared" si="19"/>
        <v/>
      </c>
      <c r="AG128" s="23"/>
      <c r="AH128" s="23"/>
      <c r="AI128" s="23"/>
      <c r="AJ128" s="6" t="str">
        <f t="shared" si="20"/>
        <v/>
      </c>
      <c r="AK128" s="26" t="str">
        <f>IF(A128="","",COUNTIFS(加仓管理!$A$2:$A$1001,A128,加仓管理!$G$2:$G$1001,"&gt;0"))</f>
        <v/>
      </c>
      <c r="AL128" s="26" t="str">
        <f>IF(A128="","",SUMIFS(加仓管理!$G$2:$G$1001,加仓管理!$A$2:$A$1001,A128))</f>
        <v/>
      </c>
      <c r="AM128" s="27" t="str">
        <f>IF(AK128=0,"",IFERROR(LOOKUP(2,1/((加仓管理!$A$2:$A$1001=A128)*(加仓管理!$G$2:$G$1001&gt;0)),加仓管理!$D$2:$D$1001),""))</f>
        <v/>
      </c>
      <c r="AN128" s="27" t="str">
        <f>IF(AK128=0,"",IFERROR(LOOKUP(2,1/((加仓管理!$A$2:$A$1001=A128)*(加仓管理!$G$2:$G$1001&gt;0)),加仓管理!$E$2:$E$1001),""))</f>
        <v/>
      </c>
      <c r="AO128" s="27" t="str">
        <f>IF(OR(A128="",H128="",H128&lt;=0),"",(E128*H128+SUMIFS(加仓管理!$H$2:$H$1001,加仓管理!$A$2:$A$1001,A128))/AP128)</f>
        <v/>
      </c>
      <c r="AP128" s="26" t="str">
        <f t="shared" si="21"/>
        <v/>
      </c>
      <c r="AQ128" s="27" t="str">
        <f>IF(A128="","",IF(M128&lt;&gt;"",0,IF(OR(H128="",N128=""),"",MAX((E128*H128+SUMIFS(加仓管理!$H$2:$H$1001,加仓管理!$A$2:$A$1001,A128))-MAX(N128,AN128)*AP128,0))))</f>
        <v/>
      </c>
      <c r="AR128" s="27" t="str">
        <f ca="1"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ht="17" spans="1:44">
      <c r="A129" s="23"/>
      <c r="B129" s="23"/>
      <c r="C129" s="7"/>
      <c r="D129" s="4"/>
      <c r="E129" s="7"/>
      <c r="F129" s="6" t="str">
        <f t="shared" si="11"/>
        <v/>
      </c>
      <c r="G129" s="6" t="str">
        <f ca="1"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23"/>
      <c r="I129" s="24"/>
      <c r="J129" s="7"/>
      <c r="K129" s="3"/>
      <c r="L129" s="6" t="str">
        <f t="shared" si="12"/>
        <v/>
      </c>
      <c r="M129" s="41"/>
      <c r="N129" s="7"/>
      <c r="O129" s="7"/>
      <c r="P129" s="3"/>
      <c r="Q129" s="23"/>
      <c r="R129" s="23"/>
      <c r="S129" s="23"/>
      <c r="T129" s="23"/>
      <c r="U129" s="5" t="str">
        <f t="shared" si="13"/>
        <v/>
      </c>
      <c r="V129" s="5" t="str">
        <f t="shared" si="14"/>
        <v/>
      </c>
      <c r="W129" s="25" t="str">
        <f t="shared" si="15"/>
        <v/>
      </c>
      <c r="X129" s="3" t="str">
        <f t="shared" si="16"/>
        <v/>
      </c>
      <c r="Y129" s="5" t="str">
        <f t="shared" si="17"/>
        <v/>
      </c>
      <c r="Z129" s="5" t="str">
        <f>IF(OR(AE129="",多次统计数据!$B$8=""),"",AE129-多次统计数据!$B$8)</f>
        <v/>
      </c>
      <c r="AA129" s="8" t="str">
        <f t="shared" si="18"/>
        <v/>
      </c>
      <c r="AB129" s="5" t="str">
        <f>IF(OR(A129="",多次统计数据!$B$8="",多次统计数据!$B$6&lt;=0,多次统计数据!$B$6&gt;=1),"",1-POWER(1+多次统计数据!$B$8,-多次统计数据!$B$6/(1-多次统计数据!$B$6)))</f>
        <v/>
      </c>
      <c r="AC129" s="6" t="str">
        <f>IF(OR(AB129="",多次统计数据!$B$9=""),"",IF(多次统计数据!$B$9&lt;AB129,"低于上限","达到或超过上限"))</f>
        <v/>
      </c>
      <c r="AD129" s="23"/>
      <c r="AE129" s="5" t="str">
        <f t="shared" si="19"/>
        <v/>
      </c>
      <c r="AG129" s="23"/>
      <c r="AH129" s="23"/>
      <c r="AI129" s="23"/>
      <c r="AJ129" s="6" t="str">
        <f t="shared" si="20"/>
        <v/>
      </c>
      <c r="AK129" s="26" t="str">
        <f>IF(A129="","",COUNTIFS(加仓管理!$A$2:$A$1001,A129,加仓管理!$G$2:$G$1001,"&gt;0"))</f>
        <v/>
      </c>
      <c r="AL129" s="26" t="str">
        <f>IF(A129="","",SUMIFS(加仓管理!$G$2:$G$1001,加仓管理!$A$2:$A$1001,A129))</f>
        <v/>
      </c>
      <c r="AM129" s="27" t="str">
        <f>IF(AK129=0,"",IFERROR(LOOKUP(2,1/((加仓管理!$A$2:$A$1001=A129)*(加仓管理!$G$2:$G$1001&gt;0)),加仓管理!$D$2:$D$1001),""))</f>
        <v/>
      </c>
      <c r="AN129" s="27" t="str">
        <f>IF(AK129=0,"",IFERROR(LOOKUP(2,1/((加仓管理!$A$2:$A$1001=A129)*(加仓管理!$G$2:$G$1001&gt;0)),加仓管理!$E$2:$E$1001),""))</f>
        <v/>
      </c>
      <c r="AO129" s="27" t="str">
        <f>IF(OR(A129="",H129="",H129&lt;=0),"",(E129*H129+SUMIFS(加仓管理!$H$2:$H$1001,加仓管理!$A$2:$A$1001,A129))/AP129)</f>
        <v/>
      </c>
      <c r="AP129" s="26" t="str">
        <f t="shared" si="21"/>
        <v/>
      </c>
      <c r="AQ129" s="27" t="str">
        <f>IF(A129="","",IF(M129&lt;&gt;"",0,IF(OR(H129="",N129=""),"",MAX((E129*H129+SUMIFS(加仓管理!$H$2:$H$1001,加仓管理!$A$2:$A$1001,A129))-MAX(N129,AN129)*AP129,0))))</f>
        <v/>
      </c>
      <c r="AR129" s="27" t="str">
        <f ca="1"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ht="17" spans="1:44">
      <c r="A130" s="23"/>
      <c r="B130" s="23"/>
      <c r="C130" s="7"/>
      <c r="D130" s="4"/>
      <c r="E130" s="7"/>
      <c r="F130" s="6" t="str">
        <f t="shared" ref="F130:F193" si="22">IF(OR(C130="",D130="",E130="",N130="",C130&lt;=0,D130&lt;=0,E130&lt;=N130),"",ROUNDDOWN((C130*D130)/(E130-N130)/100,0)*100)</f>
        <v/>
      </c>
      <c r="G130" s="6" t="str">
        <f ca="1"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23"/>
      <c r="I130" s="24"/>
      <c r="J130" s="7"/>
      <c r="K130" s="3"/>
      <c r="L130" s="6" t="str">
        <f t="shared" ref="L130:L193" si="23">IF(AP130="","",AP130)</f>
        <v/>
      </c>
      <c r="M130" s="41"/>
      <c r="N130" s="7"/>
      <c r="O130" s="7"/>
      <c r="P130" s="3"/>
      <c r="Q130" s="23"/>
      <c r="R130" s="23"/>
      <c r="S130" s="23"/>
      <c r="T130" s="23"/>
      <c r="U130" s="5" t="str">
        <f t="shared" ref="U130:U193" si="24">IF(OR(AO130="",J130="",AO130&lt;=0),"",(J130-AO130)/AO130)</f>
        <v/>
      </c>
      <c r="V130" s="5" t="str">
        <f t="shared" ref="V130:V193" si="25">IF(OR(AO130="",N130="",AO130&lt;=0),"",(AO130-N130)/AO130)</f>
        <v/>
      </c>
      <c r="W130" s="25" t="str">
        <f t="shared" ref="W130:W193" si="26">IF(OR(U130="",V130="",V130&lt;=0),"",U130/V130)</f>
        <v/>
      </c>
      <c r="X130" s="3" t="str">
        <f t="shared" ref="X130:X193" si="27">IF(OR(K130="",L130="",AO130="",AP130=""),"",(K130-AO130)*L130-IF(O130="",0,O130)-IF(P130="",0,P130))</f>
        <v/>
      </c>
      <c r="Y130" s="5" t="str">
        <f t="shared" ref="Y130:Y193" si="28">IF(OR(X130="",AO130="",L130=""),"",IF(AO130*L130+IF(O130="",0,O130)&lt;=0,"",X130/(AO130*L130+IF(O130="",0,O130))))</f>
        <v/>
      </c>
      <c r="Z130" s="5" t="str">
        <f>IF(OR(AE130="",多次统计数据!$B$8=""),"",AE130-多次统计数据!$B$8)</f>
        <v/>
      </c>
      <c r="AA130" s="8" t="str">
        <f t="shared" ref="AA130:AA193" si="29">IF(OR(I130="",M130="",M130&lt;I130),"",M130-I130)</f>
        <v/>
      </c>
      <c r="AB130" s="5" t="str">
        <f>IF(OR(A130="",多次统计数据!$B$8="",多次统计数据!$B$6&lt;=0,多次统计数据!$B$6&gt;=1),"",1-POWER(1+多次统计数据!$B$8,-多次统计数据!$B$6/(1-多次统计数据!$B$6)))</f>
        <v/>
      </c>
      <c r="AC130" s="6" t="str">
        <f>IF(OR(AB130="",多次统计数据!$B$9=""),"",IF(多次统计数据!$B$9&lt;AB130,"低于上限","达到或超过上限"))</f>
        <v/>
      </c>
      <c r="AD130" s="23"/>
      <c r="AE130" s="5" t="str">
        <f t="shared" ref="AE130:AE193" si="30">IF(OR(X130="",C130="",C130&lt;=0),"",X130/C130)</f>
        <v/>
      </c>
      <c r="AG130" s="23"/>
      <c r="AH130" s="23"/>
      <c r="AI130" s="23"/>
      <c r="AJ130" s="6" t="str">
        <f t="shared" ref="AJ130:AJ193" si="31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26" t="str">
        <f>IF(A130="","",COUNTIFS(加仓管理!$A$2:$A$1001,A130,加仓管理!$G$2:$G$1001,"&gt;0"))</f>
        <v/>
      </c>
      <c r="AL130" s="26" t="str">
        <f>IF(A130="","",SUMIFS(加仓管理!$G$2:$G$1001,加仓管理!$A$2:$A$1001,A130))</f>
        <v/>
      </c>
      <c r="AM130" s="27" t="str">
        <f>IF(AK130=0,"",IFERROR(LOOKUP(2,1/((加仓管理!$A$2:$A$1001=A130)*(加仓管理!$G$2:$G$1001&gt;0)),加仓管理!$D$2:$D$1001),""))</f>
        <v/>
      </c>
      <c r="AN130" s="27" t="str">
        <f>IF(AK130=0,"",IFERROR(LOOKUP(2,1/((加仓管理!$A$2:$A$1001=A130)*(加仓管理!$G$2:$G$1001&gt;0)),加仓管理!$E$2:$E$1001),""))</f>
        <v/>
      </c>
      <c r="AO130" s="27" t="str">
        <f>IF(OR(A130="",H130="",H130&lt;=0),"",(E130*H130+SUMIFS(加仓管理!$H$2:$H$1001,加仓管理!$A$2:$A$1001,A130))/AP130)</f>
        <v/>
      </c>
      <c r="AP130" s="26" t="str">
        <f t="shared" ref="AP130:AP193" si="32">IF(OR(A130="",H130="",H130&lt;=0),"",H130+AL130)</f>
        <v/>
      </c>
      <c r="AQ130" s="27" t="str">
        <f>IF(A130="","",IF(M130&lt;&gt;"",0,IF(OR(H130="",N130=""),"",MAX((E130*H130+SUMIFS(加仓管理!$H$2:$H$1001,加仓管理!$A$2:$A$1001,A130))-MAX(N130,AN130)*AP130,0))))</f>
        <v/>
      </c>
      <c r="AR130" s="27" t="str">
        <f ca="1"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ht="17" spans="1:44">
      <c r="A131" s="23"/>
      <c r="B131" s="23"/>
      <c r="C131" s="7"/>
      <c r="D131" s="4"/>
      <c r="E131" s="7"/>
      <c r="F131" s="6" t="str">
        <f t="shared" si="22"/>
        <v/>
      </c>
      <c r="G131" s="6" t="str">
        <f ca="1"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23"/>
      <c r="I131" s="24"/>
      <c r="J131" s="7"/>
      <c r="K131" s="3"/>
      <c r="L131" s="6" t="str">
        <f t="shared" si="23"/>
        <v/>
      </c>
      <c r="M131" s="41"/>
      <c r="N131" s="7"/>
      <c r="O131" s="7"/>
      <c r="P131" s="3"/>
      <c r="Q131" s="23"/>
      <c r="R131" s="23"/>
      <c r="S131" s="23"/>
      <c r="T131" s="23"/>
      <c r="U131" s="5" t="str">
        <f t="shared" si="24"/>
        <v/>
      </c>
      <c r="V131" s="5" t="str">
        <f t="shared" si="25"/>
        <v/>
      </c>
      <c r="W131" s="25" t="str">
        <f t="shared" si="26"/>
        <v/>
      </c>
      <c r="X131" s="3" t="str">
        <f t="shared" si="27"/>
        <v/>
      </c>
      <c r="Y131" s="5" t="str">
        <f t="shared" si="28"/>
        <v/>
      </c>
      <c r="Z131" s="5" t="str">
        <f>IF(OR(AE131="",多次统计数据!$B$8=""),"",AE131-多次统计数据!$B$8)</f>
        <v/>
      </c>
      <c r="AA131" s="8" t="str">
        <f t="shared" si="29"/>
        <v/>
      </c>
      <c r="AB131" s="5" t="str">
        <f>IF(OR(A131="",多次统计数据!$B$8="",多次统计数据!$B$6&lt;=0,多次统计数据!$B$6&gt;=1),"",1-POWER(1+多次统计数据!$B$8,-多次统计数据!$B$6/(1-多次统计数据!$B$6)))</f>
        <v/>
      </c>
      <c r="AC131" s="6" t="str">
        <f>IF(OR(AB131="",多次统计数据!$B$9=""),"",IF(多次统计数据!$B$9&lt;AB131,"低于上限","达到或超过上限"))</f>
        <v/>
      </c>
      <c r="AD131" s="23"/>
      <c r="AE131" s="5" t="str">
        <f t="shared" si="30"/>
        <v/>
      </c>
      <c r="AG131" s="23"/>
      <c r="AH131" s="23"/>
      <c r="AI131" s="23"/>
      <c r="AJ131" s="6" t="str">
        <f t="shared" si="31"/>
        <v/>
      </c>
      <c r="AK131" s="26" t="str">
        <f>IF(A131="","",COUNTIFS(加仓管理!$A$2:$A$1001,A131,加仓管理!$G$2:$G$1001,"&gt;0"))</f>
        <v/>
      </c>
      <c r="AL131" s="26" t="str">
        <f>IF(A131="","",SUMIFS(加仓管理!$G$2:$G$1001,加仓管理!$A$2:$A$1001,A131))</f>
        <v/>
      </c>
      <c r="AM131" s="27" t="str">
        <f>IF(AK131=0,"",IFERROR(LOOKUP(2,1/((加仓管理!$A$2:$A$1001=A131)*(加仓管理!$G$2:$G$1001&gt;0)),加仓管理!$D$2:$D$1001),""))</f>
        <v/>
      </c>
      <c r="AN131" s="27" t="str">
        <f>IF(AK131=0,"",IFERROR(LOOKUP(2,1/((加仓管理!$A$2:$A$1001=A131)*(加仓管理!$G$2:$G$1001&gt;0)),加仓管理!$E$2:$E$1001),""))</f>
        <v/>
      </c>
      <c r="AO131" s="27" t="str">
        <f>IF(OR(A131="",H131="",H131&lt;=0),"",(E131*H131+SUMIFS(加仓管理!$H$2:$H$1001,加仓管理!$A$2:$A$1001,A131))/AP131)</f>
        <v/>
      </c>
      <c r="AP131" s="26" t="str">
        <f t="shared" si="32"/>
        <v/>
      </c>
      <c r="AQ131" s="27" t="str">
        <f>IF(A131="","",IF(M131&lt;&gt;"",0,IF(OR(H131="",N131=""),"",MAX((E131*H131+SUMIFS(加仓管理!$H$2:$H$1001,加仓管理!$A$2:$A$1001,A131))-MAX(N131,AN131)*AP131,0))))</f>
        <v/>
      </c>
      <c r="AR131" s="27" t="str">
        <f ca="1"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ht="17" spans="1:44">
      <c r="A132" s="23"/>
      <c r="B132" s="23"/>
      <c r="C132" s="7"/>
      <c r="D132" s="4"/>
      <c r="E132" s="7"/>
      <c r="F132" s="6" t="str">
        <f t="shared" si="22"/>
        <v/>
      </c>
      <c r="G132" s="6" t="str">
        <f ca="1"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23"/>
      <c r="I132" s="24"/>
      <c r="J132" s="7"/>
      <c r="K132" s="3"/>
      <c r="L132" s="6" t="str">
        <f t="shared" si="23"/>
        <v/>
      </c>
      <c r="M132" s="41"/>
      <c r="N132" s="7"/>
      <c r="O132" s="7"/>
      <c r="P132" s="3"/>
      <c r="Q132" s="23"/>
      <c r="R132" s="23"/>
      <c r="S132" s="23"/>
      <c r="T132" s="23"/>
      <c r="U132" s="5" t="str">
        <f t="shared" si="24"/>
        <v/>
      </c>
      <c r="V132" s="5" t="str">
        <f t="shared" si="25"/>
        <v/>
      </c>
      <c r="W132" s="25" t="str">
        <f t="shared" si="26"/>
        <v/>
      </c>
      <c r="X132" s="3" t="str">
        <f t="shared" si="27"/>
        <v/>
      </c>
      <c r="Y132" s="5" t="str">
        <f t="shared" si="28"/>
        <v/>
      </c>
      <c r="Z132" s="5" t="str">
        <f>IF(OR(AE132="",多次统计数据!$B$8=""),"",AE132-多次统计数据!$B$8)</f>
        <v/>
      </c>
      <c r="AA132" s="8" t="str">
        <f t="shared" si="29"/>
        <v/>
      </c>
      <c r="AB132" s="5" t="str">
        <f>IF(OR(A132="",多次统计数据!$B$8="",多次统计数据!$B$6&lt;=0,多次统计数据!$B$6&gt;=1),"",1-POWER(1+多次统计数据!$B$8,-多次统计数据!$B$6/(1-多次统计数据!$B$6)))</f>
        <v/>
      </c>
      <c r="AC132" s="6" t="str">
        <f>IF(OR(AB132="",多次统计数据!$B$9=""),"",IF(多次统计数据!$B$9&lt;AB132,"低于上限","达到或超过上限"))</f>
        <v/>
      </c>
      <c r="AD132" s="23"/>
      <c r="AE132" s="5" t="str">
        <f t="shared" si="30"/>
        <v/>
      </c>
      <c r="AG132" s="23"/>
      <c r="AH132" s="23"/>
      <c r="AI132" s="23"/>
      <c r="AJ132" s="6" t="str">
        <f t="shared" si="31"/>
        <v/>
      </c>
      <c r="AK132" s="26" t="str">
        <f>IF(A132="","",COUNTIFS(加仓管理!$A$2:$A$1001,A132,加仓管理!$G$2:$G$1001,"&gt;0"))</f>
        <v/>
      </c>
      <c r="AL132" s="26" t="str">
        <f>IF(A132="","",SUMIFS(加仓管理!$G$2:$G$1001,加仓管理!$A$2:$A$1001,A132))</f>
        <v/>
      </c>
      <c r="AM132" s="27" t="str">
        <f>IF(AK132=0,"",IFERROR(LOOKUP(2,1/((加仓管理!$A$2:$A$1001=A132)*(加仓管理!$G$2:$G$1001&gt;0)),加仓管理!$D$2:$D$1001),""))</f>
        <v/>
      </c>
      <c r="AN132" s="27" t="str">
        <f>IF(AK132=0,"",IFERROR(LOOKUP(2,1/((加仓管理!$A$2:$A$1001=A132)*(加仓管理!$G$2:$G$1001&gt;0)),加仓管理!$E$2:$E$1001),""))</f>
        <v/>
      </c>
      <c r="AO132" s="27" t="str">
        <f>IF(OR(A132="",H132="",H132&lt;=0),"",(E132*H132+SUMIFS(加仓管理!$H$2:$H$1001,加仓管理!$A$2:$A$1001,A132))/AP132)</f>
        <v/>
      </c>
      <c r="AP132" s="26" t="str">
        <f t="shared" si="32"/>
        <v/>
      </c>
      <c r="AQ132" s="27" t="str">
        <f>IF(A132="","",IF(M132&lt;&gt;"",0,IF(OR(H132="",N132=""),"",MAX((E132*H132+SUMIFS(加仓管理!$H$2:$H$1001,加仓管理!$A$2:$A$1001,A132))-MAX(N132,AN132)*AP132,0))))</f>
        <v/>
      </c>
      <c r="AR132" s="27" t="str">
        <f ca="1"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ht="17" spans="1:44">
      <c r="A133" s="23"/>
      <c r="B133" s="23"/>
      <c r="C133" s="7"/>
      <c r="D133" s="4"/>
      <c r="E133" s="7"/>
      <c r="F133" s="6" t="str">
        <f t="shared" si="22"/>
        <v/>
      </c>
      <c r="G133" s="6" t="str">
        <f ca="1"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23"/>
      <c r="I133" s="24"/>
      <c r="J133" s="7"/>
      <c r="K133" s="3"/>
      <c r="L133" s="6" t="str">
        <f t="shared" si="23"/>
        <v/>
      </c>
      <c r="M133" s="41"/>
      <c r="N133" s="7"/>
      <c r="O133" s="7"/>
      <c r="P133" s="3"/>
      <c r="Q133" s="23"/>
      <c r="R133" s="23"/>
      <c r="S133" s="23"/>
      <c r="T133" s="23"/>
      <c r="U133" s="5" t="str">
        <f t="shared" si="24"/>
        <v/>
      </c>
      <c r="V133" s="5" t="str">
        <f t="shared" si="25"/>
        <v/>
      </c>
      <c r="W133" s="25" t="str">
        <f t="shared" si="26"/>
        <v/>
      </c>
      <c r="X133" s="3" t="str">
        <f t="shared" si="27"/>
        <v/>
      </c>
      <c r="Y133" s="5" t="str">
        <f t="shared" si="28"/>
        <v/>
      </c>
      <c r="Z133" s="5" t="str">
        <f>IF(OR(AE133="",多次统计数据!$B$8=""),"",AE133-多次统计数据!$B$8)</f>
        <v/>
      </c>
      <c r="AA133" s="8" t="str">
        <f t="shared" si="29"/>
        <v/>
      </c>
      <c r="AB133" s="5" t="str">
        <f>IF(OR(A133="",多次统计数据!$B$8="",多次统计数据!$B$6&lt;=0,多次统计数据!$B$6&gt;=1),"",1-POWER(1+多次统计数据!$B$8,-多次统计数据!$B$6/(1-多次统计数据!$B$6)))</f>
        <v/>
      </c>
      <c r="AC133" s="6" t="str">
        <f>IF(OR(AB133="",多次统计数据!$B$9=""),"",IF(多次统计数据!$B$9&lt;AB133,"低于上限","达到或超过上限"))</f>
        <v/>
      </c>
      <c r="AD133" s="23"/>
      <c r="AE133" s="5" t="str">
        <f t="shared" si="30"/>
        <v/>
      </c>
      <c r="AG133" s="23"/>
      <c r="AH133" s="23"/>
      <c r="AI133" s="23"/>
      <c r="AJ133" s="6" t="str">
        <f t="shared" si="31"/>
        <v/>
      </c>
      <c r="AK133" s="26" t="str">
        <f>IF(A133="","",COUNTIFS(加仓管理!$A$2:$A$1001,A133,加仓管理!$G$2:$G$1001,"&gt;0"))</f>
        <v/>
      </c>
      <c r="AL133" s="26" t="str">
        <f>IF(A133="","",SUMIFS(加仓管理!$G$2:$G$1001,加仓管理!$A$2:$A$1001,A133))</f>
        <v/>
      </c>
      <c r="AM133" s="27" t="str">
        <f>IF(AK133=0,"",IFERROR(LOOKUP(2,1/((加仓管理!$A$2:$A$1001=A133)*(加仓管理!$G$2:$G$1001&gt;0)),加仓管理!$D$2:$D$1001),""))</f>
        <v/>
      </c>
      <c r="AN133" s="27" t="str">
        <f>IF(AK133=0,"",IFERROR(LOOKUP(2,1/((加仓管理!$A$2:$A$1001=A133)*(加仓管理!$G$2:$G$1001&gt;0)),加仓管理!$E$2:$E$1001),""))</f>
        <v/>
      </c>
      <c r="AO133" s="27" t="str">
        <f>IF(OR(A133="",H133="",H133&lt;=0),"",(E133*H133+SUMIFS(加仓管理!$H$2:$H$1001,加仓管理!$A$2:$A$1001,A133))/AP133)</f>
        <v/>
      </c>
      <c r="AP133" s="26" t="str">
        <f t="shared" si="32"/>
        <v/>
      </c>
      <c r="AQ133" s="27" t="str">
        <f>IF(A133="","",IF(M133&lt;&gt;"",0,IF(OR(H133="",N133=""),"",MAX((E133*H133+SUMIFS(加仓管理!$H$2:$H$1001,加仓管理!$A$2:$A$1001,A133))-MAX(N133,AN133)*AP133,0))))</f>
        <v/>
      </c>
      <c r="AR133" s="27" t="str">
        <f ca="1"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ht="17" spans="1:44">
      <c r="A134" s="23"/>
      <c r="B134" s="23"/>
      <c r="C134" s="7"/>
      <c r="D134" s="4"/>
      <c r="E134" s="7"/>
      <c r="F134" s="6" t="str">
        <f t="shared" si="22"/>
        <v/>
      </c>
      <c r="G134" s="6" t="str">
        <f ca="1"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23"/>
      <c r="I134" s="24"/>
      <c r="J134" s="7"/>
      <c r="K134" s="3"/>
      <c r="L134" s="6" t="str">
        <f t="shared" si="23"/>
        <v/>
      </c>
      <c r="M134" s="41"/>
      <c r="N134" s="7"/>
      <c r="O134" s="7"/>
      <c r="P134" s="3"/>
      <c r="Q134" s="23"/>
      <c r="R134" s="23"/>
      <c r="S134" s="23"/>
      <c r="T134" s="23"/>
      <c r="U134" s="5" t="str">
        <f t="shared" si="24"/>
        <v/>
      </c>
      <c r="V134" s="5" t="str">
        <f t="shared" si="25"/>
        <v/>
      </c>
      <c r="W134" s="25" t="str">
        <f t="shared" si="26"/>
        <v/>
      </c>
      <c r="X134" s="3" t="str">
        <f t="shared" si="27"/>
        <v/>
      </c>
      <c r="Y134" s="5" t="str">
        <f t="shared" si="28"/>
        <v/>
      </c>
      <c r="Z134" s="5" t="str">
        <f>IF(OR(AE134="",多次统计数据!$B$8=""),"",AE134-多次统计数据!$B$8)</f>
        <v/>
      </c>
      <c r="AA134" s="8" t="str">
        <f t="shared" si="29"/>
        <v/>
      </c>
      <c r="AB134" s="5" t="str">
        <f>IF(OR(A134="",多次统计数据!$B$8="",多次统计数据!$B$6&lt;=0,多次统计数据!$B$6&gt;=1),"",1-POWER(1+多次统计数据!$B$8,-多次统计数据!$B$6/(1-多次统计数据!$B$6)))</f>
        <v/>
      </c>
      <c r="AC134" s="6" t="str">
        <f>IF(OR(AB134="",多次统计数据!$B$9=""),"",IF(多次统计数据!$B$9&lt;AB134,"低于上限","达到或超过上限"))</f>
        <v/>
      </c>
      <c r="AD134" s="23"/>
      <c r="AE134" s="5" t="str">
        <f t="shared" si="30"/>
        <v/>
      </c>
      <c r="AG134" s="23"/>
      <c r="AH134" s="23"/>
      <c r="AI134" s="23"/>
      <c r="AJ134" s="6" t="str">
        <f t="shared" si="31"/>
        <v/>
      </c>
      <c r="AK134" s="26" t="str">
        <f>IF(A134="","",COUNTIFS(加仓管理!$A$2:$A$1001,A134,加仓管理!$G$2:$G$1001,"&gt;0"))</f>
        <v/>
      </c>
      <c r="AL134" s="26" t="str">
        <f>IF(A134="","",SUMIFS(加仓管理!$G$2:$G$1001,加仓管理!$A$2:$A$1001,A134))</f>
        <v/>
      </c>
      <c r="AM134" s="27" t="str">
        <f>IF(AK134=0,"",IFERROR(LOOKUP(2,1/((加仓管理!$A$2:$A$1001=A134)*(加仓管理!$G$2:$G$1001&gt;0)),加仓管理!$D$2:$D$1001),""))</f>
        <v/>
      </c>
      <c r="AN134" s="27" t="str">
        <f>IF(AK134=0,"",IFERROR(LOOKUP(2,1/((加仓管理!$A$2:$A$1001=A134)*(加仓管理!$G$2:$G$1001&gt;0)),加仓管理!$E$2:$E$1001),""))</f>
        <v/>
      </c>
      <c r="AO134" s="27" t="str">
        <f>IF(OR(A134="",H134="",H134&lt;=0),"",(E134*H134+SUMIFS(加仓管理!$H$2:$H$1001,加仓管理!$A$2:$A$1001,A134))/AP134)</f>
        <v/>
      </c>
      <c r="AP134" s="26" t="str">
        <f t="shared" si="32"/>
        <v/>
      </c>
      <c r="AQ134" s="27" t="str">
        <f>IF(A134="","",IF(M134&lt;&gt;"",0,IF(OR(H134="",N134=""),"",MAX((E134*H134+SUMIFS(加仓管理!$H$2:$H$1001,加仓管理!$A$2:$A$1001,A134))-MAX(N134,AN134)*AP134,0))))</f>
        <v/>
      </c>
      <c r="AR134" s="27" t="str">
        <f ca="1"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ht="17" spans="1:44">
      <c r="A135" s="23"/>
      <c r="B135" s="23"/>
      <c r="C135" s="7"/>
      <c r="D135" s="4"/>
      <c r="E135" s="7"/>
      <c r="F135" s="6" t="str">
        <f t="shared" si="22"/>
        <v/>
      </c>
      <c r="G135" s="6" t="str">
        <f ca="1"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23"/>
      <c r="I135" s="24"/>
      <c r="J135" s="7"/>
      <c r="K135" s="3"/>
      <c r="L135" s="6" t="str">
        <f t="shared" si="23"/>
        <v/>
      </c>
      <c r="M135" s="41"/>
      <c r="N135" s="7"/>
      <c r="O135" s="7"/>
      <c r="P135" s="3"/>
      <c r="Q135" s="23"/>
      <c r="R135" s="23"/>
      <c r="S135" s="23"/>
      <c r="T135" s="23"/>
      <c r="U135" s="5" t="str">
        <f t="shared" si="24"/>
        <v/>
      </c>
      <c r="V135" s="5" t="str">
        <f t="shared" si="25"/>
        <v/>
      </c>
      <c r="W135" s="25" t="str">
        <f t="shared" si="26"/>
        <v/>
      </c>
      <c r="X135" s="3" t="str">
        <f t="shared" si="27"/>
        <v/>
      </c>
      <c r="Y135" s="5" t="str">
        <f t="shared" si="28"/>
        <v/>
      </c>
      <c r="Z135" s="5" t="str">
        <f>IF(OR(AE135="",多次统计数据!$B$8=""),"",AE135-多次统计数据!$B$8)</f>
        <v/>
      </c>
      <c r="AA135" s="8" t="str">
        <f t="shared" si="29"/>
        <v/>
      </c>
      <c r="AB135" s="5" t="str">
        <f>IF(OR(A135="",多次统计数据!$B$8="",多次统计数据!$B$6&lt;=0,多次统计数据!$B$6&gt;=1),"",1-POWER(1+多次统计数据!$B$8,-多次统计数据!$B$6/(1-多次统计数据!$B$6)))</f>
        <v/>
      </c>
      <c r="AC135" s="6" t="str">
        <f>IF(OR(AB135="",多次统计数据!$B$9=""),"",IF(多次统计数据!$B$9&lt;AB135,"低于上限","达到或超过上限"))</f>
        <v/>
      </c>
      <c r="AD135" s="23"/>
      <c r="AE135" s="5" t="str">
        <f t="shared" si="30"/>
        <v/>
      </c>
      <c r="AG135" s="23"/>
      <c r="AH135" s="23"/>
      <c r="AI135" s="23"/>
      <c r="AJ135" s="6" t="str">
        <f t="shared" si="31"/>
        <v/>
      </c>
      <c r="AK135" s="26" t="str">
        <f>IF(A135="","",COUNTIFS(加仓管理!$A$2:$A$1001,A135,加仓管理!$G$2:$G$1001,"&gt;0"))</f>
        <v/>
      </c>
      <c r="AL135" s="26" t="str">
        <f>IF(A135="","",SUMIFS(加仓管理!$G$2:$G$1001,加仓管理!$A$2:$A$1001,A135))</f>
        <v/>
      </c>
      <c r="AM135" s="27" t="str">
        <f>IF(AK135=0,"",IFERROR(LOOKUP(2,1/((加仓管理!$A$2:$A$1001=A135)*(加仓管理!$G$2:$G$1001&gt;0)),加仓管理!$D$2:$D$1001),""))</f>
        <v/>
      </c>
      <c r="AN135" s="27" t="str">
        <f>IF(AK135=0,"",IFERROR(LOOKUP(2,1/((加仓管理!$A$2:$A$1001=A135)*(加仓管理!$G$2:$G$1001&gt;0)),加仓管理!$E$2:$E$1001),""))</f>
        <v/>
      </c>
      <c r="AO135" s="27" t="str">
        <f>IF(OR(A135="",H135="",H135&lt;=0),"",(E135*H135+SUMIFS(加仓管理!$H$2:$H$1001,加仓管理!$A$2:$A$1001,A135))/AP135)</f>
        <v/>
      </c>
      <c r="AP135" s="26" t="str">
        <f t="shared" si="32"/>
        <v/>
      </c>
      <c r="AQ135" s="27" t="str">
        <f>IF(A135="","",IF(M135&lt;&gt;"",0,IF(OR(H135="",N135=""),"",MAX((E135*H135+SUMIFS(加仓管理!$H$2:$H$1001,加仓管理!$A$2:$A$1001,A135))-MAX(N135,AN135)*AP135,0))))</f>
        <v/>
      </c>
      <c r="AR135" s="27" t="str">
        <f ca="1"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ht="17" spans="1:44">
      <c r="A136" s="23"/>
      <c r="B136" s="23"/>
      <c r="C136" s="7"/>
      <c r="D136" s="4"/>
      <c r="E136" s="7"/>
      <c r="F136" s="6" t="str">
        <f t="shared" si="22"/>
        <v/>
      </c>
      <c r="G136" s="6" t="str">
        <f ca="1"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23"/>
      <c r="I136" s="24"/>
      <c r="J136" s="7"/>
      <c r="K136" s="3"/>
      <c r="L136" s="6" t="str">
        <f t="shared" si="23"/>
        <v/>
      </c>
      <c r="M136" s="41"/>
      <c r="N136" s="7"/>
      <c r="O136" s="7"/>
      <c r="P136" s="3"/>
      <c r="Q136" s="23"/>
      <c r="R136" s="23"/>
      <c r="S136" s="23"/>
      <c r="T136" s="23"/>
      <c r="U136" s="5" t="str">
        <f t="shared" si="24"/>
        <v/>
      </c>
      <c r="V136" s="5" t="str">
        <f t="shared" si="25"/>
        <v/>
      </c>
      <c r="W136" s="25" t="str">
        <f t="shared" si="26"/>
        <v/>
      </c>
      <c r="X136" s="3" t="str">
        <f t="shared" si="27"/>
        <v/>
      </c>
      <c r="Y136" s="5" t="str">
        <f t="shared" si="28"/>
        <v/>
      </c>
      <c r="Z136" s="5" t="str">
        <f>IF(OR(AE136="",多次统计数据!$B$8=""),"",AE136-多次统计数据!$B$8)</f>
        <v/>
      </c>
      <c r="AA136" s="8" t="str">
        <f t="shared" si="29"/>
        <v/>
      </c>
      <c r="AB136" s="5" t="str">
        <f>IF(OR(A136="",多次统计数据!$B$8="",多次统计数据!$B$6&lt;=0,多次统计数据!$B$6&gt;=1),"",1-POWER(1+多次统计数据!$B$8,-多次统计数据!$B$6/(1-多次统计数据!$B$6)))</f>
        <v/>
      </c>
      <c r="AC136" s="6" t="str">
        <f>IF(OR(AB136="",多次统计数据!$B$9=""),"",IF(多次统计数据!$B$9&lt;AB136,"低于上限","达到或超过上限"))</f>
        <v/>
      </c>
      <c r="AD136" s="23"/>
      <c r="AE136" s="5" t="str">
        <f t="shared" si="30"/>
        <v/>
      </c>
      <c r="AG136" s="23"/>
      <c r="AH136" s="23"/>
      <c r="AI136" s="23"/>
      <c r="AJ136" s="6" t="str">
        <f t="shared" si="31"/>
        <v/>
      </c>
      <c r="AK136" s="26" t="str">
        <f>IF(A136="","",COUNTIFS(加仓管理!$A$2:$A$1001,A136,加仓管理!$G$2:$G$1001,"&gt;0"))</f>
        <v/>
      </c>
      <c r="AL136" s="26" t="str">
        <f>IF(A136="","",SUMIFS(加仓管理!$G$2:$G$1001,加仓管理!$A$2:$A$1001,A136))</f>
        <v/>
      </c>
      <c r="AM136" s="27" t="str">
        <f>IF(AK136=0,"",IFERROR(LOOKUP(2,1/((加仓管理!$A$2:$A$1001=A136)*(加仓管理!$G$2:$G$1001&gt;0)),加仓管理!$D$2:$D$1001),""))</f>
        <v/>
      </c>
      <c r="AN136" s="27" t="str">
        <f>IF(AK136=0,"",IFERROR(LOOKUP(2,1/((加仓管理!$A$2:$A$1001=A136)*(加仓管理!$G$2:$G$1001&gt;0)),加仓管理!$E$2:$E$1001),""))</f>
        <v/>
      </c>
      <c r="AO136" s="27" t="str">
        <f>IF(OR(A136="",H136="",H136&lt;=0),"",(E136*H136+SUMIFS(加仓管理!$H$2:$H$1001,加仓管理!$A$2:$A$1001,A136))/AP136)</f>
        <v/>
      </c>
      <c r="AP136" s="26" t="str">
        <f t="shared" si="32"/>
        <v/>
      </c>
      <c r="AQ136" s="27" t="str">
        <f>IF(A136="","",IF(M136&lt;&gt;"",0,IF(OR(H136="",N136=""),"",MAX((E136*H136+SUMIFS(加仓管理!$H$2:$H$1001,加仓管理!$A$2:$A$1001,A136))-MAX(N136,AN136)*AP136,0))))</f>
        <v/>
      </c>
      <c r="AR136" s="27" t="str">
        <f ca="1"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ht="17" spans="1:44">
      <c r="A137" s="23"/>
      <c r="B137" s="23"/>
      <c r="C137" s="7"/>
      <c r="D137" s="4"/>
      <c r="E137" s="7"/>
      <c r="F137" s="6" t="str">
        <f t="shared" si="22"/>
        <v/>
      </c>
      <c r="G137" s="6" t="str">
        <f ca="1"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23"/>
      <c r="I137" s="24"/>
      <c r="J137" s="7"/>
      <c r="K137" s="3"/>
      <c r="L137" s="6" t="str">
        <f t="shared" si="23"/>
        <v/>
      </c>
      <c r="M137" s="41"/>
      <c r="N137" s="7"/>
      <c r="O137" s="7"/>
      <c r="P137" s="3"/>
      <c r="Q137" s="23"/>
      <c r="R137" s="23"/>
      <c r="S137" s="23"/>
      <c r="T137" s="23"/>
      <c r="U137" s="5" t="str">
        <f t="shared" si="24"/>
        <v/>
      </c>
      <c r="V137" s="5" t="str">
        <f t="shared" si="25"/>
        <v/>
      </c>
      <c r="W137" s="25" t="str">
        <f t="shared" si="26"/>
        <v/>
      </c>
      <c r="X137" s="3" t="str">
        <f t="shared" si="27"/>
        <v/>
      </c>
      <c r="Y137" s="5" t="str">
        <f t="shared" si="28"/>
        <v/>
      </c>
      <c r="Z137" s="5" t="str">
        <f>IF(OR(AE137="",多次统计数据!$B$8=""),"",AE137-多次统计数据!$B$8)</f>
        <v/>
      </c>
      <c r="AA137" s="8" t="str">
        <f t="shared" si="29"/>
        <v/>
      </c>
      <c r="AB137" s="5" t="str">
        <f>IF(OR(A137="",多次统计数据!$B$8="",多次统计数据!$B$6&lt;=0,多次统计数据!$B$6&gt;=1),"",1-POWER(1+多次统计数据!$B$8,-多次统计数据!$B$6/(1-多次统计数据!$B$6)))</f>
        <v/>
      </c>
      <c r="AC137" s="6" t="str">
        <f>IF(OR(AB137="",多次统计数据!$B$9=""),"",IF(多次统计数据!$B$9&lt;AB137,"低于上限","达到或超过上限"))</f>
        <v/>
      </c>
      <c r="AD137" s="23"/>
      <c r="AE137" s="5" t="str">
        <f t="shared" si="30"/>
        <v/>
      </c>
      <c r="AG137" s="23"/>
      <c r="AH137" s="23"/>
      <c r="AI137" s="23"/>
      <c r="AJ137" s="6" t="str">
        <f t="shared" si="31"/>
        <v/>
      </c>
      <c r="AK137" s="26" t="str">
        <f>IF(A137="","",COUNTIFS(加仓管理!$A$2:$A$1001,A137,加仓管理!$G$2:$G$1001,"&gt;0"))</f>
        <v/>
      </c>
      <c r="AL137" s="26" t="str">
        <f>IF(A137="","",SUMIFS(加仓管理!$G$2:$G$1001,加仓管理!$A$2:$A$1001,A137))</f>
        <v/>
      </c>
      <c r="AM137" s="27" t="str">
        <f>IF(AK137=0,"",IFERROR(LOOKUP(2,1/((加仓管理!$A$2:$A$1001=A137)*(加仓管理!$G$2:$G$1001&gt;0)),加仓管理!$D$2:$D$1001),""))</f>
        <v/>
      </c>
      <c r="AN137" s="27" t="str">
        <f>IF(AK137=0,"",IFERROR(LOOKUP(2,1/((加仓管理!$A$2:$A$1001=A137)*(加仓管理!$G$2:$G$1001&gt;0)),加仓管理!$E$2:$E$1001),""))</f>
        <v/>
      </c>
      <c r="AO137" s="27" t="str">
        <f>IF(OR(A137="",H137="",H137&lt;=0),"",(E137*H137+SUMIFS(加仓管理!$H$2:$H$1001,加仓管理!$A$2:$A$1001,A137))/AP137)</f>
        <v/>
      </c>
      <c r="AP137" s="26" t="str">
        <f t="shared" si="32"/>
        <v/>
      </c>
      <c r="AQ137" s="27" t="str">
        <f>IF(A137="","",IF(M137&lt;&gt;"",0,IF(OR(H137="",N137=""),"",MAX((E137*H137+SUMIFS(加仓管理!$H$2:$H$1001,加仓管理!$A$2:$A$1001,A137))-MAX(N137,AN137)*AP137,0))))</f>
        <v/>
      </c>
      <c r="AR137" s="27" t="str">
        <f ca="1"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ht="17" spans="1:44">
      <c r="A138" s="23"/>
      <c r="B138" s="23"/>
      <c r="C138" s="7"/>
      <c r="D138" s="4"/>
      <c r="E138" s="7"/>
      <c r="F138" s="6" t="str">
        <f t="shared" si="22"/>
        <v/>
      </c>
      <c r="G138" s="6" t="str">
        <f ca="1"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23"/>
      <c r="I138" s="24"/>
      <c r="J138" s="7"/>
      <c r="K138" s="3"/>
      <c r="L138" s="6" t="str">
        <f t="shared" si="23"/>
        <v/>
      </c>
      <c r="M138" s="41"/>
      <c r="N138" s="7"/>
      <c r="O138" s="7"/>
      <c r="P138" s="3"/>
      <c r="Q138" s="23"/>
      <c r="R138" s="23"/>
      <c r="S138" s="23"/>
      <c r="T138" s="23"/>
      <c r="U138" s="5" t="str">
        <f t="shared" si="24"/>
        <v/>
      </c>
      <c r="V138" s="5" t="str">
        <f t="shared" si="25"/>
        <v/>
      </c>
      <c r="W138" s="25" t="str">
        <f t="shared" si="26"/>
        <v/>
      </c>
      <c r="X138" s="3" t="str">
        <f t="shared" si="27"/>
        <v/>
      </c>
      <c r="Y138" s="5" t="str">
        <f t="shared" si="28"/>
        <v/>
      </c>
      <c r="Z138" s="5" t="str">
        <f>IF(OR(AE138="",多次统计数据!$B$8=""),"",AE138-多次统计数据!$B$8)</f>
        <v/>
      </c>
      <c r="AA138" s="8" t="str">
        <f t="shared" si="29"/>
        <v/>
      </c>
      <c r="AB138" s="5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23"/>
      <c r="AE138" s="5" t="str">
        <f t="shared" si="30"/>
        <v/>
      </c>
      <c r="AG138" s="23"/>
      <c r="AH138" s="23"/>
      <c r="AI138" s="23"/>
      <c r="AJ138" s="6" t="str">
        <f t="shared" si="31"/>
        <v/>
      </c>
      <c r="AK138" s="26" t="str">
        <f>IF(A138="","",COUNTIFS(加仓管理!$A$2:$A$1001,A138,加仓管理!$G$2:$G$1001,"&gt;0"))</f>
        <v/>
      </c>
      <c r="AL138" s="26" t="str">
        <f>IF(A138="","",SUMIFS(加仓管理!$G$2:$G$1001,加仓管理!$A$2:$A$1001,A138))</f>
        <v/>
      </c>
      <c r="AM138" s="27" t="str">
        <f>IF(AK138=0,"",IFERROR(LOOKUP(2,1/((加仓管理!$A$2:$A$1001=A138)*(加仓管理!$G$2:$G$1001&gt;0)),加仓管理!$D$2:$D$1001),""))</f>
        <v/>
      </c>
      <c r="AN138" s="27" t="str">
        <f>IF(AK138=0,"",IFERROR(LOOKUP(2,1/((加仓管理!$A$2:$A$1001=A138)*(加仓管理!$G$2:$G$1001&gt;0)),加仓管理!$E$2:$E$1001),""))</f>
        <v/>
      </c>
      <c r="AO138" s="27" t="str">
        <f>IF(OR(A138="",H138="",H138&lt;=0),"",(E138*H138+SUMIFS(加仓管理!$H$2:$H$1001,加仓管理!$A$2:$A$1001,A138))/AP138)</f>
        <v/>
      </c>
      <c r="AP138" s="26" t="str">
        <f t="shared" si="32"/>
        <v/>
      </c>
      <c r="AQ138" s="27" t="str">
        <f>IF(A138="","",IF(M138&lt;&gt;"",0,IF(OR(H138="",N138=""),"",MAX((E138*H138+SUMIFS(加仓管理!$H$2:$H$1001,加仓管理!$A$2:$A$1001,A138))-MAX(N138,AN138)*AP138,0))))</f>
        <v/>
      </c>
      <c r="AR138" s="27" t="str">
        <f ca="1"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ht="17" spans="1:44">
      <c r="A139" s="23"/>
      <c r="B139" s="23"/>
      <c r="C139" s="7"/>
      <c r="D139" s="4"/>
      <c r="E139" s="7"/>
      <c r="F139" s="6" t="str">
        <f t="shared" si="22"/>
        <v/>
      </c>
      <c r="G139" s="6" t="str">
        <f ca="1"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23"/>
      <c r="I139" s="24"/>
      <c r="J139" s="7"/>
      <c r="K139" s="3"/>
      <c r="L139" s="6" t="str">
        <f t="shared" si="23"/>
        <v/>
      </c>
      <c r="M139" s="41"/>
      <c r="N139" s="7"/>
      <c r="O139" s="7"/>
      <c r="P139" s="3"/>
      <c r="Q139" s="23"/>
      <c r="R139" s="23"/>
      <c r="S139" s="23"/>
      <c r="T139" s="23"/>
      <c r="U139" s="5" t="str">
        <f t="shared" si="24"/>
        <v/>
      </c>
      <c r="V139" s="5" t="str">
        <f t="shared" si="25"/>
        <v/>
      </c>
      <c r="W139" s="25" t="str">
        <f t="shared" si="26"/>
        <v/>
      </c>
      <c r="X139" s="3" t="str">
        <f t="shared" si="27"/>
        <v/>
      </c>
      <c r="Y139" s="5" t="str">
        <f t="shared" si="28"/>
        <v/>
      </c>
      <c r="Z139" s="5" t="str">
        <f>IF(OR(AE139="",多次统计数据!$B$8=""),"",AE139-多次统计数据!$B$8)</f>
        <v/>
      </c>
      <c r="AA139" s="8" t="str">
        <f t="shared" si="29"/>
        <v/>
      </c>
      <c r="AB139" s="5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23"/>
      <c r="AE139" s="5" t="str">
        <f t="shared" si="30"/>
        <v/>
      </c>
      <c r="AG139" s="23"/>
      <c r="AH139" s="23"/>
      <c r="AI139" s="23"/>
      <c r="AJ139" s="6" t="str">
        <f t="shared" si="31"/>
        <v/>
      </c>
      <c r="AK139" s="26" t="str">
        <f>IF(A139="","",COUNTIFS(加仓管理!$A$2:$A$1001,A139,加仓管理!$G$2:$G$1001,"&gt;0"))</f>
        <v/>
      </c>
      <c r="AL139" s="26" t="str">
        <f>IF(A139="","",SUMIFS(加仓管理!$G$2:$G$1001,加仓管理!$A$2:$A$1001,A139))</f>
        <v/>
      </c>
      <c r="AM139" s="27" t="str">
        <f>IF(AK139=0,"",IFERROR(LOOKUP(2,1/((加仓管理!$A$2:$A$1001=A139)*(加仓管理!$G$2:$G$1001&gt;0)),加仓管理!$D$2:$D$1001),""))</f>
        <v/>
      </c>
      <c r="AN139" s="27" t="str">
        <f>IF(AK139=0,"",IFERROR(LOOKUP(2,1/((加仓管理!$A$2:$A$1001=A139)*(加仓管理!$G$2:$G$1001&gt;0)),加仓管理!$E$2:$E$1001),""))</f>
        <v/>
      </c>
      <c r="AO139" s="27" t="str">
        <f>IF(OR(A139="",H139="",H139&lt;=0),"",(E139*H139+SUMIFS(加仓管理!$H$2:$H$1001,加仓管理!$A$2:$A$1001,A139))/AP139)</f>
        <v/>
      </c>
      <c r="AP139" s="26" t="str">
        <f t="shared" si="32"/>
        <v/>
      </c>
      <c r="AQ139" s="27" t="str">
        <f>IF(A139="","",IF(M139&lt;&gt;"",0,IF(OR(H139="",N139=""),"",MAX((E139*H139+SUMIFS(加仓管理!$H$2:$H$1001,加仓管理!$A$2:$A$1001,A139))-MAX(N139,AN139)*AP139,0))))</f>
        <v/>
      </c>
      <c r="AR139" s="27" t="str">
        <f ca="1"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ht="17" spans="1:44">
      <c r="A140" s="23"/>
      <c r="B140" s="23"/>
      <c r="C140" s="7"/>
      <c r="D140" s="4"/>
      <c r="E140" s="7"/>
      <c r="F140" s="6" t="str">
        <f t="shared" si="22"/>
        <v/>
      </c>
      <c r="G140" s="6" t="str">
        <f ca="1"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23"/>
      <c r="I140" s="24"/>
      <c r="J140" s="7"/>
      <c r="K140" s="3"/>
      <c r="L140" s="6" t="str">
        <f t="shared" si="23"/>
        <v/>
      </c>
      <c r="M140" s="41"/>
      <c r="N140" s="7"/>
      <c r="O140" s="7"/>
      <c r="P140" s="3"/>
      <c r="Q140" s="23"/>
      <c r="R140" s="23"/>
      <c r="S140" s="23"/>
      <c r="T140" s="23"/>
      <c r="U140" s="5" t="str">
        <f t="shared" si="24"/>
        <v/>
      </c>
      <c r="V140" s="5" t="str">
        <f t="shared" si="25"/>
        <v/>
      </c>
      <c r="W140" s="25" t="str">
        <f t="shared" si="26"/>
        <v/>
      </c>
      <c r="X140" s="3" t="str">
        <f t="shared" si="27"/>
        <v/>
      </c>
      <c r="Y140" s="5" t="str">
        <f t="shared" si="28"/>
        <v/>
      </c>
      <c r="Z140" s="5" t="str">
        <f>IF(OR(AE140="",多次统计数据!$B$8=""),"",AE140-多次统计数据!$B$8)</f>
        <v/>
      </c>
      <c r="AA140" s="8" t="str">
        <f t="shared" si="29"/>
        <v/>
      </c>
      <c r="AB140" s="5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23"/>
      <c r="AE140" s="5" t="str">
        <f t="shared" si="30"/>
        <v/>
      </c>
      <c r="AG140" s="23"/>
      <c r="AH140" s="23"/>
      <c r="AI140" s="23"/>
      <c r="AJ140" s="6" t="str">
        <f t="shared" si="31"/>
        <v/>
      </c>
      <c r="AK140" s="26" t="str">
        <f>IF(A140="","",COUNTIFS(加仓管理!$A$2:$A$1001,A140,加仓管理!$G$2:$G$1001,"&gt;0"))</f>
        <v/>
      </c>
      <c r="AL140" s="26" t="str">
        <f>IF(A140="","",SUMIFS(加仓管理!$G$2:$G$1001,加仓管理!$A$2:$A$1001,A140))</f>
        <v/>
      </c>
      <c r="AM140" s="27" t="str">
        <f>IF(AK140=0,"",IFERROR(LOOKUP(2,1/((加仓管理!$A$2:$A$1001=A140)*(加仓管理!$G$2:$G$1001&gt;0)),加仓管理!$D$2:$D$1001),""))</f>
        <v/>
      </c>
      <c r="AN140" s="27" t="str">
        <f>IF(AK140=0,"",IFERROR(LOOKUP(2,1/((加仓管理!$A$2:$A$1001=A140)*(加仓管理!$G$2:$G$1001&gt;0)),加仓管理!$E$2:$E$1001),""))</f>
        <v/>
      </c>
      <c r="AO140" s="27" t="str">
        <f>IF(OR(A140="",H140="",H140&lt;=0),"",(E140*H140+SUMIFS(加仓管理!$H$2:$H$1001,加仓管理!$A$2:$A$1001,A140))/AP140)</f>
        <v/>
      </c>
      <c r="AP140" s="26" t="str">
        <f t="shared" si="32"/>
        <v/>
      </c>
      <c r="AQ140" s="27" t="str">
        <f>IF(A140="","",IF(M140&lt;&gt;"",0,IF(OR(H140="",N140=""),"",MAX((E140*H140+SUMIFS(加仓管理!$H$2:$H$1001,加仓管理!$A$2:$A$1001,A140))-MAX(N140,AN140)*AP140,0))))</f>
        <v/>
      </c>
      <c r="AR140" s="27" t="str">
        <f ca="1"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ht="17" spans="1:44">
      <c r="A141" s="23"/>
      <c r="B141" s="23"/>
      <c r="C141" s="7"/>
      <c r="D141" s="4"/>
      <c r="E141" s="7"/>
      <c r="F141" s="6" t="str">
        <f t="shared" si="22"/>
        <v/>
      </c>
      <c r="G141" s="6" t="str">
        <f ca="1"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23"/>
      <c r="I141" s="24"/>
      <c r="J141" s="7"/>
      <c r="K141" s="3"/>
      <c r="L141" s="6" t="str">
        <f t="shared" si="23"/>
        <v/>
      </c>
      <c r="M141" s="41"/>
      <c r="N141" s="7"/>
      <c r="O141" s="7"/>
      <c r="P141" s="3"/>
      <c r="Q141" s="23"/>
      <c r="R141" s="23"/>
      <c r="S141" s="23"/>
      <c r="T141" s="23"/>
      <c r="U141" s="5" t="str">
        <f t="shared" si="24"/>
        <v/>
      </c>
      <c r="V141" s="5" t="str">
        <f t="shared" si="25"/>
        <v/>
      </c>
      <c r="W141" s="25" t="str">
        <f t="shared" si="26"/>
        <v/>
      </c>
      <c r="X141" s="3" t="str">
        <f t="shared" si="27"/>
        <v/>
      </c>
      <c r="Y141" s="5" t="str">
        <f t="shared" si="28"/>
        <v/>
      </c>
      <c r="Z141" s="5" t="str">
        <f>IF(OR(AE141="",多次统计数据!$B$8=""),"",AE141-多次统计数据!$B$8)</f>
        <v/>
      </c>
      <c r="AA141" s="8" t="str">
        <f t="shared" si="29"/>
        <v/>
      </c>
      <c r="AB141" s="5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23"/>
      <c r="AE141" s="5" t="str">
        <f t="shared" si="30"/>
        <v/>
      </c>
      <c r="AG141" s="23"/>
      <c r="AH141" s="23"/>
      <c r="AI141" s="23"/>
      <c r="AJ141" s="6" t="str">
        <f t="shared" si="31"/>
        <v/>
      </c>
      <c r="AK141" s="26" t="str">
        <f>IF(A141="","",COUNTIFS(加仓管理!$A$2:$A$1001,A141,加仓管理!$G$2:$G$1001,"&gt;0"))</f>
        <v/>
      </c>
      <c r="AL141" s="26" t="str">
        <f>IF(A141="","",SUMIFS(加仓管理!$G$2:$G$1001,加仓管理!$A$2:$A$1001,A141))</f>
        <v/>
      </c>
      <c r="AM141" s="27" t="str">
        <f>IF(AK141=0,"",IFERROR(LOOKUP(2,1/((加仓管理!$A$2:$A$1001=A141)*(加仓管理!$G$2:$G$1001&gt;0)),加仓管理!$D$2:$D$1001),""))</f>
        <v/>
      </c>
      <c r="AN141" s="27" t="str">
        <f>IF(AK141=0,"",IFERROR(LOOKUP(2,1/((加仓管理!$A$2:$A$1001=A141)*(加仓管理!$G$2:$G$1001&gt;0)),加仓管理!$E$2:$E$1001),""))</f>
        <v/>
      </c>
      <c r="AO141" s="27" t="str">
        <f>IF(OR(A141="",H141="",H141&lt;=0),"",(E141*H141+SUMIFS(加仓管理!$H$2:$H$1001,加仓管理!$A$2:$A$1001,A141))/AP141)</f>
        <v/>
      </c>
      <c r="AP141" s="26" t="str">
        <f t="shared" si="32"/>
        <v/>
      </c>
      <c r="AQ141" s="27" t="str">
        <f>IF(A141="","",IF(M141&lt;&gt;"",0,IF(OR(H141="",N141=""),"",MAX((E141*H141+SUMIFS(加仓管理!$H$2:$H$1001,加仓管理!$A$2:$A$1001,A141))-MAX(N141,AN141)*AP141,0))))</f>
        <v/>
      </c>
      <c r="AR141" s="27" t="str">
        <f ca="1"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ht="17" spans="1:44">
      <c r="A142" s="23"/>
      <c r="B142" s="23"/>
      <c r="C142" s="7"/>
      <c r="D142" s="4"/>
      <c r="E142" s="7"/>
      <c r="F142" s="6" t="str">
        <f t="shared" si="22"/>
        <v/>
      </c>
      <c r="G142" s="6" t="str">
        <f ca="1"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23"/>
      <c r="I142" s="24"/>
      <c r="J142" s="7"/>
      <c r="K142" s="3"/>
      <c r="L142" s="6" t="str">
        <f t="shared" si="23"/>
        <v/>
      </c>
      <c r="M142" s="41"/>
      <c r="N142" s="7"/>
      <c r="O142" s="7"/>
      <c r="P142" s="3"/>
      <c r="Q142" s="23"/>
      <c r="R142" s="23"/>
      <c r="S142" s="23"/>
      <c r="T142" s="23"/>
      <c r="U142" s="5" t="str">
        <f t="shared" si="24"/>
        <v/>
      </c>
      <c r="V142" s="5" t="str">
        <f t="shared" si="25"/>
        <v/>
      </c>
      <c r="W142" s="25" t="str">
        <f t="shared" si="26"/>
        <v/>
      </c>
      <c r="X142" s="3" t="str">
        <f t="shared" si="27"/>
        <v/>
      </c>
      <c r="Y142" s="5" t="str">
        <f t="shared" si="28"/>
        <v/>
      </c>
      <c r="Z142" s="5" t="str">
        <f>IF(OR(AE142="",多次统计数据!$B$8=""),"",AE142-多次统计数据!$B$8)</f>
        <v/>
      </c>
      <c r="AA142" s="8" t="str">
        <f t="shared" si="29"/>
        <v/>
      </c>
      <c r="AB142" s="5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23"/>
      <c r="AE142" s="5" t="str">
        <f t="shared" si="30"/>
        <v/>
      </c>
      <c r="AG142" s="23"/>
      <c r="AH142" s="23"/>
      <c r="AI142" s="23"/>
      <c r="AJ142" s="6" t="str">
        <f t="shared" si="31"/>
        <v/>
      </c>
      <c r="AK142" s="26" t="str">
        <f>IF(A142="","",COUNTIFS(加仓管理!$A$2:$A$1001,A142,加仓管理!$G$2:$G$1001,"&gt;0"))</f>
        <v/>
      </c>
      <c r="AL142" s="26" t="str">
        <f>IF(A142="","",SUMIFS(加仓管理!$G$2:$G$1001,加仓管理!$A$2:$A$1001,A142))</f>
        <v/>
      </c>
      <c r="AM142" s="27" t="str">
        <f>IF(AK142=0,"",IFERROR(LOOKUP(2,1/((加仓管理!$A$2:$A$1001=A142)*(加仓管理!$G$2:$G$1001&gt;0)),加仓管理!$D$2:$D$1001),""))</f>
        <v/>
      </c>
      <c r="AN142" s="27" t="str">
        <f>IF(AK142=0,"",IFERROR(LOOKUP(2,1/((加仓管理!$A$2:$A$1001=A142)*(加仓管理!$G$2:$G$1001&gt;0)),加仓管理!$E$2:$E$1001),""))</f>
        <v/>
      </c>
      <c r="AO142" s="27" t="str">
        <f>IF(OR(A142="",H142="",H142&lt;=0),"",(E142*H142+SUMIFS(加仓管理!$H$2:$H$1001,加仓管理!$A$2:$A$1001,A142))/AP142)</f>
        <v/>
      </c>
      <c r="AP142" s="26" t="str">
        <f t="shared" si="32"/>
        <v/>
      </c>
      <c r="AQ142" s="27" t="str">
        <f>IF(A142="","",IF(M142&lt;&gt;"",0,IF(OR(H142="",N142=""),"",MAX((E142*H142+SUMIFS(加仓管理!$H$2:$H$1001,加仓管理!$A$2:$A$1001,A142))-MAX(N142,AN142)*AP142,0))))</f>
        <v/>
      </c>
      <c r="AR142" s="27" t="str">
        <f ca="1"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ht="17" spans="1:44">
      <c r="A143" s="23"/>
      <c r="B143" s="23"/>
      <c r="C143" s="7"/>
      <c r="D143" s="4"/>
      <c r="E143" s="7"/>
      <c r="F143" s="6" t="str">
        <f t="shared" si="22"/>
        <v/>
      </c>
      <c r="G143" s="6" t="str">
        <f ca="1"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23"/>
      <c r="I143" s="24"/>
      <c r="J143" s="7"/>
      <c r="K143" s="3"/>
      <c r="L143" s="6" t="str">
        <f t="shared" si="23"/>
        <v/>
      </c>
      <c r="M143" s="41"/>
      <c r="N143" s="7"/>
      <c r="O143" s="7"/>
      <c r="P143" s="3"/>
      <c r="Q143" s="23"/>
      <c r="R143" s="23"/>
      <c r="S143" s="23"/>
      <c r="T143" s="23"/>
      <c r="U143" s="5" t="str">
        <f t="shared" si="24"/>
        <v/>
      </c>
      <c r="V143" s="5" t="str">
        <f t="shared" si="25"/>
        <v/>
      </c>
      <c r="W143" s="25" t="str">
        <f t="shared" si="26"/>
        <v/>
      </c>
      <c r="X143" s="3" t="str">
        <f t="shared" si="27"/>
        <v/>
      </c>
      <c r="Y143" s="5" t="str">
        <f t="shared" si="28"/>
        <v/>
      </c>
      <c r="Z143" s="5" t="str">
        <f>IF(OR(AE143="",多次统计数据!$B$8=""),"",AE143-多次统计数据!$B$8)</f>
        <v/>
      </c>
      <c r="AA143" s="8" t="str">
        <f t="shared" si="29"/>
        <v/>
      </c>
      <c r="AB143" s="5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23"/>
      <c r="AE143" s="5" t="str">
        <f t="shared" si="30"/>
        <v/>
      </c>
      <c r="AG143" s="23"/>
      <c r="AH143" s="23"/>
      <c r="AI143" s="23"/>
      <c r="AJ143" s="6" t="str">
        <f t="shared" si="31"/>
        <v/>
      </c>
      <c r="AK143" s="26" t="str">
        <f>IF(A143="","",COUNTIFS(加仓管理!$A$2:$A$1001,A143,加仓管理!$G$2:$G$1001,"&gt;0"))</f>
        <v/>
      </c>
      <c r="AL143" s="26" t="str">
        <f>IF(A143="","",SUMIFS(加仓管理!$G$2:$G$1001,加仓管理!$A$2:$A$1001,A143))</f>
        <v/>
      </c>
      <c r="AM143" s="27" t="str">
        <f>IF(AK143=0,"",IFERROR(LOOKUP(2,1/((加仓管理!$A$2:$A$1001=A143)*(加仓管理!$G$2:$G$1001&gt;0)),加仓管理!$D$2:$D$1001),""))</f>
        <v/>
      </c>
      <c r="AN143" s="27" t="str">
        <f>IF(AK143=0,"",IFERROR(LOOKUP(2,1/((加仓管理!$A$2:$A$1001=A143)*(加仓管理!$G$2:$G$1001&gt;0)),加仓管理!$E$2:$E$1001),""))</f>
        <v/>
      </c>
      <c r="AO143" s="27" t="str">
        <f>IF(OR(A143="",H143="",H143&lt;=0),"",(E143*H143+SUMIFS(加仓管理!$H$2:$H$1001,加仓管理!$A$2:$A$1001,A143))/AP143)</f>
        <v/>
      </c>
      <c r="AP143" s="26" t="str">
        <f t="shared" si="32"/>
        <v/>
      </c>
      <c r="AQ143" s="27" t="str">
        <f>IF(A143="","",IF(M143&lt;&gt;"",0,IF(OR(H143="",N143=""),"",MAX((E143*H143+SUMIFS(加仓管理!$H$2:$H$1001,加仓管理!$A$2:$A$1001,A143))-MAX(N143,AN143)*AP143,0))))</f>
        <v/>
      </c>
      <c r="AR143" s="27" t="str">
        <f ca="1"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ht="17" spans="1:44">
      <c r="A144" s="23"/>
      <c r="B144" s="23"/>
      <c r="C144" s="7"/>
      <c r="D144" s="4"/>
      <c r="E144" s="7"/>
      <c r="F144" s="6" t="str">
        <f t="shared" si="22"/>
        <v/>
      </c>
      <c r="G144" s="6" t="str">
        <f ca="1"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23"/>
      <c r="I144" s="24"/>
      <c r="J144" s="7"/>
      <c r="K144" s="3"/>
      <c r="L144" s="6" t="str">
        <f t="shared" si="23"/>
        <v/>
      </c>
      <c r="M144" s="41"/>
      <c r="N144" s="7"/>
      <c r="O144" s="7"/>
      <c r="P144" s="3"/>
      <c r="Q144" s="23"/>
      <c r="R144" s="23"/>
      <c r="S144" s="23"/>
      <c r="T144" s="23"/>
      <c r="U144" s="5" t="str">
        <f t="shared" si="24"/>
        <v/>
      </c>
      <c r="V144" s="5" t="str">
        <f t="shared" si="25"/>
        <v/>
      </c>
      <c r="W144" s="25" t="str">
        <f t="shared" si="26"/>
        <v/>
      </c>
      <c r="X144" s="3" t="str">
        <f t="shared" si="27"/>
        <v/>
      </c>
      <c r="Y144" s="5" t="str">
        <f t="shared" si="28"/>
        <v/>
      </c>
      <c r="Z144" s="5" t="str">
        <f>IF(OR(AE144="",多次统计数据!$B$8=""),"",AE144-多次统计数据!$B$8)</f>
        <v/>
      </c>
      <c r="AA144" s="8" t="str">
        <f t="shared" si="29"/>
        <v/>
      </c>
      <c r="AB144" s="5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23"/>
      <c r="AE144" s="5" t="str">
        <f t="shared" si="30"/>
        <v/>
      </c>
      <c r="AG144" s="23"/>
      <c r="AH144" s="23"/>
      <c r="AI144" s="23"/>
      <c r="AJ144" s="6" t="str">
        <f t="shared" si="31"/>
        <v/>
      </c>
      <c r="AK144" s="26" t="str">
        <f>IF(A144="","",COUNTIFS(加仓管理!$A$2:$A$1001,A144,加仓管理!$G$2:$G$1001,"&gt;0"))</f>
        <v/>
      </c>
      <c r="AL144" s="26" t="str">
        <f>IF(A144="","",SUMIFS(加仓管理!$G$2:$G$1001,加仓管理!$A$2:$A$1001,A144))</f>
        <v/>
      </c>
      <c r="AM144" s="27" t="str">
        <f>IF(AK144=0,"",IFERROR(LOOKUP(2,1/((加仓管理!$A$2:$A$1001=A144)*(加仓管理!$G$2:$G$1001&gt;0)),加仓管理!$D$2:$D$1001),""))</f>
        <v/>
      </c>
      <c r="AN144" s="27" t="str">
        <f>IF(AK144=0,"",IFERROR(LOOKUP(2,1/((加仓管理!$A$2:$A$1001=A144)*(加仓管理!$G$2:$G$1001&gt;0)),加仓管理!$E$2:$E$1001),""))</f>
        <v/>
      </c>
      <c r="AO144" s="27" t="str">
        <f>IF(OR(A144="",H144="",H144&lt;=0),"",(E144*H144+SUMIFS(加仓管理!$H$2:$H$1001,加仓管理!$A$2:$A$1001,A144))/AP144)</f>
        <v/>
      </c>
      <c r="AP144" s="26" t="str">
        <f t="shared" si="32"/>
        <v/>
      </c>
      <c r="AQ144" s="27" t="str">
        <f>IF(A144="","",IF(M144&lt;&gt;"",0,IF(OR(H144="",N144=""),"",MAX((E144*H144+SUMIFS(加仓管理!$H$2:$H$1001,加仓管理!$A$2:$A$1001,A144))-MAX(N144,AN144)*AP144,0))))</f>
        <v/>
      </c>
      <c r="AR144" s="27" t="str">
        <f ca="1"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ht="17" spans="1:44">
      <c r="A145" s="23"/>
      <c r="B145" s="23"/>
      <c r="C145" s="7"/>
      <c r="D145" s="4"/>
      <c r="E145" s="7"/>
      <c r="F145" s="6" t="str">
        <f t="shared" si="22"/>
        <v/>
      </c>
      <c r="G145" s="6" t="str">
        <f ca="1"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23"/>
      <c r="I145" s="24"/>
      <c r="J145" s="7"/>
      <c r="K145" s="3"/>
      <c r="L145" s="6" t="str">
        <f t="shared" si="23"/>
        <v/>
      </c>
      <c r="M145" s="41"/>
      <c r="N145" s="7"/>
      <c r="O145" s="7"/>
      <c r="P145" s="3"/>
      <c r="Q145" s="23"/>
      <c r="R145" s="23"/>
      <c r="S145" s="23"/>
      <c r="T145" s="23"/>
      <c r="U145" s="5" t="str">
        <f t="shared" si="24"/>
        <v/>
      </c>
      <c r="V145" s="5" t="str">
        <f t="shared" si="25"/>
        <v/>
      </c>
      <c r="W145" s="25" t="str">
        <f t="shared" si="26"/>
        <v/>
      </c>
      <c r="X145" s="3" t="str">
        <f t="shared" si="27"/>
        <v/>
      </c>
      <c r="Y145" s="5" t="str">
        <f t="shared" si="28"/>
        <v/>
      </c>
      <c r="Z145" s="5" t="str">
        <f>IF(OR(AE145="",多次统计数据!$B$8=""),"",AE145-多次统计数据!$B$8)</f>
        <v/>
      </c>
      <c r="AA145" s="8" t="str">
        <f t="shared" si="29"/>
        <v/>
      </c>
      <c r="AB145" s="5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23"/>
      <c r="AE145" s="5" t="str">
        <f t="shared" si="30"/>
        <v/>
      </c>
      <c r="AG145" s="23"/>
      <c r="AH145" s="23"/>
      <c r="AI145" s="23"/>
      <c r="AJ145" s="6" t="str">
        <f t="shared" si="31"/>
        <v/>
      </c>
      <c r="AK145" s="26" t="str">
        <f>IF(A145="","",COUNTIFS(加仓管理!$A$2:$A$1001,A145,加仓管理!$G$2:$G$1001,"&gt;0"))</f>
        <v/>
      </c>
      <c r="AL145" s="26" t="str">
        <f>IF(A145="","",SUMIFS(加仓管理!$G$2:$G$1001,加仓管理!$A$2:$A$1001,A145))</f>
        <v/>
      </c>
      <c r="AM145" s="27" t="str">
        <f>IF(AK145=0,"",IFERROR(LOOKUP(2,1/((加仓管理!$A$2:$A$1001=A145)*(加仓管理!$G$2:$G$1001&gt;0)),加仓管理!$D$2:$D$1001),""))</f>
        <v/>
      </c>
      <c r="AN145" s="27" t="str">
        <f>IF(AK145=0,"",IFERROR(LOOKUP(2,1/((加仓管理!$A$2:$A$1001=A145)*(加仓管理!$G$2:$G$1001&gt;0)),加仓管理!$E$2:$E$1001),""))</f>
        <v/>
      </c>
      <c r="AO145" s="27" t="str">
        <f>IF(OR(A145="",H145="",H145&lt;=0),"",(E145*H145+SUMIFS(加仓管理!$H$2:$H$1001,加仓管理!$A$2:$A$1001,A145))/AP145)</f>
        <v/>
      </c>
      <c r="AP145" s="26" t="str">
        <f t="shared" si="32"/>
        <v/>
      </c>
      <c r="AQ145" s="27" t="str">
        <f>IF(A145="","",IF(M145&lt;&gt;"",0,IF(OR(H145="",N145=""),"",MAX((E145*H145+SUMIFS(加仓管理!$H$2:$H$1001,加仓管理!$A$2:$A$1001,A145))-MAX(N145,AN145)*AP145,0))))</f>
        <v/>
      </c>
      <c r="AR145" s="27" t="str">
        <f ca="1"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ht="17" spans="1:44">
      <c r="A146" s="23"/>
      <c r="B146" s="23"/>
      <c r="C146" s="7"/>
      <c r="D146" s="4"/>
      <c r="E146" s="7"/>
      <c r="F146" s="6" t="str">
        <f t="shared" si="22"/>
        <v/>
      </c>
      <c r="G146" s="6" t="str">
        <f ca="1"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23"/>
      <c r="I146" s="24"/>
      <c r="J146" s="7"/>
      <c r="K146" s="3"/>
      <c r="L146" s="6" t="str">
        <f t="shared" si="23"/>
        <v/>
      </c>
      <c r="M146" s="41"/>
      <c r="N146" s="7"/>
      <c r="O146" s="7"/>
      <c r="P146" s="3"/>
      <c r="Q146" s="23"/>
      <c r="R146" s="23"/>
      <c r="S146" s="23"/>
      <c r="T146" s="23"/>
      <c r="U146" s="5" t="str">
        <f t="shared" si="24"/>
        <v/>
      </c>
      <c r="V146" s="5" t="str">
        <f t="shared" si="25"/>
        <v/>
      </c>
      <c r="W146" s="25" t="str">
        <f t="shared" si="26"/>
        <v/>
      </c>
      <c r="X146" s="3" t="str">
        <f t="shared" si="27"/>
        <v/>
      </c>
      <c r="Y146" s="5" t="str">
        <f t="shared" si="28"/>
        <v/>
      </c>
      <c r="Z146" s="5" t="str">
        <f>IF(OR(AE146="",多次统计数据!$B$8=""),"",AE146-多次统计数据!$B$8)</f>
        <v/>
      </c>
      <c r="AA146" s="8" t="str">
        <f t="shared" si="29"/>
        <v/>
      </c>
      <c r="AB146" s="5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23"/>
      <c r="AE146" s="5" t="str">
        <f t="shared" si="30"/>
        <v/>
      </c>
      <c r="AG146" s="23"/>
      <c r="AH146" s="23"/>
      <c r="AI146" s="23"/>
      <c r="AJ146" s="6" t="str">
        <f t="shared" si="31"/>
        <v/>
      </c>
      <c r="AK146" s="26" t="str">
        <f>IF(A146="","",COUNTIFS(加仓管理!$A$2:$A$1001,A146,加仓管理!$G$2:$G$1001,"&gt;0"))</f>
        <v/>
      </c>
      <c r="AL146" s="26" t="str">
        <f>IF(A146="","",SUMIFS(加仓管理!$G$2:$G$1001,加仓管理!$A$2:$A$1001,A146))</f>
        <v/>
      </c>
      <c r="AM146" s="27" t="str">
        <f>IF(AK146=0,"",IFERROR(LOOKUP(2,1/((加仓管理!$A$2:$A$1001=A146)*(加仓管理!$G$2:$G$1001&gt;0)),加仓管理!$D$2:$D$1001),""))</f>
        <v/>
      </c>
      <c r="AN146" s="27" t="str">
        <f>IF(AK146=0,"",IFERROR(LOOKUP(2,1/((加仓管理!$A$2:$A$1001=A146)*(加仓管理!$G$2:$G$1001&gt;0)),加仓管理!$E$2:$E$1001),""))</f>
        <v/>
      </c>
      <c r="AO146" s="27" t="str">
        <f>IF(OR(A146="",H146="",H146&lt;=0),"",(E146*H146+SUMIFS(加仓管理!$H$2:$H$1001,加仓管理!$A$2:$A$1001,A146))/AP146)</f>
        <v/>
      </c>
      <c r="AP146" s="26" t="str">
        <f t="shared" si="32"/>
        <v/>
      </c>
      <c r="AQ146" s="27" t="str">
        <f>IF(A146="","",IF(M146&lt;&gt;"",0,IF(OR(H146="",N146=""),"",MAX((E146*H146+SUMIFS(加仓管理!$H$2:$H$1001,加仓管理!$A$2:$A$1001,A146))-MAX(N146,AN146)*AP146,0))))</f>
        <v/>
      </c>
      <c r="AR146" s="27" t="str">
        <f ca="1"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ht="17" spans="1:44">
      <c r="A147" s="23"/>
      <c r="B147" s="23"/>
      <c r="C147" s="7"/>
      <c r="D147" s="4"/>
      <c r="E147" s="7"/>
      <c r="F147" s="6" t="str">
        <f t="shared" si="22"/>
        <v/>
      </c>
      <c r="G147" s="6" t="str">
        <f ca="1"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23"/>
      <c r="I147" s="24"/>
      <c r="J147" s="7"/>
      <c r="K147" s="3"/>
      <c r="L147" s="6" t="str">
        <f t="shared" si="23"/>
        <v/>
      </c>
      <c r="M147" s="41"/>
      <c r="N147" s="7"/>
      <c r="O147" s="7"/>
      <c r="P147" s="3"/>
      <c r="Q147" s="23"/>
      <c r="R147" s="23"/>
      <c r="S147" s="23"/>
      <c r="T147" s="23"/>
      <c r="U147" s="5" t="str">
        <f t="shared" si="24"/>
        <v/>
      </c>
      <c r="V147" s="5" t="str">
        <f t="shared" si="25"/>
        <v/>
      </c>
      <c r="W147" s="25" t="str">
        <f t="shared" si="26"/>
        <v/>
      </c>
      <c r="X147" s="3" t="str">
        <f t="shared" si="27"/>
        <v/>
      </c>
      <c r="Y147" s="5" t="str">
        <f t="shared" si="28"/>
        <v/>
      </c>
      <c r="Z147" s="5" t="str">
        <f>IF(OR(AE147="",多次统计数据!$B$8=""),"",AE147-多次统计数据!$B$8)</f>
        <v/>
      </c>
      <c r="AA147" s="8" t="str">
        <f t="shared" si="29"/>
        <v/>
      </c>
      <c r="AB147" s="5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23"/>
      <c r="AE147" s="5" t="str">
        <f t="shared" si="30"/>
        <v/>
      </c>
      <c r="AG147" s="23"/>
      <c r="AH147" s="23"/>
      <c r="AI147" s="23"/>
      <c r="AJ147" s="6" t="str">
        <f t="shared" si="31"/>
        <v/>
      </c>
      <c r="AK147" s="26" t="str">
        <f>IF(A147="","",COUNTIFS(加仓管理!$A$2:$A$1001,A147,加仓管理!$G$2:$G$1001,"&gt;0"))</f>
        <v/>
      </c>
      <c r="AL147" s="26" t="str">
        <f>IF(A147="","",SUMIFS(加仓管理!$G$2:$G$1001,加仓管理!$A$2:$A$1001,A147))</f>
        <v/>
      </c>
      <c r="AM147" s="27" t="str">
        <f>IF(AK147=0,"",IFERROR(LOOKUP(2,1/((加仓管理!$A$2:$A$1001=A147)*(加仓管理!$G$2:$G$1001&gt;0)),加仓管理!$D$2:$D$1001),""))</f>
        <v/>
      </c>
      <c r="AN147" s="27" t="str">
        <f>IF(AK147=0,"",IFERROR(LOOKUP(2,1/((加仓管理!$A$2:$A$1001=A147)*(加仓管理!$G$2:$G$1001&gt;0)),加仓管理!$E$2:$E$1001),""))</f>
        <v/>
      </c>
      <c r="AO147" s="27" t="str">
        <f>IF(OR(A147="",H147="",H147&lt;=0),"",(E147*H147+SUMIFS(加仓管理!$H$2:$H$1001,加仓管理!$A$2:$A$1001,A147))/AP147)</f>
        <v/>
      </c>
      <c r="AP147" s="26" t="str">
        <f t="shared" si="32"/>
        <v/>
      </c>
      <c r="AQ147" s="27" t="str">
        <f>IF(A147="","",IF(M147&lt;&gt;"",0,IF(OR(H147="",N147=""),"",MAX((E147*H147+SUMIFS(加仓管理!$H$2:$H$1001,加仓管理!$A$2:$A$1001,A147))-MAX(N147,AN147)*AP147,0))))</f>
        <v/>
      </c>
      <c r="AR147" s="27" t="str">
        <f ca="1"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ht="17" spans="1:44">
      <c r="A148" s="23"/>
      <c r="B148" s="23"/>
      <c r="C148" s="7"/>
      <c r="D148" s="4"/>
      <c r="E148" s="7"/>
      <c r="F148" s="6" t="str">
        <f t="shared" si="22"/>
        <v/>
      </c>
      <c r="G148" s="6" t="str">
        <f ca="1"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23"/>
      <c r="I148" s="24"/>
      <c r="J148" s="7"/>
      <c r="K148" s="3"/>
      <c r="L148" s="6" t="str">
        <f t="shared" si="23"/>
        <v/>
      </c>
      <c r="M148" s="41"/>
      <c r="N148" s="7"/>
      <c r="O148" s="7"/>
      <c r="P148" s="3"/>
      <c r="Q148" s="23"/>
      <c r="R148" s="23"/>
      <c r="S148" s="23"/>
      <c r="T148" s="23"/>
      <c r="U148" s="5" t="str">
        <f t="shared" si="24"/>
        <v/>
      </c>
      <c r="V148" s="5" t="str">
        <f t="shared" si="25"/>
        <v/>
      </c>
      <c r="W148" s="25" t="str">
        <f t="shared" si="26"/>
        <v/>
      </c>
      <c r="X148" s="3" t="str">
        <f t="shared" si="27"/>
        <v/>
      </c>
      <c r="Y148" s="5" t="str">
        <f t="shared" si="28"/>
        <v/>
      </c>
      <c r="Z148" s="5" t="str">
        <f>IF(OR(AE148="",多次统计数据!$B$8=""),"",AE148-多次统计数据!$B$8)</f>
        <v/>
      </c>
      <c r="AA148" s="8" t="str">
        <f t="shared" si="29"/>
        <v/>
      </c>
      <c r="AB148" s="5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23"/>
      <c r="AE148" s="5" t="str">
        <f t="shared" si="30"/>
        <v/>
      </c>
      <c r="AG148" s="23"/>
      <c r="AH148" s="23"/>
      <c r="AI148" s="23"/>
      <c r="AJ148" s="6" t="str">
        <f t="shared" si="31"/>
        <v/>
      </c>
      <c r="AK148" s="26" t="str">
        <f>IF(A148="","",COUNTIFS(加仓管理!$A$2:$A$1001,A148,加仓管理!$G$2:$G$1001,"&gt;0"))</f>
        <v/>
      </c>
      <c r="AL148" s="26" t="str">
        <f>IF(A148="","",SUMIFS(加仓管理!$G$2:$G$1001,加仓管理!$A$2:$A$1001,A148))</f>
        <v/>
      </c>
      <c r="AM148" s="27" t="str">
        <f>IF(AK148=0,"",IFERROR(LOOKUP(2,1/((加仓管理!$A$2:$A$1001=A148)*(加仓管理!$G$2:$G$1001&gt;0)),加仓管理!$D$2:$D$1001),""))</f>
        <v/>
      </c>
      <c r="AN148" s="27" t="str">
        <f>IF(AK148=0,"",IFERROR(LOOKUP(2,1/((加仓管理!$A$2:$A$1001=A148)*(加仓管理!$G$2:$G$1001&gt;0)),加仓管理!$E$2:$E$1001),""))</f>
        <v/>
      </c>
      <c r="AO148" s="27" t="str">
        <f>IF(OR(A148="",H148="",H148&lt;=0),"",(E148*H148+SUMIFS(加仓管理!$H$2:$H$1001,加仓管理!$A$2:$A$1001,A148))/AP148)</f>
        <v/>
      </c>
      <c r="AP148" s="26" t="str">
        <f t="shared" si="32"/>
        <v/>
      </c>
      <c r="AQ148" s="27" t="str">
        <f>IF(A148="","",IF(M148&lt;&gt;"",0,IF(OR(H148="",N148=""),"",MAX((E148*H148+SUMIFS(加仓管理!$H$2:$H$1001,加仓管理!$A$2:$A$1001,A148))-MAX(N148,AN148)*AP148,0))))</f>
        <v/>
      </c>
      <c r="AR148" s="27" t="str">
        <f ca="1"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ht="17" spans="1:44">
      <c r="A149" s="23"/>
      <c r="B149" s="23"/>
      <c r="C149" s="7"/>
      <c r="D149" s="4"/>
      <c r="E149" s="7"/>
      <c r="F149" s="6" t="str">
        <f t="shared" si="22"/>
        <v/>
      </c>
      <c r="G149" s="6" t="str">
        <f ca="1"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23"/>
      <c r="I149" s="24"/>
      <c r="J149" s="7"/>
      <c r="K149" s="3"/>
      <c r="L149" s="6" t="str">
        <f t="shared" si="23"/>
        <v/>
      </c>
      <c r="M149" s="41"/>
      <c r="N149" s="7"/>
      <c r="O149" s="7"/>
      <c r="P149" s="3"/>
      <c r="Q149" s="23"/>
      <c r="R149" s="23"/>
      <c r="S149" s="23"/>
      <c r="T149" s="23"/>
      <c r="U149" s="5" t="str">
        <f t="shared" si="24"/>
        <v/>
      </c>
      <c r="V149" s="5" t="str">
        <f t="shared" si="25"/>
        <v/>
      </c>
      <c r="W149" s="25" t="str">
        <f t="shared" si="26"/>
        <v/>
      </c>
      <c r="X149" s="3" t="str">
        <f t="shared" si="27"/>
        <v/>
      </c>
      <c r="Y149" s="5" t="str">
        <f t="shared" si="28"/>
        <v/>
      </c>
      <c r="Z149" s="5" t="str">
        <f>IF(OR(AE149="",多次统计数据!$B$8=""),"",AE149-多次统计数据!$B$8)</f>
        <v/>
      </c>
      <c r="AA149" s="8" t="str">
        <f t="shared" si="29"/>
        <v/>
      </c>
      <c r="AB149" s="5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23"/>
      <c r="AE149" s="5" t="str">
        <f t="shared" si="30"/>
        <v/>
      </c>
      <c r="AG149" s="23"/>
      <c r="AH149" s="23"/>
      <c r="AI149" s="23"/>
      <c r="AJ149" s="6" t="str">
        <f t="shared" si="31"/>
        <v/>
      </c>
      <c r="AK149" s="26" t="str">
        <f>IF(A149="","",COUNTIFS(加仓管理!$A$2:$A$1001,A149,加仓管理!$G$2:$G$1001,"&gt;0"))</f>
        <v/>
      </c>
      <c r="AL149" s="26" t="str">
        <f>IF(A149="","",SUMIFS(加仓管理!$G$2:$G$1001,加仓管理!$A$2:$A$1001,A149))</f>
        <v/>
      </c>
      <c r="AM149" s="27" t="str">
        <f>IF(AK149=0,"",IFERROR(LOOKUP(2,1/((加仓管理!$A$2:$A$1001=A149)*(加仓管理!$G$2:$G$1001&gt;0)),加仓管理!$D$2:$D$1001),""))</f>
        <v/>
      </c>
      <c r="AN149" s="27" t="str">
        <f>IF(AK149=0,"",IFERROR(LOOKUP(2,1/((加仓管理!$A$2:$A$1001=A149)*(加仓管理!$G$2:$G$1001&gt;0)),加仓管理!$E$2:$E$1001),""))</f>
        <v/>
      </c>
      <c r="AO149" s="27" t="str">
        <f>IF(OR(A149="",H149="",H149&lt;=0),"",(E149*H149+SUMIFS(加仓管理!$H$2:$H$1001,加仓管理!$A$2:$A$1001,A149))/AP149)</f>
        <v/>
      </c>
      <c r="AP149" s="26" t="str">
        <f t="shared" si="32"/>
        <v/>
      </c>
      <c r="AQ149" s="27" t="str">
        <f>IF(A149="","",IF(M149&lt;&gt;"",0,IF(OR(H149="",N149=""),"",MAX((E149*H149+SUMIFS(加仓管理!$H$2:$H$1001,加仓管理!$A$2:$A$1001,A149))-MAX(N149,AN149)*AP149,0))))</f>
        <v/>
      </c>
      <c r="AR149" s="27" t="str">
        <f ca="1"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ht="17" spans="1:44">
      <c r="A150" s="23"/>
      <c r="B150" s="23"/>
      <c r="C150" s="7"/>
      <c r="D150" s="4"/>
      <c r="E150" s="7"/>
      <c r="F150" s="6" t="str">
        <f t="shared" si="22"/>
        <v/>
      </c>
      <c r="G150" s="6" t="str">
        <f ca="1"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23"/>
      <c r="I150" s="24"/>
      <c r="J150" s="7"/>
      <c r="K150" s="3"/>
      <c r="L150" s="6" t="str">
        <f t="shared" si="23"/>
        <v/>
      </c>
      <c r="M150" s="41"/>
      <c r="N150" s="7"/>
      <c r="O150" s="7"/>
      <c r="P150" s="3"/>
      <c r="Q150" s="23"/>
      <c r="R150" s="23"/>
      <c r="S150" s="23"/>
      <c r="T150" s="23"/>
      <c r="U150" s="5" t="str">
        <f t="shared" si="24"/>
        <v/>
      </c>
      <c r="V150" s="5" t="str">
        <f t="shared" si="25"/>
        <v/>
      </c>
      <c r="W150" s="25" t="str">
        <f t="shared" si="26"/>
        <v/>
      </c>
      <c r="X150" s="3" t="str">
        <f t="shared" si="27"/>
        <v/>
      </c>
      <c r="Y150" s="5" t="str">
        <f t="shared" si="28"/>
        <v/>
      </c>
      <c r="Z150" s="5" t="str">
        <f>IF(OR(AE150="",多次统计数据!$B$8=""),"",AE150-多次统计数据!$B$8)</f>
        <v/>
      </c>
      <c r="AA150" s="8" t="str">
        <f t="shared" si="29"/>
        <v/>
      </c>
      <c r="AB150" s="5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23"/>
      <c r="AE150" s="5" t="str">
        <f t="shared" si="30"/>
        <v/>
      </c>
      <c r="AG150" s="23"/>
      <c r="AH150" s="23"/>
      <c r="AI150" s="23"/>
      <c r="AJ150" s="6" t="str">
        <f t="shared" si="31"/>
        <v/>
      </c>
      <c r="AK150" s="26" t="str">
        <f>IF(A150="","",COUNTIFS(加仓管理!$A$2:$A$1001,A150,加仓管理!$G$2:$G$1001,"&gt;0"))</f>
        <v/>
      </c>
      <c r="AL150" s="26" t="str">
        <f>IF(A150="","",SUMIFS(加仓管理!$G$2:$G$1001,加仓管理!$A$2:$A$1001,A150))</f>
        <v/>
      </c>
      <c r="AM150" s="27" t="str">
        <f>IF(AK150=0,"",IFERROR(LOOKUP(2,1/((加仓管理!$A$2:$A$1001=A150)*(加仓管理!$G$2:$G$1001&gt;0)),加仓管理!$D$2:$D$1001),""))</f>
        <v/>
      </c>
      <c r="AN150" s="27" t="str">
        <f>IF(AK150=0,"",IFERROR(LOOKUP(2,1/((加仓管理!$A$2:$A$1001=A150)*(加仓管理!$G$2:$G$1001&gt;0)),加仓管理!$E$2:$E$1001),""))</f>
        <v/>
      </c>
      <c r="AO150" s="27" t="str">
        <f>IF(OR(A150="",H150="",H150&lt;=0),"",(E150*H150+SUMIFS(加仓管理!$H$2:$H$1001,加仓管理!$A$2:$A$1001,A150))/AP150)</f>
        <v/>
      </c>
      <c r="AP150" s="26" t="str">
        <f t="shared" si="32"/>
        <v/>
      </c>
      <c r="AQ150" s="27" t="str">
        <f>IF(A150="","",IF(M150&lt;&gt;"",0,IF(OR(H150="",N150=""),"",MAX((E150*H150+SUMIFS(加仓管理!$H$2:$H$1001,加仓管理!$A$2:$A$1001,A150))-MAX(N150,AN150)*AP150,0))))</f>
        <v/>
      </c>
      <c r="AR150" s="27" t="str">
        <f ca="1"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ht="17" spans="1:44">
      <c r="A151" s="23"/>
      <c r="B151" s="23"/>
      <c r="C151" s="7"/>
      <c r="D151" s="4"/>
      <c r="E151" s="7"/>
      <c r="F151" s="6" t="str">
        <f t="shared" si="22"/>
        <v/>
      </c>
      <c r="G151" s="6" t="str">
        <f ca="1"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23"/>
      <c r="I151" s="24"/>
      <c r="J151" s="7"/>
      <c r="K151" s="3"/>
      <c r="L151" s="6" t="str">
        <f t="shared" si="23"/>
        <v/>
      </c>
      <c r="M151" s="41"/>
      <c r="N151" s="7"/>
      <c r="O151" s="7"/>
      <c r="P151" s="3"/>
      <c r="Q151" s="23"/>
      <c r="R151" s="23"/>
      <c r="S151" s="23"/>
      <c r="T151" s="23"/>
      <c r="U151" s="5" t="str">
        <f t="shared" si="24"/>
        <v/>
      </c>
      <c r="V151" s="5" t="str">
        <f t="shared" si="25"/>
        <v/>
      </c>
      <c r="W151" s="25" t="str">
        <f t="shared" si="26"/>
        <v/>
      </c>
      <c r="X151" s="3" t="str">
        <f t="shared" si="27"/>
        <v/>
      </c>
      <c r="Y151" s="5" t="str">
        <f t="shared" si="28"/>
        <v/>
      </c>
      <c r="Z151" s="5" t="str">
        <f>IF(OR(AE151="",多次统计数据!$B$8=""),"",AE151-多次统计数据!$B$8)</f>
        <v/>
      </c>
      <c r="AA151" s="8" t="str">
        <f t="shared" si="29"/>
        <v/>
      </c>
      <c r="AB151" s="5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23"/>
      <c r="AE151" s="5" t="str">
        <f t="shared" si="30"/>
        <v/>
      </c>
      <c r="AG151" s="23"/>
      <c r="AH151" s="23"/>
      <c r="AI151" s="23"/>
      <c r="AJ151" s="6" t="str">
        <f t="shared" si="31"/>
        <v/>
      </c>
      <c r="AK151" s="26" t="str">
        <f>IF(A151="","",COUNTIFS(加仓管理!$A$2:$A$1001,A151,加仓管理!$G$2:$G$1001,"&gt;0"))</f>
        <v/>
      </c>
      <c r="AL151" s="26" t="str">
        <f>IF(A151="","",SUMIFS(加仓管理!$G$2:$G$1001,加仓管理!$A$2:$A$1001,A151))</f>
        <v/>
      </c>
      <c r="AM151" s="27" t="str">
        <f>IF(AK151=0,"",IFERROR(LOOKUP(2,1/((加仓管理!$A$2:$A$1001=A151)*(加仓管理!$G$2:$G$1001&gt;0)),加仓管理!$D$2:$D$1001),""))</f>
        <v/>
      </c>
      <c r="AN151" s="27" t="str">
        <f>IF(AK151=0,"",IFERROR(LOOKUP(2,1/((加仓管理!$A$2:$A$1001=A151)*(加仓管理!$G$2:$G$1001&gt;0)),加仓管理!$E$2:$E$1001),""))</f>
        <v/>
      </c>
      <c r="AO151" s="27" t="str">
        <f>IF(OR(A151="",H151="",H151&lt;=0),"",(E151*H151+SUMIFS(加仓管理!$H$2:$H$1001,加仓管理!$A$2:$A$1001,A151))/AP151)</f>
        <v/>
      </c>
      <c r="AP151" s="26" t="str">
        <f t="shared" si="32"/>
        <v/>
      </c>
      <c r="AQ151" s="27" t="str">
        <f>IF(A151="","",IF(M151&lt;&gt;"",0,IF(OR(H151="",N151=""),"",MAX((E151*H151+SUMIFS(加仓管理!$H$2:$H$1001,加仓管理!$A$2:$A$1001,A151))-MAX(N151,AN151)*AP151,0))))</f>
        <v/>
      </c>
      <c r="AR151" s="27" t="str">
        <f ca="1"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ht="17" spans="1:44">
      <c r="A152" s="23"/>
      <c r="B152" s="23"/>
      <c r="C152" s="7"/>
      <c r="D152" s="4"/>
      <c r="E152" s="7"/>
      <c r="F152" s="6" t="str">
        <f t="shared" si="22"/>
        <v/>
      </c>
      <c r="G152" s="6" t="str">
        <f ca="1"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23"/>
      <c r="I152" s="24"/>
      <c r="J152" s="7"/>
      <c r="K152" s="3"/>
      <c r="L152" s="6" t="str">
        <f t="shared" si="23"/>
        <v/>
      </c>
      <c r="M152" s="41"/>
      <c r="N152" s="7"/>
      <c r="O152" s="7"/>
      <c r="P152" s="3"/>
      <c r="Q152" s="23"/>
      <c r="R152" s="23"/>
      <c r="S152" s="23"/>
      <c r="T152" s="23"/>
      <c r="U152" s="5" t="str">
        <f t="shared" si="24"/>
        <v/>
      </c>
      <c r="V152" s="5" t="str">
        <f t="shared" si="25"/>
        <v/>
      </c>
      <c r="W152" s="25" t="str">
        <f t="shared" si="26"/>
        <v/>
      </c>
      <c r="X152" s="3" t="str">
        <f t="shared" si="27"/>
        <v/>
      </c>
      <c r="Y152" s="5" t="str">
        <f t="shared" si="28"/>
        <v/>
      </c>
      <c r="Z152" s="5" t="str">
        <f>IF(OR(AE152="",多次统计数据!$B$8=""),"",AE152-多次统计数据!$B$8)</f>
        <v/>
      </c>
      <c r="AA152" s="8" t="str">
        <f t="shared" si="29"/>
        <v/>
      </c>
      <c r="AB152" s="5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23"/>
      <c r="AE152" s="5" t="str">
        <f t="shared" si="30"/>
        <v/>
      </c>
      <c r="AG152" s="23"/>
      <c r="AH152" s="23"/>
      <c r="AI152" s="23"/>
      <c r="AJ152" s="6" t="str">
        <f t="shared" si="31"/>
        <v/>
      </c>
      <c r="AK152" s="26" t="str">
        <f>IF(A152="","",COUNTIFS(加仓管理!$A$2:$A$1001,A152,加仓管理!$G$2:$G$1001,"&gt;0"))</f>
        <v/>
      </c>
      <c r="AL152" s="26" t="str">
        <f>IF(A152="","",SUMIFS(加仓管理!$G$2:$G$1001,加仓管理!$A$2:$A$1001,A152))</f>
        <v/>
      </c>
      <c r="AM152" s="27" t="str">
        <f>IF(AK152=0,"",IFERROR(LOOKUP(2,1/((加仓管理!$A$2:$A$1001=A152)*(加仓管理!$G$2:$G$1001&gt;0)),加仓管理!$D$2:$D$1001),""))</f>
        <v/>
      </c>
      <c r="AN152" s="27" t="str">
        <f>IF(AK152=0,"",IFERROR(LOOKUP(2,1/((加仓管理!$A$2:$A$1001=A152)*(加仓管理!$G$2:$G$1001&gt;0)),加仓管理!$E$2:$E$1001),""))</f>
        <v/>
      </c>
      <c r="AO152" s="27" t="str">
        <f>IF(OR(A152="",H152="",H152&lt;=0),"",(E152*H152+SUMIFS(加仓管理!$H$2:$H$1001,加仓管理!$A$2:$A$1001,A152))/AP152)</f>
        <v/>
      </c>
      <c r="AP152" s="26" t="str">
        <f t="shared" si="32"/>
        <v/>
      </c>
      <c r="AQ152" s="27" t="str">
        <f>IF(A152="","",IF(M152&lt;&gt;"",0,IF(OR(H152="",N152=""),"",MAX((E152*H152+SUMIFS(加仓管理!$H$2:$H$1001,加仓管理!$A$2:$A$1001,A152))-MAX(N152,AN152)*AP152,0))))</f>
        <v/>
      </c>
      <c r="AR152" s="27" t="str">
        <f ca="1"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ht="17" spans="1:44">
      <c r="A153" s="23"/>
      <c r="B153" s="23"/>
      <c r="C153" s="7"/>
      <c r="D153" s="4"/>
      <c r="E153" s="7"/>
      <c r="F153" s="6" t="str">
        <f t="shared" si="22"/>
        <v/>
      </c>
      <c r="G153" s="6" t="str">
        <f ca="1"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23"/>
      <c r="I153" s="24"/>
      <c r="J153" s="7"/>
      <c r="K153" s="3"/>
      <c r="L153" s="6" t="str">
        <f t="shared" si="23"/>
        <v/>
      </c>
      <c r="M153" s="41"/>
      <c r="N153" s="7"/>
      <c r="O153" s="7"/>
      <c r="P153" s="3"/>
      <c r="Q153" s="23"/>
      <c r="R153" s="23"/>
      <c r="S153" s="23"/>
      <c r="T153" s="23"/>
      <c r="U153" s="5" t="str">
        <f t="shared" si="24"/>
        <v/>
      </c>
      <c r="V153" s="5" t="str">
        <f t="shared" si="25"/>
        <v/>
      </c>
      <c r="W153" s="25" t="str">
        <f t="shared" si="26"/>
        <v/>
      </c>
      <c r="X153" s="3" t="str">
        <f t="shared" si="27"/>
        <v/>
      </c>
      <c r="Y153" s="5" t="str">
        <f t="shared" si="28"/>
        <v/>
      </c>
      <c r="Z153" s="5" t="str">
        <f>IF(OR(AE153="",多次统计数据!$B$8=""),"",AE153-多次统计数据!$B$8)</f>
        <v/>
      </c>
      <c r="AA153" s="8" t="str">
        <f t="shared" si="29"/>
        <v/>
      </c>
      <c r="AB153" s="5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23"/>
      <c r="AE153" s="5" t="str">
        <f t="shared" si="30"/>
        <v/>
      </c>
      <c r="AG153" s="23"/>
      <c r="AH153" s="23"/>
      <c r="AI153" s="23"/>
      <c r="AJ153" s="6" t="str">
        <f t="shared" si="31"/>
        <v/>
      </c>
      <c r="AK153" s="26" t="str">
        <f>IF(A153="","",COUNTIFS(加仓管理!$A$2:$A$1001,A153,加仓管理!$G$2:$G$1001,"&gt;0"))</f>
        <v/>
      </c>
      <c r="AL153" s="26" t="str">
        <f>IF(A153="","",SUMIFS(加仓管理!$G$2:$G$1001,加仓管理!$A$2:$A$1001,A153))</f>
        <v/>
      </c>
      <c r="AM153" s="27" t="str">
        <f>IF(AK153=0,"",IFERROR(LOOKUP(2,1/((加仓管理!$A$2:$A$1001=A153)*(加仓管理!$G$2:$G$1001&gt;0)),加仓管理!$D$2:$D$1001),""))</f>
        <v/>
      </c>
      <c r="AN153" s="27" t="str">
        <f>IF(AK153=0,"",IFERROR(LOOKUP(2,1/((加仓管理!$A$2:$A$1001=A153)*(加仓管理!$G$2:$G$1001&gt;0)),加仓管理!$E$2:$E$1001),""))</f>
        <v/>
      </c>
      <c r="AO153" s="27" t="str">
        <f>IF(OR(A153="",H153="",H153&lt;=0),"",(E153*H153+SUMIFS(加仓管理!$H$2:$H$1001,加仓管理!$A$2:$A$1001,A153))/AP153)</f>
        <v/>
      </c>
      <c r="AP153" s="26" t="str">
        <f t="shared" si="32"/>
        <v/>
      </c>
      <c r="AQ153" s="27" t="str">
        <f>IF(A153="","",IF(M153&lt;&gt;"",0,IF(OR(H153="",N153=""),"",MAX((E153*H153+SUMIFS(加仓管理!$H$2:$H$1001,加仓管理!$A$2:$A$1001,A153))-MAX(N153,AN153)*AP153,0))))</f>
        <v/>
      </c>
      <c r="AR153" s="27" t="str">
        <f ca="1"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ht="17" spans="1:44">
      <c r="A154" s="23"/>
      <c r="B154" s="23"/>
      <c r="C154" s="7"/>
      <c r="D154" s="4"/>
      <c r="E154" s="7"/>
      <c r="F154" s="6" t="str">
        <f t="shared" si="22"/>
        <v/>
      </c>
      <c r="G154" s="6" t="str">
        <f ca="1"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23"/>
      <c r="I154" s="24"/>
      <c r="J154" s="7"/>
      <c r="K154" s="3"/>
      <c r="L154" s="6" t="str">
        <f t="shared" si="23"/>
        <v/>
      </c>
      <c r="M154" s="41"/>
      <c r="N154" s="7"/>
      <c r="O154" s="7"/>
      <c r="P154" s="3"/>
      <c r="Q154" s="23"/>
      <c r="R154" s="23"/>
      <c r="S154" s="23"/>
      <c r="T154" s="23"/>
      <c r="U154" s="5" t="str">
        <f t="shared" si="24"/>
        <v/>
      </c>
      <c r="V154" s="5" t="str">
        <f t="shared" si="25"/>
        <v/>
      </c>
      <c r="W154" s="25" t="str">
        <f t="shared" si="26"/>
        <v/>
      </c>
      <c r="X154" s="3" t="str">
        <f t="shared" si="27"/>
        <v/>
      </c>
      <c r="Y154" s="5" t="str">
        <f t="shared" si="28"/>
        <v/>
      </c>
      <c r="Z154" s="5" t="str">
        <f>IF(OR(AE154="",多次统计数据!$B$8=""),"",AE154-多次统计数据!$B$8)</f>
        <v/>
      </c>
      <c r="AA154" s="8" t="str">
        <f t="shared" si="29"/>
        <v/>
      </c>
      <c r="AB154" s="5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23"/>
      <c r="AE154" s="5" t="str">
        <f t="shared" si="30"/>
        <v/>
      </c>
      <c r="AG154" s="23"/>
      <c r="AH154" s="23"/>
      <c r="AI154" s="23"/>
      <c r="AJ154" s="6" t="str">
        <f t="shared" si="31"/>
        <v/>
      </c>
      <c r="AK154" s="26" t="str">
        <f>IF(A154="","",COUNTIFS(加仓管理!$A$2:$A$1001,A154,加仓管理!$G$2:$G$1001,"&gt;0"))</f>
        <v/>
      </c>
      <c r="AL154" s="26" t="str">
        <f>IF(A154="","",SUMIFS(加仓管理!$G$2:$G$1001,加仓管理!$A$2:$A$1001,A154))</f>
        <v/>
      </c>
      <c r="AM154" s="27" t="str">
        <f>IF(AK154=0,"",IFERROR(LOOKUP(2,1/((加仓管理!$A$2:$A$1001=A154)*(加仓管理!$G$2:$G$1001&gt;0)),加仓管理!$D$2:$D$1001),""))</f>
        <v/>
      </c>
      <c r="AN154" s="27" t="str">
        <f>IF(AK154=0,"",IFERROR(LOOKUP(2,1/((加仓管理!$A$2:$A$1001=A154)*(加仓管理!$G$2:$G$1001&gt;0)),加仓管理!$E$2:$E$1001),""))</f>
        <v/>
      </c>
      <c r="AO154" s="27" t="str">
        <f>IF(OR(A154="",H154="",H154&lt;=0),"",(E154*H154+SUMIFS(加仓管理!$H$2:$H$1001,加仓管理!$A$2:$A$1001,A154))/AP154)</f>
        <v/>
      </c>
      <c r="AP154" s="26" t="str">
        <f t="shared" si="32"/>
        <v/>
      </c>
      <c r="AQ154" s="27" t="str">
        <f>IF(A154="","",IF(M154&lt;&gt;"",0,IF(OR(H154="",N154=""),"",MAX((E154*H154+SUMIFS(加仓管理!$H$2:$H$1001,加仓管理!$A$2:$A$1001,A154))-MAX(N154,AN154)*AP154,0))))</f>
        <v/>
      </c>
      <c r="AR154" s="27" t="str">
        <f ca="1"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ht="17" spans="1:44">
      <c r="A155" s="23"/>
      <c r="B155" s="23"/>
      <c r="C155" s="7"/>
      <c r="D155" s="4"/>
      <c r="E155" s="7"/>
      <c r="F155" s="6" t="str">
        <f t="shared" si="22"/>
        <v/>
      </c>
      <c r="G155" s="6" t="str">
        <f ca="1"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23"/>
      <c r="I155" s="24"/>
      <c r="J155" s="7"/>
      <c r="K155" s="3"/>
      <c r="L155" s="6" t="str">
        <f t="shared" si="23"/>
        <v/>
      </c>
      <c r="M155" s="41"/>
      <c r="N155" s="7"/>
      <c r="O155" s="7"/>
      <c r="P155" s="3"/>
      <c r="Q155" s="23"/>
      <c r="R155" s="23"/>
      <c r="S155" s="23"/>
      <c r="T155" s="23"/>
      <c r="U155" s="5" t="str">
        <f t="shared" si="24"/>
        <v/>
      </c>
      <c r="V155" s="5" t="str">
        <f t="shared" si="25"/>
        <v/>
      </c>
      <c r="W155" s="25" t="str">
        <f t="shared" si="26"/>
        <v/>
      </c>
      <c r="X155" s="3" t="str">
        <f t="shared" si="27"/>
        <v/>
      </c>
      <c r="Y155" s="5" t="str">
        <f t="shared" si="28"/>
        <v/>
      </c>
      <c r="Z155" s="5" t="str">
        <f>IF(OR(AE155="",多次统计数据!$B$8=""),"",AE155-多次统计数据!$B$8)</f>
        <v/>
      </c>
      <c r="AA155" s="8" t="str">
        <f t="shared" si="29"/>
        <v/>
      </c>
      <c r="AB155" s="5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23"/>
      <c r="AE155" s="5" t="str">
        <f t="shared" si="30"/>
        <v/>
      </c>
      <c r="AG155" s="23"/>
      <c r="AH155" s="23"/>
      <c r="AI155" s="23"/>
      <c r="AJ155" s="6" t="str">
        <f t="shared" si="31"/>
        <v/>
      </c>
      <c r="AK155" s="26" t="str">
        <f>IF(A155="","",COUNTIFS(加仓管理!$A$2:$A$1001,A155,加仓管理!$G$2:$G$1001,"&gt;0"))</f>
        <v/>
      </c>
      <c r="AL155" s="26" t="str">
        <f>IF(A155="","",SUMIFS(加仓管理!$G$2:$G$1001,加仓管理!$A$2:$A$1001,A155))</f>
        <v/>
      </c>
      <c r="AM155" s="27" t="str">
        <f>IF(AK155=0,"",IFERROR(LOOKUP(2,1/((加仓管理!$A$2:$A$1001=A155)*(加仓管理!$G$2:$G$1001&gt;0)),加仓管理!$D$2:$D$1001),""))</f>
        <v/>
      </c>
      <c r="AN155" s="27" t="str">
        <f>IF(AK155=0,"",IFERROR(LOOKUP(2,1/((加仓管理!$A$2:$A$1001=A155)*(加仓管理!$G$2:$G$1001&gt;0)),加仓管理!$E$2:$E$1001),""))</f>
        <v/>
      </c>
      <c r="AO155" s="27" t="str">
        <f>IF(OR(A155="",H155="",H155&lt;=0),"",(E155*H155+SUMIFS(加仓管理!$H$2:$H$1001,加仓管理!$A$2:$A$1001,A155))/AP155)</f>
        <v/>
      </c>
      <c r="AP155" s="26" t="str">
        <f t="shared" si="32"/>
        <v/>
      </c>
      <c r="AQ155" s="27" t="str">
        <f>IF(A155="","",IF(M155&lt;&gt;"",0,IF(OR(H155="",N155=""),"",MAX((E155*H155+SUMIFS(加仓管理!$H$2:$H$1001,加仓管理!$A$2:$A$1001,A155))-MAX(N155,AN155)*AP155,0))))</f>
        <v/>
      </c>
      <c r="AR155" s="27" t="str">
        <f ca="1"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ht="17" spans="1:44">
      <c r="A156" s="23"/>
      <c r="B156" s="23"/>
      <c r="C156" s="7"/>
      <c r="D156" s="4"/>
      <c r="E156" s="7"/>
      <c r="F156" s="6" t="str">
        <f t="shared" si="22"/>
        <v/>
      </c>
      <c r="G156" s="6" t="str">
        <f ca="1"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23"/>
      <c r="I156" s="24"/>
      <c r="J156" s="7"/>
      <c r="K156" s="3"/>
      <c r="L156" s="6" t="str">
        <f t="shared" si="23"/>
        <v/>
      </c>
      <c r="M156" s="41"/>
      <c r="N156" s="7"/>
      <c r="O156" s="7"/>
      <c r="P156" s="3"/>
      <c r="Q156" s="23"/>
      <c r="R156" s="23"/>
      <c r="S156" s="23"/>
      <c r="T156" s="23"/>
      <c r="U156" s="5" t="str">
        <f t="shared" si="24"/>
        <v/>
      </c>
      <c r="V156" s="5" t="str">
        <f t="shared" si="25"/>
        <v/>
      </c>
      <c r="W156" s="25" t="str">
        <f t="shared" si="26"/>
        <v/>
      </c>
      <c r="X156" s="3" t="str">
        <f t="shared" si="27"/>
        <v/>
      </c>
      <c r="Y156" s="5" t="str">
        <f t="shared" si="28"/>
        <v/>
      </c>
      <c r="Z156" s="5" t="str">
        <f>IF(OR(AE156="",多次统计数据!$B$8=""),"",AE156-多次统计数据!$B$8)</f>
        <v/>
      </c>
      <c r="AA156" s="8" t="str">
        <f t="shared" si="29"/>
        <v/>
      </c>
      <c r="AB156" s="5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23"/>
      <c r="AE156" s="5" t="str">
        <f t="shared" si="30"/>
        <v/>
      </c>
      <c r="AG156" s="23"/>
      <c r="AH156" s="23"/>
      <c r="AI156" s="23"/>
      <c r="AJ156" s="6" t="str">
        <f t="shared" si="31"/>
        <v/>
      </c>
      <c r="AK156" s="26" t="str">
        <f>IF(A156="","",COUNTIFS(加仓管理!$A$2:$A$1001,A156,加仓管理!$G$2:$G$1001,"&gt;0"))</f>
        <v/>
      </c>
      <c r="AL156" s="26" t="str">
        <f>IF(A156="","",SUMIFS(加仓管理!$G$2:$G$1001,加仓管理!$A$2:$A$1001,A156))</f>
        <v/>
      </c>
      <c r="AM156" s="27" t="str">
        <f>IF(AK156=0,"",IFERROR(LOOKUP(2,1/((加仓管理!$A$2:$A$1001=A156)*(加仓管理!$G$2:$G$1001&gt;0)),加仓管理!$D$2:$D$1001),""))</f>
        <v/>
      </c>
      <c r="AN156" s="27" t="str">
        <f>IF(AK156=0,"",IFERROR(LOOKUP(2,1/((加仓管理!$A$2:$A$1001=A156)*(加仓管理!$G$2:$G$1001&gt;0)),加仓管理!$E$2:$E$1001),""))</f>
        <v/>
      </c>
      <c r="AO156" s="27" t="str">
        <f>IF(OR(A156="",H156="",H156&lt;=0),"",(E156*H156+SUMIFS(加仓管理!$H$2:$H$1001,加仓管理!$A$2:$A$1001,A156))/AP156)</f>
        <v/>
      </c>
      <c r="AP156" s="26" t="str">
        <f t="shared" si="32"/>
        <v/>
      </c>
      <c r="AQ156" s="27" t="str">
        <f>IF(A156="","",IF(M156&lt;&gt;"",0,IF(OR(H156="",N156=""),"",MAX((E156*H156+SUMIFS(加仓管理!$H$2:$H$1001,加仓管理!$A$2:$A$1001,A156))-MAX(N156,AN156)*AP156,0))))</f>
        <v/>
      </c>
      <c r="AR156" s="27" t="str">
        <f ca="1"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ht="17" spans="1:44">
      <c r="A157" s="23"/>
      <c r="B157" s="23"/>
      <c r="C157" s="7"/>
      <c r="D157" s="4"/>
      <c r="E157" s="7"/>
      <c r="F157" s="6" t="str">
        <f t="shared" si="22"/>
        <v/>
      </c>
      <c r="G157" s="6" t="str">
        <f ca="1"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23"/>
      <c r="I157" s="24"/>
      <c r="J157" s="7"/>
      <c r="K157" s="3"/>
      <c r="L157" s="6" t="str">
        <f t="shared" si="23"/>
        <v/>
      </c>
      <c r="M157" s="41"/>
      <c r="N157" s="7"/>
      <c r="O157" s="7"/>
      <c r="P157" s="3"/>
      <c r="Q157" s="23"/>
      <c r="R157" s="23"/>
      <c r="S157" s="23"/>
      <c r="T157" s="23"/>
      <c r="U157" s="5" t="str">
        <f t="shared" si="24"/>
        <v/>
      </c>
      <c r="V157" s="5" t="str">
        <f t="shared" si="25"/>
        <v/>
      </c>
      <c r="W157" s="25" t="str">
        <f t="shared" si="26"/>
        <v/>
      </c>
      <c r="X157" s="3" t="str">
        <f t="shared" si="27"/>
        <v/>
      </c>
      <c r="Y157" s="5" t="str">
        <f t="shared" si="28"/>
        <v/>
      </c>
      <c r="Z157" s="5" t="str">
        <f>IF(OR(AE157="",多次统计数据!$B$8=""),"",AE157-多次统计数据!$B$8)</f>
        <v/>
      </c>
      <c r="AA157" s="8" t="str">
        <f t="shared" si="29"/>
        <v/>
      </c>
      <c r="AB157" s="5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23"/>
      <c r="AE157" s="5" t="str">
        <f t="shared" si="30"/>
        <v/>
      </c>
      <c r="AG157" s="23"/>
      <c r="AH157" s="23"/>
      <c r="AI157" s="23"/>
      <c r="AJ157" s="6" t="str">
        <f t="shared" si="31"/>
        <v/>
      </c>
      <c r="AK157" s="26" t="str">
        <f>IF(A157="","",COUNTIFS(加仓管理!$A$2:$A$1001,A157,加仓管理!$G$2:$G$1001,"&gt;0"))</f>
        <v/>
      </c>
      <c r="AL157" s="26" t="str">
        <f>IF(A157="","",SUMIFS(加仓管理!$G$2:$G$1001,加仓管理!$A$2:$A$1001,A157))</f>
        <v/>
      </c>
      <c r="AM157" s="27" t="str">
        <f>IF(AK157=0,"",IFERROR(LOOKUP(2,1/((加仓管理!$A$2:$A$1001=A157)*(加仓管理!$G$2:$G$1001&gt;0)),加仓管理!$D$2:$D$1001),""))</f>
        <v/>
      </c>
      <c r="AN157" s="27" t="str">
        <f>IF(AK157=0,"",IFERROR(LOOKUP(2,1/((加仓管理!$A$2:$A$1001=A157)*(加仓管理!$G$2:$G$1001&gt;0)),加仓管理!$E$2:$E$1001),""))</f>
        <v/>
      </c>
      <c r="AO157" s="27" t="str">
        <f>IF(OR(A157="",H157="",H157&lt;=0),"",(E157*H157+SUMIFS(加仓管理!$H$2:$H$1001,加仓管理!$A$2:$A$1001,A157))/AP157)</f>
        <v/>
      </c>
      <c r="AP157" s="26" t="str">
        <f t="shared" si="32"/>
        <v/>
      </c>
      <c r="AQ157" s="27" t="str">
        <f>IF(A157="","",IF(M157&lt;&gt;"",0,IF(OR(H157="",N157=""),"",MAX((E157*H157+SUMIFS(加仓管理!$H$2:$H$1001,加仓管理!$A$2:$A$1001,A157))-MAX(N157,AN157)*AP157,0))))</f>
        <v/>
      </c>
      <c r="AR157" s="27" t="str">
        <f ca="1"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ht="17" spans="1:44">
      <c r="A158" s="23"/>
      <c r="B158" s="23"/>
      <c r="C158" s="7"/>
      <c r="D158" s="4"/>
      <c r="E158" s="7"/>
      <c r="F158" s="6" t="str">
        <f t="shared" si="22"/>
        <v/>
      </c>
      <c r="G158" s="6" t="str">
        <f ca="1"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23"/>
      <c r="I158" s="24"/>
      <c r="J158" s="7"/>
      <c r="K158" s="3"/>
      <c r="L158" s="6" t="str">
        <f t="shared" si="23"/>
        <v/>
      </c>
      <c r="M158" s="41"/>
      <c r="N158" s="7"/>
      <c r="O158" s="7"/>
      <c r="P158" s="3"/>
      <c r="Q158" s="23"/>
      <c r="R158" s="23"/>
      <c r="S158" s="23"/>
      <c r="T158" s="23"/>
      <c r="U158" s="5" t="str">
        <f t="shared" si="24"/>
        <v/>
      </c>
      <c r="V158" s="5" t="str">
        <f t="shared" si="25"/>
        <v/>
      </c>
      <c r="W158" s="25" t="str">
        <f t="shared" si="26"/>
        <v/>
      </c>
      <c r="X158" s="3" t="str">
        <f t="shared" si="27"/>
        <v/>
      </c>
      <c r="Y158" s="5" t="str">
        <f t="shared" si="28"/>
        <v/>
      </c>
      <c r="Z158" s="5" t="str">
        <f>IF(OR(AE158="",多次统计数据!$B$8=""),"",AE158-多次统计数据!$B$8)</f>
        <v/>
      </c>
      <c r="AA158" s="8" t="str">
        <f t="shared" si="29"/>
        <v/>
      </c>
      <c r="AB158" s="5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23"/>
      <c r="AE158" s="5" t="str">
        <f t="shared" si="30"/>
        <v/>
      </c>
      <c r="AG158" s="23"/>
      <c r="AH158" s="23"/>
      <c r="AI158" s="23"/>
      <c r="AJ158" s="6" t="str">
        <f t="shared" si="31"/>
        <v/>
      </c>
      <c r="AK158" s="26" t="str">
        <f>IF(A158="","",COUNTIFS(加仓管理!$A$2:$A$1001,A158,加仓管理!$G$2:$G$1001,"&gt;0"))</f>
        <v/>
      </c>
      <c r="AL158" s="26" t="str">
        <f>IF(A158="","",SUMIFS(加仓管理!$G$2:$G$1001,加仓管理!$A$2:$A$1001,A158))</f>
        <v/>
      </c>
      <c r="AM158" s="27" t="str">
        <f>IF(AK158=0,"",IFERROR(LOOKUP(2,1/((加仓管理!$A$2:$A$1001=A158)*(加仓管理!$G$2:$G$1001&gt;0)),加仓管理!$D$2:$D$1001),""))</f>
        <v/>
      </c>
      <c r="AN158" s="27" t="str">
        <f>IF(AK158=0,"",IFERROR(LOOKUP(2,1/((加仓管理!$A$2:$A$1001=A158)*(加仓管理!$G$2:$G$1001&gt;0)),加仓管理!$E$2:$E$1001),""))</f>
        <v/>
      </c>
      <c r="AO158" s="27" t="str">
        <f>IF(OR(A158="",H158="",H158&lt;=0),"",(E158*H158+SUMIFS(加仓管理!$H$2:$H$1001,加仓管理!$A$2:$A$1001,A158))/AP158)</f>
        <v/>
      </c>
      <c r="AP158" s="26" t="str">
        <f t="shared" si="32"/>
        <v/>
      </c>
      <c r="AQ158" s="27" t="str">
        <f>IF(A158="","",IF(M158&lt;&gt;"",0,IF(OR(H158="",N158=""),"",MAX((E158*H158+SUMIFS(加仓管理!$H$2:$H$1001,加仓管理!$A$2:$A$1001,A158))-MAX(N158,AN158)*AP158,0))))</f>
        <v/>
      </c>
      <c r="AR158" s="27" t="str">
        <f ca="1"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ht="17" spans="1:44">
      <c r="A159" s="23"/>
      <c r="B159" s="23"/>
      <c r="C159" s="7"/>
      <c r="D159" s="4"/>
      <c r="E159" s="7"/>
      <c r="F159" s="6" t="str">
        <f t="shared" si="22"/>
        <v/>
      </c>
      <c r="G159" s="6" t="str">
        <f ca="1"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23"/>
      <c r="I159" s="24"/>
      <c r="J159" s="7"/>
      <c r="K159" s="3"/>
      <c r="L159" s="6" t="str">
        <f t="shared" si="23"/>
        <v/>
      </c>
      <c r="M159" s="41"/>
      <c r="N159" s="7"/>
      <c r="O159" s="7"/>
      <c r="P159" s="3"/>
      <c r="Q159" s="23"/>
      <c r="R159" s="23"/>
      <c r="S159" s="23"/>
      <c r="T159" s="23"/>
      <c r="U159" s="5" t="str">
        <f t="shared" si="24"/>
        <v/>
      </c>
      <c r="V159" s="5" t="str">
        <f t="shared" si="25"/>
        <v/>
      </c>
      <c r="W159" s="25" t="str">
        <f t="shared" si="26"/>
        <v/>
      </c>
      <c r="X159" s="3" t="str">
        <f t="shared" si="27"/>
        <v/>
      </c>
      <c r="Y159" s="5" t="str">
        <f t="shared" si="28"/>
        <v/>
      </c>
      <c r="Z159" s="5" t="str">
        <f>IF(OR(AE159="",多次统计数据!$B$8=""),"",AE159-多次统计数据!$B$8)</f>
        <v/>
      </c>
      <c r="AA159" s="8" t="str">
        <f t="shared" si="29"/>
        <v/>
      </c>
      <c r="AB159" s="5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23"/>
      <c r="AE159" s="5" t="str">
        <f t="shared" si="30"/>
        <v/>
      </c>
      <c r="AG159" s="23"/>
      <c r="AH159" s="23"/>
      <c r="AI159" s="23"/>
      <c r="AJ159" s="6" t="str">
        <f t="shared" si="31"/>
        <v/>
      </c>
      <c r="AK159" s="26" t="str">
        <f>IF(A159="","",COUNTIFS(加仓管理!$A$2:$A$1001,A159,加仓管理!$G$2:$G$1001,"&gt;0"))</f>
        <v/>
      </c>
      <c r="AL159" s="26" t="str">
        <f>IF(A159="","",SUMIFS(加仓管理!$G$2:$G$1001,加仓管理!$A$2:$A$1001,A159))</f>
        <v/>
      </c>
      <c r="AM159" s="27" t="str">
        <f>IF(AK159=0,"",IFERROR(LOOKUP(2,1/((加仓管理!$A$2:$A$1001=A159)*(加仓管理!$G$2:$G$1001&gt;0)),加仓管理!$D$2:$D$1001),""))</f>
        <v/>
      </c>
      <c r="AN159" s="27" t="str">
        <f>IF(AK159=0,"",IFERROR(LOOKUP(2,1/((加仓管理!$A$2:$A$1001=A159)*(加仓管理!$G$2:$G$1001&gt;0)),加仓管理!$E$2:$E$1001),""))</f>
        <v/>
      </c>
      <c r="AO159" s="27" t="str">
        <f>IF(OR(A159="",H159="",H159&lt;=0),"",(E159*H159+SUMIFS(加仓管理!$H$2:$H$1001,加仓管理!$A$2:$A$1001,A159))/AP159)</f>
        <v/>
      </c>
      <c r="AP159" s="26" t="str">
        <f t="shared" si="32"/>
        <v/>
      </c>
      <c r="AQ159" s="27" t="str">
        <f>IF(A159="","",IF(M159&lt;&gt;"",0,IF(OR(H159="",N159=""),"",MAX((E159*H159+SUMIFS(加仓管理!$H$2:$H$1001,加仓管理!$A$2:$A$1001,A159))-MAX(N159,AN159)*AP159,0))))</f>
        <v/>
      </c>
      <c r="AR159" s="27" t="str">
        <f ca="1"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ht="17" spans="1:44">
      <c r="A160" s="23"/>
      <c r="B160" s="23"/>
      <c r="C160" s="7"/>
      <c r="D160" s="4"/>
      <c r="E160" s="7"/>
      <c r="F160" s="6" t="str">
        <f t="shared" si="22"/>
        <v/>
      </c>
      <c r="G160" s="6" t="str">
        <f ca="1"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23"/>
      <c r="I160" s="24"/>
      <c r="J160" s="7"/>
      <c r="K160" s="3"/>
      <c r="L160" s="6" t="str">
        <f t="shared" si="23"/>
        <v/>
      </c>
      <c r="M160" s="41"/>
      <c r="N160" s="7"/>
      <c r="O160" s="7"/>
      <c r="P160" s="3"/>
      <c r="Q160" s="23"/>
      <c r="R160" s="23"/>
      <c r="S160" s="23"/>
      <c r="T160" s="23"/>
      <c r="U160" s="5" t="str">
        <f t="shared" si="24"/>
        <v/>
      </c>
      <c r="V160" s="5" t="str">
        <f t="shared" si="25"/>
        <v/>
      </c>
      <c r="W160" s="25" t="str">
        <f t="shared" si="26"/>
        <v/>
      </c>
      <c r="X160" s="3" t="str">
        <f t="shared" si="27"/>
        <v/>
      </c>
      <c r="Y160" s="5" t="str">
        <f t="shared" si="28"/>
        <v/>
      </c>
      <c r="Z160" s="5" t="str">
        <f>IF(OR(AE160="",多次统计数据!$B$8=""),"",AE160-多次统计数据!$B$8)</f>
        <v/>
      </c>
      <c r="AA160" s="8" t="str">
        <f t="shared" si="29"/>
        <v/>
      </c>
      <c r="AB160" s="5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23"/>
      <c r="AE160" s="5" t="str">
        <f t="shared" si="30"/>
        <v/>
      </c>
      <c r="AG160" s="23"/>
      <c r="AH160" s="23"/>
      <c r="AI160" s="23"/>
      <c r="AJ160" s="6" t="str">
        <f t="shared" si="31"/>
        <v/>
      </c>
      <c r="AK160" s="26" t="str">
        <f>IF(A160="","",COUNTIFS(加仓管理!$A$2:$A$1001,A160,加仓管理!$G$2:$G$1001,"&gt;0"))</f>
        <v/>
      </c>
      <c r="AL160" s="26" t="str">
        <f>IF(A160="","",SUMIFS(加仓管理!$G$2:$G$1001,加仓管理!$A$2:$A$1001,A160))</f>
        <v/>
      </c>
      <c r="AM160" s="27" t="str">
        <f>IF(AK160=0,"",IFERROR(LOOKUP(2,1/((加仓管理!$A$2:$A$1001=A160)*(加仓管理!$G$2:$G$1001&gt;0)),加仓管理!$D$2:$D$1001),""))</f>
        <v/>
      </c>
      <c r="AN160" s="27" t="str">
        <f>IF(AK160=0,"",IFERROR(LOOKUP(2,1/((加仓管理!$A$2:$A$1001=A160)*(加仓管理!$G$2:$G$1001&gt;0)),加仓管理!$E$2:$E$1001),""))</f>
        <v/>
      </c>
      <c r="AO160" s="27" t="str">
        <f>IF(OR(A160="",H160="",H160&lt;=0),"",(E160*H160+SUMIFS(加仓管理!$H$2:$H$1001,加仓管理!$A$2:$A$1001,A160))/AP160)</f>
        <v/>
      </c>
      <c r="AP160" s="26" t="str">
        <f t="shared" si="32"/>
        <v/>
      </c>
      <c r="AQ160" s="27" t="str">
        <f>IF(A160="","",IF(M160&lt;&gt;"",0,IF(OR(H160="",N160=""),"",MAX((E160*H160+SUMIFS(加仓管理!$H$2:$H$1001,加仓管理!$A$2:$A$1001,A160))-MAX(N160,AN160)*AP160,0))))</f>
        <v/>
      </c>
      <c r="AR160" s="27" t="str">
        <f ca="1"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ht="17" spans="1:44">
      <c r="A161" s="23"/>
      <c r="B161" s="23"/>
      <c r="C161" s="7"/>
      <c r="D161" s="4"/>
      <c r="E161" s="7"/>
      <c r="F161" s="6" t="str">
        <f t="shared" si="22"/>
        <v/>
      </c>
      <c r="G161" s="6" t="str">
        <f ca="1"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23"/>
      <c r="I161" s="24"/>
      <c r="J161" s="7"/>
      <c r="K161" s="3"/>
      <c r="L161" s="6" t="str">
        <f t="shared" si="23"/>
        <v/>
      </c>
      <c r="M161" s="41"/>
      <c r="N161" s="7"/>
      <c r="O161" s="7"/>
      <c r="P161" s="3"/>
      <c r="Q161" s="23"/>
      <c r="R161" s="23"/>
      <c r="S161" s="23"/>
      <c r="T161" s="23"/>
      <c r="U161" s="5" t="str">
        <f t="shared" si="24"/>
        <v/>
      </c>
      <c r="V161" s="5" t="str">
        <f t="shared" si="25"/>
        <v/>
      </c>
      <c r="W161" s="25" t="str">
        <f t="shared" si="26"/>
        <v/>
      </c>
      <c r="X161" s="3" t="str">
        <f t="shared" si="27"/>
        <v/>
      </c>
      <c r="Y161" s="5" t="str">
        <f t="shared" si="28"/>
        <v/>
      </c>
      <c r="Z161" s="5" t="str">
        <f>IF(OR(AE161="",多次统计数据!$B$8=""),"",AE161-多次统计数据!$B$8)</f>
        <v/>
      </c>
      <c r="AA161" s="8" t="str">
        <f t="shared" si="29"/>
        <v/>
      </c>
      <c r="AB161" s="5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23"/>
      <c r="AE161" s="5" t="str">
        <f t="shared" si="30"/>
        <v/>
      </c>
      <c r="AG161" s="23"/>
      <c r="AH161" s="23"/>
      <c r="AI161" s="23"/>
      <c r="AJ161" s="6" t="str">
        <f t="shared" si="31"/>
        <v/>
      </c>
      <c r="AK161" s="26" t="str">
        <f>IF(A161="","",COUNTIFS(加仓管理!$A$2:$A$1001,A161,加仓管理!$G$2:$G$1001,"&gt;0"))</f>
        <v/>
      </c>
      <c r="AL161" s="26" t="str">
        <f>IF(A161="","",SUMIFS(加仓管理!$G$2:$G$1001,加仓管理!$A$2:$A$1001,A161))</f>
        <v/>
      </c>
      <c r="AM161" s="27" t="str">
        <f>IF(AK161=0,"",IFERROR(LOOKUP(2,1/((加仓管理!$A$2:$A$1001=A161)*(加仓管理!$G$2:$G$1001&gt;0)),加仓管理!$D$2:$D$1001),""))</f>
        <v/>
      </c>
      <c r="AN161" s="27" t="str">
        <f>IF(AK161=0,"",IFERROR(LOOKUP(2,1/((加仓管理!$A$2:$A$1001=A161)*(加仓管理!$G$2:$G$1001&gt;0)),加仓管理!$E$2:$E$1001),""))</f>
        <v/>
      </c>
      <c r="AO161" s="27" t="str">
        <f>IF(OR(A161="",H161="",H161&lt;=0),"",(E161*H161+SUMIFS(加仓管理!$H$2:$H$1001,加仓管理!$A$2:$A$1001,A161))/AP161)</f>
        <v/>
      </c>
      <c r="AP161" s="26" t="str">
        <f t="shared" si="32"/>
        <v/>
      </c>
      <c r="AQ161" s="27" t="str">
        <f>IF(A161="","",IF(M161&lt;&gt;"",0,IF(OR(H161="",N161=""),"",MAX((E161*H161+SUMIFS(加仓管理!$H$2:$H$1001,加仓管理!$A$2:$A$1001,A161))-MAX(N161,AN161)*AP161,0))))</f>
        <v/>
      </c>
      <c r="AR161" s="27" t="str">
        <f ca="1"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ht="17" spans="1:44">
      <c r="A162" s="23"/>
      <c r="B162" s="23"/>
      <c r="C162" s="7"/>
      <c r="D162" s="4"/>
      <c r="E162" s="7"/>
      <c r="F162" s="6" t="str">
        <f t="shared" si="22"/>
        <v/>
      </c>
      <c r="G162" s="6" t="str">
        <f ca="1"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23"/>
      <c r="I162" s="24"/>
      <c r="J162" s="7"/>
      <c r="K162" s="3"/>
      <c r="L162" s="6" t="str">
        <f t="shared" si="23"/>
        <v/>
      </c>
      <c r="M162" s="41"/>
      <c r="N162" s="7"/>
      <c r="O162" s="7"/>
      <c r="P162" s="3"/>
      <c r="Q162" s="23"/>
      <c r="R162" s="23"/>
      <c r="S162" s="23"/>
      <c r="T162" s="23"/>
      <c r="U162" s="5" t="str">
        <f t="shared" si="24"/>
        <v/>
      </c>
      <c r="V162" s="5" t="str">
        <f t="shared" si="25"/>
        <v/>
      </c>
      <c r="W162" s="25" t="str">
        <f t="shared" si="26"/>
        <v/>
      </c>
      <c r="X162" s="3" t="str">
        <f t="shared" si="27"/>
        <v/>
      </c>
      <c r="Y162" s="5" t="str">
        <f t="shared" si="28"/>
        <v/>
      </c>
      <c r="Z162" s="5" t="str">
        <f>IF(OR(AE162="",多次统计数据!$B$8=""),"",AE162-多次统计数据!$B$8)</f>
        <v/>
      </c>
      <c r="AA162" s="8" t="str">
        <f t="shared" si="29"/>
        <v/>
      </c>
      <c r="AB162" s="5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23"/>
      <c r="AE162" s="5" t="str">
        <f t="shared" si="30"/>
        <v/>
      </c>
      <c r="AG162" s="23"/>
      <c r="AH162" s="23"/>
      <c r="AI162" s="23"/>
      <c r="AJ162" s="6" t="str">
        <f t="shared" si="31"/>
        <v/>
      </c>
      <c r="AK162" s="26" t="str">
        <f>IF(A162="","",COUNTIFS(加仓管理!$A$2:$A$1001,A162,加仓管理!$G$2:$G$1001,"&gt;0"))</f>
        <v/>
      </c>
      <c r="AL162" s="26" t="str">
        <f>IF(A162="","",SUMIFS(加仓管理!$G$2:$G$1001,加仓管理!$A$2:$A$1001,A162))</f>
        <v/>
      </c>
      <c r="AM162" s="27" t="str">
        <f>IF(AK162=0,"",IFERROR(LOOKUP(2,1/((加仓管理!$A$2:$A$1001=A162)*(加仓管理!$G$2:$G$1001&gt;0)),加仓管理!$D$2:$D$1001),""))</f>
        <v/>
      </c>
      <c r="AN162" s="27" t="str">
        <f>IF(AK162=0,"",IFERROR(LOOKUP(2,1/((加仓管理!$A$2:$A$1001=A162)*(加仓管理!$G$2:$G$1001&gt;0)),加仓管理!$E$2:$E$1001),""))</f>
        <v/>
      </c>
      <c r="AO162" s="27" t="str">
        <f>IF(OR(A162="",H162="",H162&lt;=0),"",(E162*H162+SUMIFS(加仓管理!$H$2:$H$1001,加仓管理!$A$2:$A$1001,A162))/AP162)</f>
        <v/>
      </c>
      <c r="AP162" s="26" t="str">
        <f t="shared" si="32"/>
        <v/>
      </c>
      <c r="AQ162" s="27" t="str">
        <f>IF(A162="","",IF(M162&lt;&gt;"",0,IF(OR(H162="",N162=""),"",MAX((E162*H162+SUMIFS(加仓管理!$H$2:$H$1001,加仓管理!$A$2:$A$1001,A162))-MAX(N162,AN162)*AP162,0))))</f>
        <v/>
      </c>
      <c r="AR162" s="27" t="str">
        <f ca="1"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ht="17" spans="1:44">
      <c r="A163" s="23"/>
      <c r="B163" s="23"/>
      <c r="C163" s="7"/>
      <c r="D163" s="4"/>
      <c r="E163" s="7"/>
      <c r="F163" s="6" t="str">
        <f t="shared" si="22"/>
        <v/>
      </c>
      <c r="G163" s="6" t="str">
        <f ca="1"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23"/>
      <c r="I163" s="24"/>
      <c r="J163" s="7"/>
      <c r="K163" s="3"/>
      <c r="L163" s="6" t="str">
        <f t="shared" si="23"/>
        <v/>
      </c>
      <c r="M163" s="41"/>
      <c r="N163" s="7"/>
      <c r="O163" s="7"/>
      <c r="P163" s="3"/>
      <c r="Q163" s="23"/>
      <c r="R163" s="23"/>
      <c r="S163" s="23"/>
      <c r="T163" s="23"/>
      <c r="U163" s="5" t="str">
        <f t="shared" si="24"/>
        <v/>
      </c>
      <c r="V163" s="5" t="str">
        <f t="shared" si="25"/>
        <v/>
      </c>
      <c r="W163" s="25" t="str">
        <f t="shared" si="26"/>
        <v/>
      </c>
      <c r="X163" s="3" t="str">
        <f t="shared" si="27"/>
        <v/>
      </c>
      <c r="Y163" s="5" t="str">
        <f t="shared" si="28"/>
        <v/>
      </c>
      <c r="Z163" s="5" t="str">
        <f>IF(OR(AE163="",多次统计数据!$B$8=""),"",AE163-多次统计数据!$B$8)</f>
        <v/>
      </c>
      <c r="AA163" s="8" t="str">
        <f t="shared" si="29"/>
        <v/>
      </c>
      <c r="AB163" s="5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23"/>
      <c r="AE163" s="5" t="str">
        <f t="shared" si="30"/>
        <v/>
      </c>
      <c r="AG163" s="23"/>
      <c r="AH163" s="23"/>
      <c r="AI163" s="23"/>
      <c r="AJ163" s="6" t="str">
        <f t="shared" si="31"/>
        <v/>
      </c>
      <c r="AK163" s="26" t="str">
        <f>IF(A163="","",COUNTIFS(加仓管理!$A$2:$A$1001,A163,加仓管理!$G$2:$G$1001,"&gt;0"))</f>
        <v/>
      </c>
      <c r="AL163" s="26" t="str">
        <f>IF(A163="","",SUMIFS(加仓管理!$G$2:$G$1001,加仓管理!$A$2:$A$1001,A163))</f>
        <v/>
      </c>
      <c r="AM163" s="27" t="str">
        <f>IF(AK163=0,"",IFERROR(LOOKUP(2,1/((加仓管理!$A$2:$A$1001=A163)*(加仓管理!$G$2:$G$1001&gt;0)),加仓管理!$D$2:$D$1001),""))</f>
        <v/>
      </c>
      <c r="AN163" s="27" t="str">
        <f>IF(AK163=0,"",IFERROR(LOOKUP(2,1/((加仓管理!$A$2:$A$1001=A163)*(加仓管理!$G$2:$G$1001&gt;0)),加仓管理!$E$2:$E$1001),""))</f>
        <v/>
      </c>
      <c r="AO163" s="27" t="str">
        <f>IF(OR(A163="",H163="",H163&lt;=0),"",(E163*H163+SUMIFS(加仓管理!$H$2:$H$1001,加仓管理!$A$2:$A$1001,A163))/AP163)</f>
        <v/>
      </c>
      <c r="AP163" s="26" t="str">
        <f t="shared" si="32"/>
        <v/>
      </c>
      <c r="AQ163" s="27" t="str">
        <f>IF(A163="","",IF(M163&lt;&gt;"",0,IF(OR(H163="",N163=""),"",MAX((E163*H163+SUMIFS(加仓管理!$H$2:$H$1001,加仓管理!$A$2:$A$1001,A163))-MAX(N163,AN163)*AP163,0))))</f>
        <v/>
      </c>
      <c r="AR163" s="27" t="str">
        <f ca="1"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ht="17" spans="1:44">
      <c r="A164" s="23"/>
      <c r="B164" s="23"/>
      <c r="C164" s="7"/>
      <c r="D164" s="4"/>
      <c r="E164" s="7"/>
      <c r="F164" s="6" t="str">
        <f t="shared" si="22"/>
        <v/>
      </c>
      <c r="G164" s="6" t="str">
        <f ca="1"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23"/>
      <c r="I164" s="24"/>
      <c r="J164" s="7"/>
      <c r="K164" s="3"/>
      <c r="L164" s="6" t="str">
        <f t="shared" si="23"/>
        <v/>
      </c>
      <c r="M164" s="41"/>
      <c r="N164" s="7"/>
      <c r="O164" s="7"/>
      <c r="P164" s="3"/>
      <c r="Q164" s="23"/>
      <c r="R164" s="23"/>
      <c r="S164" s="23"/>
      <c r="T164" s="23"/>
      <c r="U164" s="5" t="str">
        <f t="shared" si="24"/>
        <v/>
      </c>
      <c r="V164" s="5" t="str">
        <f t="shared" si="25"/>
        <v/>
      </c>
      <c r="W164" s="25" t="str">
        <f t="shared" si="26"/>
        <v/>
      </c>
      <c r="X164" s="3" t="str">
        <f t="shared" si="27"/>
        <v/>
      </c>
      <c r="Y164" s="5" t="str">
        <f t="shared" si="28"/>
        <v/>
      </c>
      <c r="Z164" s="5" t="str">
        <f>IF(OR(AE164="",多次统计数据!$B$8=""),"",AE164-多次统计数据!$B$8)</f>
        <v/>
      </c>
      <c r="AA164" s="8" t="str">
        <f t="shared" si="29"/>
        <v/>
      </c>
      <c r="AB164" s="5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23"/>
      <c r="AE164" s="5" t="str">
        <f t="shared" si="30"/>
        <v/>
      </c>
      <c r="AG164" s="23"/>
      <c r="AH164" s="23"/>
      <c r="AI164" s="23"/>
      <c r="AJ164" s="6" t="str">
        <f t="shared" si="31"/>
        <v/>
      </c>
      <c r="AK164" s="26" t="str">
        <f>IF(A164="","",COUNTIFS(加仓管理!$A$2:$A$1001,A164,加仓管理!$G$2:$G$1001,"&gt;0"))</f>
        <v/>
      </c>
      <c r="AL164" s="26" t="str">
        <f>IF(A164="","",SUMIFS(加仓管理!$G$2:$G$1001,加仓管理!$A$2:$A$1001,A164))</f>
        <v/>
      </c>
      <c r="AM164" s="27" t="str">
        <f>IF(AK164=0,"",IFERROR(LOOKUP(2,1/((加仓管理!$A$2:$A$1001=A164)*(加仓管理!$G$2:$G$1001&gt;0)),加仓管理!$D$2:$D$1001),""))</f>
        <v/>
      </c>
      <c r="AN164" s="27" t="str">
        <f>IF(AK164=0,"",IFERROR(LOOKUP(2,1/((加仓管理!$A$2:$A$1001=A164)*(加仓管理!$G$2:$G$1001&gt;0)),加仓管理!$E$2:$E$1001),""))</f>
        <v/>
      </c>
      <c r="AO164" s="27" t="str">
        <f>IF(OR(A164="",H164="",H164&lt;=0),"",(E164*H164+SUMIFS(加仓管理!$H$2:$H$1001,加仓管理!$A$2:$A$1001,A164))/AP164)</f>
        <v/>
      </c>
      <c r="AP164" s="26" t="str">
        <f t="shared" si="32"/>
        <v/>
      </c>
      <c r="AQ164" s="27" t="str">
        <f>IF(A164="","",IF(M164&lt;&gt;"",0,IF(OR(H164="",N164=""),"",MAX((E164*H164+SUMIFS(加仓管理!$H$2:$H$1001,加仓管理!$A$2:$A$1001,A164))-MAX(N164,AN164)*AP164,0))))</f>
        <v/>
      </c>
      <c r="AR164" s="27" t="str">
        <f ca="1"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ht="17" spans="1:44">
      <c r="A165" s="23"/>
      <c r="B165" s="23"/>
      <c r="C165" s="7"/>
      <c r="D165" s="4"/>
      <c r="E165" s="7"/>
      <c r="F165" s="6" t="str">
        <f t="shared" si="22"/>
        <v/>
      </c>
      <c r="G165" s="6" t="str">
        <f ca="1"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23"/>
      <c r="I165" s="24"/>
      <c r="J165" s="7"/>
      <c r="K165" s="3"/>
      <c r="L165" s="6" t="str">
        <f t="shared" si="23"/>
        <v/>
      </c>
      <c r="M165" s="41"/>
      <c r="N165" s="7"/>
      <c r="O165" s="7"/>
      <c r="P165" s="3"/>
      <c r="Q165" s="23"/>
      <c r="R165" s="23"/>
      <c r="S165" s="23"/>
      <c r="T165" s="23"/>
      <c r="U165" s="5" t="str">
        <f t="shared" si="24"/>
        <v/>
      </c>
      <c r="V165" s="5" t="str">
        <f t="shared" si="25"/>
        <v/>
      </c>
      <c r="W165" s="25" t="str">
        <f t="shared" si="26"/>
        <v/>
      </c>
      <c r="X165" s="3" t="str">
        <f t="shared" si="27"/>
        <v/>
      </c>
      <c r="Y165" s="5" t="str">
        <f t="shared" si="28"/>
        <v/>
      </c>
      <c r="Z165" s="5" t="str">
        <f>IF(OR(AE165="",多次统计数据!$B$8=""),"",AE165-多次统计数据!$B$8)</f>
        <v/>
      </c>
      <c r="AA165" s="8" t="str">
        <f t="shared" si="29"/>
        <v/>
      </c>
      <c r="AB165" s="5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23"/>
      <c r="AE165" s="5" t="str">
        <f t="shared" si="30"/>
        <v/>
      </c>
      <c r="AG165" s="23"/>
      <c r="AH165" s="23"/>
      <c r="AI165" s="23"/>
      <c r="AJ165" s="6" t="str">
        <f t="shared" si="31"/>
        <v/>
      </c>
      <c r="AK165" s="26" t="str">
        <f>IF(A165="","",COUNTIFS(加仓管理!$A$2:$A$1001,A165,加仓管理!$G$2:$G$1001,"&gt;0"))</f>
        <v/>
      </c>
      <c r="AL165" s="26" t="str">
        <f>IF(A165="","",SUMIFS(加仓管理!$G$2:$G$1001,加仓管理!$A$2:$A$1001,A165))</f>
        <v/>
      </c>
      <c r="AM165" s="27" t="str">
        <f>IF(AK165=0,"",IFERROR(LOOKUP(2,1/((加仓管理!$A$2:$A$1001=A165)*(加仓管理!$G$2:$G$1001&gt;0)),加仓管理!$D$2:$D$1001),""))</f>
        <v/>
      </c>
      <c r="AN165" s="27" t="str">
        <f>IF(AK165=0,"",IFERROR(LOOKUP(2,1/((加仓管理!$A$2:$A$1001=A165)*(加仓管理!$G$2:$G$1001&gt;0)),加仓管理!$E$2:$E$1001),""))</f>
        <v/>
      </c>
      <c r="AO165" s="27" t="str">
        <f>IF(OR(A165="",H165="",H165&lt;=0),"",(E165*H165+SUMIFS(加仓管理!$H$2:$H$1001,加仓管理!$A$2:$A$1001,A165))/AP165)</f>
        <v/>
      </c>
      <c r="AP165" s="26" t="str">
        <f t="shared" si="32"/>
        <v/>
      </c>
      <c r="AQ165" s="27" t="str">
        <f>IF(A165="","",IF(M165&lt;&gt;"",0,IF(OR(H165="",N165=""),"",MAX((E165*H165+SUMIFS(加仓管理!$H$2:$H$1001,加仓管理!$A$2:$A$1001,A165))-MAX(N165,AN165)*AP165,0))))</f>
        <v/>
      </c>
      <c r="AR165" s="27" t="str">
        <f ca="1"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ht="17" spans="1:44">
      <c r="A166" s="23"/>
      <c r="B166" s="23"/>
      <c r="C166" s="7"/>
      <c r="D166" s="4"/>
      <c r="E166" s="7"/>
      <c r="F166" s="6" t="str">
        <f t="shared" si="22"/>
        <v/>
      </c>
      <c r="G166" s="6" t="str">
        <f ca="1"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23"/>
      <c r="I166" s="24"/>
      <c r="J166" s="7"/>
      <c r="K166" s="3"/>
      <c r="L166" s="6" t="str">
        <f t="shared" si="23"/>
        <v/>
      </c>
      <c r="M166" s="41"/>
      <c r="N166" s="7"/>
      <c r="O166" s="7"/>
      <c r="P166" s="3"/>
      <c r="Q166" s="23"/>
      <c r="R166" s="23"/>
      <c r="S166" s="23"/>
      <c r="T166" s="23"/>
      <c r="U166" s="5" t="str">
        <f t="shared" si="24"/>
        <v/>
      </c>
      <c r="V166" s="5" t="str">
        <f t="shared" si="25"/>
        <v/>
      </c>
      <c r="W166" s="25" t="str">
        <f t="shared" si="26"/>
        <v/>
      </c>
      <c r="X166" s="3" t="str">
        <f t="shared" si="27"/>
        <v/>
      </c>
      <c r="Y166" s="5" t="str">
        <f t="shared" si="28"/>
        <v/>
      </c>
      <c r="Z166" s="5" t="str">
        <f>IF(OR(AE166="",多次统计数据!$B$8=""),"",AE166-多次统计数据!$B$8)</f>
        <v/>
      </c>
      <c r="AA166" s="8" t="str">
        <f t="shared" si="29"/>
        <v/>
      </c>
      <c r="AB166" s="5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23"/>
      <c r="AE166" s="5" t="str">
        <f t="shared" si="30"/>
        <v/>
      </c>
      <c r="AG166" s="23"/>
      <c r="AH166" s="23"/>
      <c r="AI166" s="23"/>
      <c r="AJ166" s="6" t="str">
        <f t="shared" si="31"/>
        <v/>
      </c>
      <c r="AK166" s="26" t="str">
        <f>IF(A166="","",COUNTIFS(加仓管理!$A$2:$A$1001,A166,加仓管理!$G$2:$G$1001,"&gt;0"))</f>
        <v/>
      </c>
      <c r="AL166" s="26" t="str">
        <f>IF(A166="","",SUMIFS(加仓管理!$G$2:$G$1001,加仓管理!$A$2:$A$1001,A166))</f>
        <v/>
      </c>
      <c r="AM166" s="27" t="str">
        <f>IF(AK166=0,"",IFERROR(LOOKUP(2,1/((加仓管理!$A$2:$A$1001=A166)*(加仓管理!$G$2:$G$1001&gt;0)),加仓管理!$D$2:$D$1001),""))</f>
        <v/>
      </c>
      <c r="AN166" s="27" t="str">
        <f>IF(AK166=0,"",IFERROR(LOOKUP(2,1/((加仓管理!$A$2:$A$1001=A166)*(加仓管理!$G$2:$G$1001&gt;0)),加仓管理!$E$2:$E$1001),""))</f>
        <v/>
      </c>
      <c r="AO166" s="27" t="str">
        <f>IF(OR(A166="",H166="",H166&lt;=0),"",(E166*H166+SUMIFS(加仓管理!$H$2:$H$1001,加仓管理!$A$2:$A$1001,A166))/AP166)</f>
        <v/>
      </c>
      <c r="AP166" s="26" t="str">
        <f t="shared" si="32"/>
        <v/>
      </c>
      <c r="AQ166" s="27" t="str">
        <f>IF(A166="","",IF(M166&lt;&gt;"",0,IF(OR(H166="",N166=""),"",MAX((E166*H166+SUMIFS(加仓管理!$H$2:$H$1001,加仓管理!$A$2:$A$1001,A166))-MAX(N166,AN166)*AP166,0))))</f>
        <v/>
      </c>
      <c r="AR166" s="27" t="str">
        <f ca="1"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ht="17" spans="1:44">
      <c r="A167" s="23"/>
      <c r="B167" s="23"/>
      <c r="C167" s="7"/>
      <c r="D167" s="4"/>
      <c r="E167" s="7"/>
      <c r="F167" s="6" t="str">
        <f t="shared" si="22"/>
        <v/>
      </c>
      <c r="G167" s="6" t="str">
        <f ca="1"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23"/>
      <c r="I167" s="24"/>
      <c r="J167" s="7"/>
      <c r="K167" s="3"/>
      <c r="L167" s="6" t="str">
        <f t="shared" si="23"/>
        <v/>
      </c>
      <c r="M167" s="41"/>
      <c r="N167" s="7"/>
      <c r="O167" s="7"/>
      <c r="P167" s="3"/>
      <c r="Q167" s="23"/>
      <c r="R167" s="23"/>
      <c r="S167" s="23"/>
      <c r="T167" s="23"/>
      <c r="U167" s="5" t="str">
        <f t="shared" si="24"/>
        <v/>
      </c>
      <c r="V167" s="5" t="str">
        <f t="shared" si="25"/>
        <v/>
      </c>
      <c r="W167" s="25" t="str">
        <f t="shared" si="26"/>
        <v/>
      </c>
      <c r="X167" s="3" t="str">
        <f t="shared" si="27"/>
        <v/>
      </c>
      <c r="Y167" s="5" t="str">
        <f t="shared" si="28"/>
        <v/>
      </c>
      <c r="Z167" s="5" t="str">
        <f>IF(OR(AE167="",多次统计数据!$B$8=""),"",AE167-多次统计数据!$B$8)</f>
        <v/>
      </c>
      <c r="AA167" s="8" t="str">
        <f t="shared" si="29"/>
        <v/>
      </c>
      <c r="AB167" s="5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23"/>
      <c r="AE167" s="5" t="str">
        <f t="shared" si="30"/>
        <v/>
      </c>
      <c r="AG167" s="23"/>
      <c r="AH167" s="23"/>
      <c r="AI167" s="23"/>
      <c r="AJ167" s="6" t="str">
        <f t="shared" si="31"/>
        <v/>
      </c>
      <c r="AK167" s="26" t="str">
        <f>IF(A167="","",COUNTIFS(加仓管理!$A$2:$A$1001,A167,加仓管理!$G$2:$G$1001,"&gt;0"))</f>
        <v/>
      </c>
      <c r="AL167" s="26" t="str">
        <f>IF(A167="","",SUMIFS(加仓管理!$G$2:$G$1001,加仓管理!$A$2:$A$1001,A167))</f>
        <v/>
      </c>
      <c r="AM167" s="27" t="str">
        <f>IF(AK167=0,"",IFERROR(LOOKUP(2,1/((加仓管理!$A$2:$A$1001=A167)*(加仓管理!$G$2:$G$1001&gt;0)),加仓管理!$D$2:$D$1001),""))</f>
        <v/>
      </c>
      <c r="AN167" s="27" t="str">
        <f>IF(AK167=0,"",IFERROR(LOOKUP(2,1/((加仓管理!$A$2:$A$1001=A167)*(加仓管理!$G$2:$G$1001&gt;0)),加仓管理!$E$2:$E$1001),""))</f>
        <v/>
      </c>
      <c r="AO167" s="27" t="str">
        <f>IF(OR(A167="",H167="",H167&lt;=0),"",(E167*H167+SUMIFS(加仓管理!$H$2:$H$1001,加仓管理!$A$2:$A$1001,A167))/AP167)</f>
        <v/>
      </c>
      <c r="AP167" s="26" t="str">
        <f t="shared" si="32"/>
        <v/>
      </c>
      <c r="AQ167" s="27" t="str">
        <f>IF(A167="","",IF(M167&lt;&gt;"",0,IF(OR(H167="",N167=""),"",MAX((E167*H167+SUMIFS(加仓管理!$H$2:$H$1001,加仓管理!$A$2:$A$1001,A167))-MAX(N167,AN167)*AP167,0))))</f>
        <v/>
      </c>
      <c r="AR167" s="27" t="str">
        <f ca="1"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ht="17" spans="1:44">
      <c r="A168" s="23"/>
      <c r="B168" s="23"/>
      <c r="C168" s="7"/>
      <c r="D168" s="4"/>
      <c r="E168" s="7"/>
      <c r="F168" s="6" t="str">
        <f t="shared" si="22"/>
        <v/>
      </c>
      <c r="G168" s="6" t="str">
        <f ca="1"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23"/>
      <c r="I168" s="24"/>
      <c r="J168" s="7"/>
      <c r="K168" s="3"/>
      <c r="L168" s="6" t="str">
        <f t="shared" si="23"/>
        <v/>
      </c>
      <c r="M168" s="41"/>
      <c r="N168" s="7"/>
      <c r="O168" s="7"/>
      <c r="P168" s="3"/>
      <c r="Q168" s="23"/>
      <c r="R168" s="23"/>
      <c r="S168" s="23"/>
      <c r="T168" s="23"/>
      <c r="U168" s="5" t="str">
        <f t="shared" si="24"/>
        <v/>
      </c>
      <c r="V168" s="5" t="str">
        <f t="shared" si="25"/>
        <v/>
      </c>
      <c r="W168" s="25" t="str">
        <f t="shared" si="26"/>
        <v/>
      </c>
      <c r="X168" s="3" t="str">
        <f t="shared" si="27"/>
        <v/>
      </c>
      <c r="Y168" s="5" t="str">
        <f t="shared" si="28"/>
        <v/>
      </c>
      <c r="Z168" s="5" t="str">
        <f>IF(OR(AE168="",多次统计数据!$B$8=""),"",AE168-多次统计数据!$B$8)</f>
        <v/>
      </c>
      <c r="AA168" s="8" t="str">
        <f t="shared" si="29"/>
        <v/>
      </c>
      <c r="AB168" s="5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23"/>
      <c r="AE168" s="5" t="str">
        <f t="shared" si="30"/>
        <v/>
      </c>
      <c r="AG168" s="23"/>
      <c r="AH168" s="23"/>
      <c r="AI168" s="23"/>
      <c r="AJ168" s="6" t="str">
        <f t="shared" si="31"/>
        <v/>
      </c>
      <c r="AK168" s="26" t="str">
        <f>IF(A168="","",COUNTIFS(加仓管理!$A$2:$A$1001,A168,加仓管理!$G$2:$G$1001,"&gt;0"))</f>
        <v/>
      </c>
      <c r="AL168" s="26" t="str">
        <f>IF(A168="","",SUMIFS(加仓管理!$G$2:$G$1001,加仓管理!$A$2:$A$1001,A168))</f>
        <v/>
      </c>
      <c r="AM168" s="27" t="str">
        <f>IF(AK168=0,"",IFERROR(LOOKUP(2,1/((加仓管理!$A$2:$A$1001=A168)*(加仓管理!$G$2:$G$1001&gt;0)),加仓管理!$D$2:$D$1001),""))</f>
        <v/>
      </c>
      <c r="AN168" s="27" t="str">
        <f>IF(AK168=0,"",IFERROR(LOOKUP(2,1/((加仓管理!$A$2:$A$1001=A168)*(加仓管理!$G$2:$G$1001&gt;0)),加仓管理!$E$2:$E$1001),""))</f>
        <v/>
      </c>
      <c r="AO168" s="27" t="str">
        <f>IF(OR(A168="",H168="",H168&lt;=0),"",(E168*H168+SUMIFS(加仓管理!$H$2:$H$1001,加仓管理!$A$2:$A$1001,A168))/AP168)</f>
        <v/>
      </c>
      <c r="AP168" s="26" t="str">
        <f t="shared" si="32"/>
        <v/>
      </c>
      <c r="AQ168" s="27" t="str">
        <f>IF(A168="","",IF(M168&lt;&gt;"",0,IF(OR(H168="",N168=""),"",MAX((E168*H168+SUMIFS(加仓管理!$H$2:$H$1001,加仓管理!$A$2:$A$1001,A168))-MAX(N168,AN168)*AP168,0))))</f>
        <v/>
      </c>
      <c r="AR168" s="27" t="str">
        <f ca="1"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ht="17" spans="1:44">
      <c r="A169" s="23"/>
      <c r="B169" s="23"/>
      <c r="C169" s="7"/>
      <c r="D169" s="4"/>
      <c r="E169" s="7"/>
      <c r="F169" s="6" t="str">
        <f t="shared" si="22"/>
        <v/>
      </c>
      <c r="G169" s="6" t="str">
        <f ca="1"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23"/>
      <c r="I169" s="24"/>
      <c r="J169" s="7"/>
      <c r="K169" s="3"/>
      <c r="L169" s="6" t="str">
        <f t="shared" si="23"/>
        <v/>
      </c>
      <c r="M169" s="41"/>
      <c r="N169" s="7"/>
      <c r="O169" s="7"/>
      <c r="P169" s="3"/>
      <c r="Q169" s="23"/>
      <c r="R169" s="23"/>
      <c r="S169" s="23"/>
      <c r="T169" s="23"/>
      <c r="U169" s="5" t="str">
        <f t="shared" si="24"/>
        <v/>
      </c>
      <c r="V169" s="5" t="str">
        <f t="shared" si="25"/>
        <v/>
      </c>
      <c r="W169" s="25" t="str">
        <f t="shared" si="26"/>
        <v/>
      </c>
      <c r="X169" s="3" t="str">
        <f t="shared" si="27"/>
        <v/>
      </c>
      <c r="Y169" s="5" t="str">
        <f t="shared" si="28"/>
        <v/>
      </c>
      <c r="Z169" s="5" t="str">
        <f>IF(OR(AE169="",多次统计数据!$B$8=""),"",AE169-多次统计数据!$B$8)</f>
        <v/>
      </c>
      <c r="AA169" s="8" t="str">
        <f t="shared" si="29"/>
        <v/>
      </c>
      <c r="AB169" s="5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23"/>
      <c r="AE169" s="5" t="str">
        <f t="shared" si="30"/>
        <v/>
      </c>
      <c r="AG169" s="23"/>
      <c r="AH169" s="23"/>
      <c r="AI169" s="23"/>
      <c r="AJ169" s="6" t="str">
        <f t="shared" si="31"/>
        <v/>
      </c>
      <c r="AK169" s="26" t="str">
        <f>IF(A169="","",COUNTIFS(加仓管理!$A$2:$A$1001,A169,加仓管理!$G$2:$G$1001,"&gt;0"))</f>
        <v/>
      </c>
      <c r="AL169" s="26" t="str">
        <f>IF(A169="","",SUMIFS(加仓管理!$G$2:$G$1001,加仓管理!$A$2:$A$1001,A169))</f>
        <v/>
      </c>
      <c r="AM169" s="27" t="str">
        <f>IF(AK169=0,"",IFERROR(LOOKUP(2,1/((加仓管理!$A$2:$A$1001=A169)*(加仓管理!$G$2:$G$1001&gt;0)),加仓管理!$D$2:$D$1001),""))</f>
        <v/>
      </c>
      <c r="AN169" s="27" t="str">
        <f>IF(AK169=0,"",IFERROR(LOOKUP(2,1/((加仓管理!$A$2:$A$1001=A169)*(加仓管理!$G$2:$G$1001&gt;0)),加仓管理!$E$2:$E$1001),""))</f>
        <v/>
      </c>
      <c r="AO169" s="27" t="str">
        <f>IF(OR(A169="",H169="",H169&lt;=0),"",(E169*H169+SUMIFS(加仓管理!$H$2:$H$1001,加仓管理!$A$2:$A$1001,A169))/AP169)</f>
        <v/>
      </c>
      <c r="AP169" s="26" t="str">
        <f t="shared" si="32"/>
        <v/>
      </c>
      <c r="AQ169" s="27" t="str">
        <f>IF(A169="","",IF(M169&lt;&gt;"",0,IF(OR(H169="",N169=""),"",MAX((E169*H169+SUMIFS(加仓管理!$H$2:$H$1001,加仓管理!$A$2:$A$1001,A169))-MAX(N169,AN169)*AP169,0))))</f>
        <v/>
      </c>
      <c r="AR169" s="27" t="str">
        <f ca="1"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ht="17" spans="1:44">
      <c r="A170" s="23"/>
      <c r="B170" s="23"/>
      <c r="C170" s="7"/>
      <c r="D170" s="4"/>
      <c r="E170" s="7"/>
      <c r="F170" s="6" t="str">
        <f t="shared" si="22"/>
        <v/>
      </c>
      <c r="G170" s="6" t="str">
        <f ca="1"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23"/>
      <c r="I170" s="24"/>
      <c r="J170" s="7"/>
      <c r="K170" s="3"/>
      <c r="L170" s="6" t="str">
        <f t="shared" si="23"/>
        <v/>
      </c>
      <c r="M170" s="41"/>
      <c r="N170" s="7"/>
      <c r="O170" s="7"/>
      <c r="P170" s="3"/>
      <c r="Q170" s="23"/>
      <c r="R170" s="23"/>
      <c r="S170" s="23"/>
      <c r="T170" s="23"/>
      <c r="U170" s="5" t="str">
        <f t="shared" si="24"/>
        <v/>
      </c>
      <c r="V170" s="5" t="str">
        <f t="shared" si="25"/>
        <v/>
      </c>
      <c r="W170" s="25" t="str">
        <f t="shared" si="26"/>
        <v/>
      </c>
      <c r="X170" s="3" t="str">
        <f t="shared" si="27"/>
        <v/>
      </c>
      <c r="Y170" s="5" t="str">
        <f t="shared" si="28"/>
        <v/>
      </c>
      <c r="Z170" s="5" t="str">
        <f>IF(OR(AE170="",多次统计数据!$B$8=""),"",AE170-多次统计数据!$B$8)</f>
        <v/>
      </c>
      <c r="AA170" s="8" t="str">
        <f t="shared" si="29"/>
        <v/>
      </c>
      <c r="AB170" s="5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23"/>
      <c r="AE170" s="5" t="str">
        <f t="shared" si="30"/>
        <v/>
      </c>
      <c r="AG170" s="23"/>
      <c r="AH170" s="23"/>
      <c r="AI170" s="23"/>
      <c r="AJ170" s="6" t="str">
        <f t="shared" si="31"/>
        <v/>
      </c>
      <c r="AK170" s="26" t="str">
        <f>IF(A170="","",COUNTIFS(加仓管理!$A$2:$A$1001,A170,加仓管理!$G$2:$G$1001,"&gt;0"))</f>
        <v/>
      </c>
      <c r="AL170" s="26" t="str">
        <f>IF(A170="","",SUMIFS(加仓管理!$G$2:$G$1001,加仓管理!$A$2:$A$1001,A170))</f>
        <v/>
      </c>
      <c r="AM170" s="27" t="str">
        <f>IF(AK170=0,"",IFERROR(LOOKUP(2,1/((加仓管理!$A$2:$A$1001=A170)*(加仓管理!$G$2:$G$1001&gt;0)),加仓管理!$D$2:$D$1001),""))</f>
        <v/>
      </c>
      <c r="AN170" s="27" t="str">
        <f>IF(AK170=0,"",IFERROR(LOOKUP(2,1/((加仓管理!$A$2:$A$1001=A170)*(加仓管理!$G$2:$G$1001&gt;0)),加仓管理!$E$2:$E$1001),""))</f>
        <v/>
      </c>
      <c r="AO170" s="27" t="str">
        <f>IF(OR(A170="",H170="",H170&lt;=0),"",(E170*H170+SUMIFS(加仓管理!$H$2:$H$1001,加仓管理!$A$2:$A$1001,A170))/AP170)</f>
        <v/>
      </c>
      <c r="AP170" s="26" t="str">
        <f t="shared" si="32"/>
        <v/>
      </c>
      <c r="AQ170" s="27" t="str">
        <f>IF(A170="","",IF(M170&lt;&gt;"",0,IF(OR(H170="",N170=""),"",MAX((E170*H170+SUMIFS(加仓管理!$H$2:$H$1001,加仓管理!$A$2:$A$1001,A170))-MAX(N170,AN170)*AP170,0))))</f>
        <v/>
      </c>
      <c r="AR170" s="27" t="str">
        <f ca="1"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ht="17" spans="1:44">
      <c r="A171" s="23"/>
      <c r="B171" s="23"/>
      <c r="C171" s="7"/>
      <c r="D171" s="4"/>
      <c r="E171" s="7"/>
      <c r="F171" s="6" t="str">
        <f t="shared" si="22"/>
        <v/>
      </c>
      <c r="G171" s="6" t="str">
        <f ca="1"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23"/>
      <c r="I171" s="24"/>
      <c r="J171" s="7"/>
      <c r="K171" s="3"/>
      <c r="L171" s="6" t="str">
        <f t="shared" si="23"/>
        <v/>
      </c>
      <c r="M171" s="41"/>
      <c r="N171" s="7"/>
      <c r="O171" s="7"/>
      <c r="P171" s="3"/>
      <c r="Q171" s="23"/>
      <c r="R171" s="23"/>
      <c r="S171" s="23"/>
      <c r="T171" s="23"/>
      <c r="U171" s="5" t="str">
        <f t="shared" si="24"/>
        <v/>
      </c>
      <c r="V171" s="5" t="str">
        <f t="shared" si="25"/>
        <v/>
      </c>
      <c r="W171" s="25" t="str">
        <f t="shared" si="26"/>
        <v/>
      </c>
      <c r="X171" s="3" t="str">
        <f t="shared" si="27"/>
        <v/>
      </c>
      <c r="Y171" s="5" t="str">
        <f t="shared" si="28"/>
        <v/>
      </c>
      <c r="Z171" s="5" t="str">
        <f>IF(OR(AE171="",多次统计数据!$B$8=""),"",AE171-多次统计数据!$B$8)</f>
        <v/>
      </c>
      <c r="AA171" s="8" t="str">
        <f t="shared" si="29"/>
        <v/>
      </c>
      <c r="AB171" s="5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23"/>
      <c r="AE171" s="5" t="str">
        <f t="shared" si="30"/>
        <v/>
      </c>
      <c r="AG171" s="23"/>
      <c r="AH171" s="23"/>
      <c r="AI171" s="23"/>
      <c r="AJ171" s="6" t="str">
        <f t="shared" si="31"/>
        <v/>
      </c>
      <c r="AK171" s="26" t="str">
        <f>IF(A171="","",COUNTIFS(加仓管理!$A$2:$A$1001,A171,加仓管理!$G$2:$G$1001,"&gt;0"))</f>
        <v/>
      </c>
      <c r="AL171" s="26" t="str">
        <f>IF(A171="","",SUMIFS(加仓管理!$G$2:$G$1001,加仓管理!$A$2:$A$1001,A171))</f>
        <v/>
      </c>
      <c r="AM171" s="27" t="str">
        <f>IF(AK171=0,"",IFERROR(LOOKUP(2,1/((加仓管理!$A$2:$A$1001=A171)*(加仓管理!$G$2:$G$1001&gt;0)),加仓管理!$D$2:$D$1001),""))</f>
        <v/>
      </c>
      <c r="AN171" s="27" t="str">
        <f>IF(AK171=0,"",IFERROR(LOOKUP(2,1/((加仓管理!$A$2:$A$1001=A171)*(加仓管理!$G$2:$G$1001&gt;0)),加仓管理!$E$2:$E$1001),""))</f>
        <v/>
      </c>
      <c r="AO171" s="27" t="str">
        <f>IF(OR(A171="",H171="",H171&lt;=0),"",(E171*H171+SUMIFS(加仓管理!$H$2:$H$1001,加仓管理!$A$2:$A$1001,A171))/AP171)</f>
        <v/>
      </c>
      <c r="AP171" s="26" t="str">
        <f t="shared" si="32"/>
        <v/>
      </c>
      <c r="AQ171" s="27" t="str">
        <f>IF(A171="","",IF(M171&lt;&gt;"",0,IF(OR(H171="",N171=""),"",MAX((E171*H171+SUMIFS(加仓管理!$H$2:$H$1001,加仓管理!$A$2:$A$1001,A171))-MAX(N171,AN171)*AP171,0))))</f>
        <v/>
      </c>
      <c r="AR171" s="27" t="str">
        <f ca="1"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ht="17" spans="1:44">
      <c r="A172" s="23"/>
      <c r="B172" s="23"/>
      <c r="C172" s="7"/>
      <c r="D172" s="4"/>
      <c r="E172" s="7"/>
      <c r="F172" s="6" t="str">
        <f t="shared" si="22"/>
        <v/>
      </c>
      <c r="G172" s="6" t="str">
        <f ca="1"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23"/>
      <c r="I172" s="24"/>
      <c r="J172" s="7"/>
      <c r="K172" s="3"/>
      <c r="L172" s="6" t="str">
        <f t="shared" si="23"/>
        <v/>
      </c>
      <c r="M172" s="41"/>
      <c r="N172" s="7"/>
      <c r="O172" s="7"/>
      <c r="P172" s="3"/>
      <c r="Q172" s="23"/>
      <c r="R172" s="23"/>
      <c r="S172" s="23"/>
      <c r="T172" s="23"/>
      <c r="U172" s="5" t="str">
        <f t="shared" si="24"/>
        <v/>
      </c>
      <c r="V172" s="5" t="str">
        <f t="shared" si="25"/>
        <v/>
      </c>
      <c r="W172" s="25" t="str">
        <f t="shared" si="26"/>
        <v/>
      </c>
      <c r="X172" s="3" t="str">
        <f t="shared" si="27"/>
        <v/>
      </c>
      <c r="Y172" s="5" t="str">
        <f t="shared" si="28"/>
        <v/>
      </c>
      <c r="Z172" s="5" t="str">
        <f>IF(OR(AE172="",多次统计数据!$B$8=""),"",AE172-多次统计数据!$B$8)</f>
        <v/>
      </c>
      <c r="AA172" s="8" t="str">
        <f t="shared" si="29"/>
        <v/>
      </c>
      <c r="AB172" s="5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23"/>
      <c r="AE172" s="5" t="str">
        <f t="shared" si="30"/>
        <v/>
      </c>
      <c r="AG172" s="23"/>
      <c r="AH172" s="23"/>
      <c r="AI172" s="23"/>
      <c r="AJ172" s="6" t="str">
        <f t="shared" si="31"/>
        <v/>
      </c>
      <c r="AK172" s="26" t="str">
        <f>IF(A172="","",COUNTIFS(加仓管理!$A$2:$A$1001,A172,加仓管理!$G$2:$G$1001,"&gt;0"))</f>
        <v/>
      </c>
      <c r="AL172" s="26" t="str">
        <f>IF(A172="","",SUMIFS(加仓管理!$G$2:$G$1001,加仓管理!$A$2:$A$1001,A172))</f>
        <v/>
      </c>
      <c r="AM172" s="27" t="str">
        <f>IF(AK172=0,"",IFERROR(LOOKUP(2,1/((加仓管理!$A$2:$A$1001=A172)*(加仓管理!$G$2:$G$1001&gt;0)),加仓管理!$D$2:$D$1001),""))</f>
        <v/>
      </c>
      <c r="AN172" s="27" t="str">
        <f>IF(AK172=0,"",IFERROR(LOOKUP(2,1/((加仓管理!$A$2:$A$1001=A172)*(加仓管理!$G$2:$G$1001&gt;0)),加仓管理!$E$2:$E$1001),""))</f>
        <v/>
      </c>
      <c r="AO172" s="27" t="str">
        <f>IF(OR(A172="",H172="",H172&lt;=0),"",(E172*H172+SUMIFS(加仓管理!$H$2:$H$1001,加仓管理!$A$2:$A$1001,A172))/AP172)</f>
        <v/>
      </c>
      <c r="AP172" s="26" t="str">
        <f t="shared" si="32"/>
        <v/>
      </c>
      <c r="AQ172" s="27" t="str">
        <f>IF(A172="","",IF(M172&lt;&gt;"",0,IF(OR(H172="",N172=""),"",MAX((E172*H172+SUMIFS(加仓管理!$H$2:$H$1001,加仓管理!$A$2:$A$1001,A172))-MAX(N172,AN172)*AP172,0))))</f>
        <v/>
      </c>
      <c r="AR172" s="27" t="str">
        <f ca="1"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ht="17" spans="1:44">
      <c r="A173" s="23"/>
      <c r="B173" s="23"/>
      <c r="C173" s="7"/>
      <c r="D173" s="4"/>
      <c r="E173" s="7"/>
      <c r="F173" s="6" t="str">
        <f t="shared" si="22"/>
        <v/>
      </c>
      <c r="G173" s="6" t="str">
        <f ca="1"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23"/>
      <c r="I173" s="24"/>
      <c r="J173" s="7"/>
      <c r="K173" s="3"/>
      <c r="L173" s="6" t="str">
        <f t="shared" si="23"/>
        <v/>
      </c>
      <c r="M173" s="41"/>
      <c r="N173" s="7"/>
      <c r="O173" s="7"/>
      <c r="P173" s="3"/>
      <c r="Q173" s="23"/>
      <c r="R173" s="23"/>
      <c r="S173" s="23"/>
      <c r="T173" s="23"/>
      <c r="U173" s="5" t="str">
        <f t="shared" si="24"/>
        <v/>
      </c>
      <c r="V173" s="5" t="str">
        <f t="shared" si="25"/>
        <v/>
      </c>
      <c r="W173" s="25" t="str">
        <f t="shared" si="26"/>
        <v/>
      </c>
      <c r="X173" s="3" t="str">
        <f t="shared" si="27"/>
        <v/>
      </c>
      <c r="Y173" s="5" t="str">
        <f t="shared" si="28"/>
        <v/>
      </c>
      <c r="Z173" s="5" t="str">
        <f>IF(OR(AE173="",多次统计数据!$B$8=""),"",AE173-多次统计数据!$B$8)</f>
        <v/>
      </c>
      <c r="AA173" s="8" t="str">
        <f t="shared" si="29"/>
        <v/>
      </c>
      <c r="AB173" s="5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23"/>
      <c r="AE173" s="5" t="str">
        <f t="shared" si="30"/>
        <v/>
      </c>
      <c r="AG173" s="23"/>
      <c r="AH173" s="23"/>
      <c r="AI173" s="23"/>
      <c r="AJ173" s="6" t="str">
        <f t="shared" si="31"/>
        <v/>
      </c>
      <c r="AK173" s="26" t="str">
        <f>IF(A173="","",COUNTIFS(加仓管理!$A$2:$A$1001,A173,加仓管理!$G$2:$G$1001,"&gt;0"))</f>
        <v/>
      </c>
      <c r="AL173" s="26" t="str">
        <f>IF(A173="","",SUMIFS(加仓管理!$G$2:$G$1001,加仓管理!$A$2:$A$1001,A173))</f>
        <v/>
      </c>
      <c r="AM173" s="27" t="str">
        <f>IF(AK173=0,"",IFERROR(LOOKUP(2,1/((加仓管理!$A$2:$A$1001=A173)*(加仓管理!$G$2:$G$1001&gt;0)),加仓管理!$D$2:$D$1001),""))</f>
        <v/>
      </c>
      <c r="AN173" s="27" t="str">
        <f>IF(AK173=0,"",IFERROR(LOOKUP(2,1/((加仓管理!$A$2:$A$1001=A173)*(加仓管理!$G$2:$G$1001&gt;0)),加仓管理!$E$2:$E$1001),""))</f>
        <v/>
      </c>
      <c r="AO173" s="27" t="str">
        <f>IF(OR(A173="",H173="",H173&lt;=0),"",(E173*H173+SUMIFS(加仓管理!$H$2:$H$1001,加仓管理!$A$2:$A$1001,A173))/AP173)</f>
        <v/>
      </c>
      <c r="AP173" s="26" t="str">
        <f t="shared" si="32"/>
        <v/>
      </c>
      <c r="AQ173" s="27" t="str">
        <f>IF(A173="","",IF(M173&lt;&gt;"",0,IF(OR(H173="",N173=""),"",MAX((E173*H173+SUMIFS(加仓管理!$H$2:$H$1001,加仓管理!$A$2:$A$1001,A173))-MAX(N173,AN173)*AP173,0))))</f>
        <v/>
      </c>
      <c r="AR173" s="27" t="str">
        <f ca="1"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ht="17" spans="1:44">
      <c r="A174" s="23"/>
      <c r="B174" s="23"/>
      <c r="C174" s="7"/>
      <c r="D174" s="4"/>
      <c r="E174" s="7"/>
      <c r="F174" s="6" t="str">
        <f t="shared" si="22"/>
        <v/>
      </c>
      <c r="G174" s="6" t="str">
        <f ca="1"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23"/>
      <c r="I174" s="24"/>
      <c r="J174" s="7"/>
      <c r="K174" s="3"/>
      <c r="L174" s="6" t="str">
        <f t="shared" si="23"/>
        <v/>
      </c>
      <c r="M174" s="41"/>
      <c r="N174" s="7"/>
      <c r="O174" s="7"/>
      <c r="P174" s="3"/>
      <c r="Q174" s="23"/>
      <c r="R174" s="23"/>
      <c r="S174" s="23"/>
      <c r="T174" s="23"/>
      <c r="U174" s="5" t="str">
        <f t="shared" si="24"/>
        <v/>
      </c>
      <c r="V174" s="5" t="str">
        <f t="shared" si="25"/>
        <v/>
      </c>
      <c r="W174" s="25" t="str">
        <f t="shared" si="26"/>
        <v/>
      </c>
      <c r="X174" s="3" t="str">
        <f t="shared" si="27"/>
        <v/>
      </c>
      <c r="Y174" s="5" t="str">
        <f t="shared" si="28"/>
        <v/>
      </c>
      <c r="Z174" s="5" t="str">
        <f>IF(OR(AE174="",多次统计数据!$B$8=""),"",AE174-多次统计数据!$B$8)</f>
        <v/>
      </c>
      <c r="AA174" s="8" t="str">
        <f t="shared" si="29"/>
        <v/>
      </c>
      <c r="AB174" s="5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23"/>
      <c r="AE174" s="5" t="str">
        <f t="shared" si="30"/>
        <v/>
      </c>
      <c r="AG174" s="23"/>
      <c r="AH174" s="23"/>
      <c r="AI174" s="23"/>
      <c r="AJ174" s="6" t="str">
        <f t="shared" si="31"/>
        <v/>
      </c>
      <c r="AK174" s="26" t="str">
        <f>IF(A174="","",COUNTIFS(加仓管理!$A$2:$A$1001,A174,加仓管理!$G$2:$G$1001,"&gt;0"))</f>
        <v/>
      </c>
      <c r="AL174" s="26" t="str">
        <f>IF(A174="","",SUMIFS(加仓管理!$G$2:$G$1001,加仓管理!$A$2:$A$1001,A174))</f>
        <v/>
      </c>
      <c r="AM174" s="27" t="str">
        <f>IF(AK174=0,"",IFERROR(LOOKUP(2,1/((加仓管理!$A$2:$A$1001=A174)*(加仓管理!$G$2:$G$1001&gt;0)),加仓管理!$D$2:$D$1001),""))</f>
        <v/>
      </c>
      <c r="AN174" s="27" t="str">
        <f>IF(AK174=0,"",IFERROR(LOOKUP(2,1/((加仓管理!$A$2:$A$1001=A174)*(加仓管理!$G$2:$G$1001&gt;0)),加仓管理!$E$2:$E$1001),""))</f>
        <v/>
      </c>
      <c r="AO174" s="27" t="str">
        <f>IF(OR(A174="",H174="",H174&lt;=0),"",(E174*H174+SUMIFS(加仓管理!$H$2:$H$1001,加仓管理!$A$2:$A$1001,A174))/AP174)</f>
        <v/>
      </c>
      <c r="AP174" s="26" t="str">
        <f t="shared" si="32"/>
        <v/>
      </c>
      <c r="AQ174" s="27" t="str">
        <f>IF(A174="","",IF(M174&lt;&gt;"",0,IF(OR(H174="",N174=""),"",MAX((E174*H174+SUMIFS(加仓管理!$H$2:$H$1001,加仓管理!$A$2:$A$1001,A174))-MAX(N174,AN174)*AP174,0))))</f>
        <v/>
      </c>
      <c r="AR174" s="27" t="str">
        <f ca="1"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ht="17" spans="1:44">
      <c r="A175" s="23"/>
      <c r="B175" s="23"/>
      <c r="C175" s="7"/>
      <c r="D175" s="4"/>
      <c r="E175" s="7"/>
      <c r="F175" s="6" t="str">
        <f t="shared" si="22"/>
        <v/>
      </c>
      <c r="G175" s="6" t="str">
        <f ca="1"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23"/>
      <c r="I175" s="24"/>
      <c r="J175" s="7"/>
      <c r="K175" s="3"/>
      <c r="L175" s="6" t="str">
        <f t="shared" si="23"/>
        <v/>
      </c>
      <c r="M175" s="41"/>
      <c r="N175" s="7"/>
      <c r="O175" s="7"/>
      <c r="P175" s="3"/>
      <c r="Q175" s="23"/>
      <c r="R175" s="23"/>
      <c r="S175" s="23"/>
      <c r="T175" s="23"/>
      <c r="U175" s="5" t="str">
        <f t="shared" si="24"/>
        <v/>
      </c>
      <c r="V175" s="5" t="str">
        <f t="shared" si="25"/>
        <v/>
      </c>
      <c r="W175" s="25" t="str">
        <f t="shared" si="26"/>
        <v/>
      </c>
      <c r="X175" s="3" t="str">
        <f t="shared" si="27"/>
        <v/>
      </c>
      <c r="Y175" s="5" t="str">
        <f t="shared" si="28"/>
        <v/>
      </c>
      <c r="Z175" s="5" t="str">
        <f>IF(OR(AE175="",多次统计数据!$B$8=""),"",AE175-多次统计数据!$B$8)</f>
        <v/>
      </c>
      <c r="AA175" s="8" t="str">
        <f t="shared" si="29"/>
        <v/>
      </c>
      <c r="AB175" s="5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23"/>
      <c r="AE175" s="5" t="str">
        <f t="shared" si="30"/>
        <v/>
      </c>
      <c r="AG175" s="23"/>
      <c r="AH175" s="23"/>
      <c r="AI175" s="23"/>
      <c r="AJ175" s="6" t="str">
        <f t="shared" si="31"/>
        <v/>
      </c>
      <c r="AK175" s="26" t="str">
        <f>IF(A175="","",COUNTIFS(加仓管理!$A$2:$A$1001,A175,加仓管理!$G$2:$G$1001,"&gt;0"))</f>
        <v/>
      </c>
      <c r="AL175" s="26" t="str">
        <f>IF(A175="","",SUMIFS(加仓管理!$G$2:$G$1001,加仓管理!$A$2:$A$1001,A175))</f>
        <v/>
      </c>
      <c r="AM175" s="27" t="str">
        <f>IF(AK175=0,"",IFERROR(LOOKUP(2,1/((加仓管理!$A$2:$A$1001=A175)*(加仓管理!$G$2:$G$1001&gt;0)),加仓管理!$D$2:$D$1001),""))</f>
        <v/>
      </c>
      <c r="AN175" s="27" t="str">
        <f>IF(AK175=0,"",IFERROR(LOOKUP(2,1/((加仓管理!$A$2:$A$1001=A175)*(加仓管理!$G$2:$G$1001&gt;0)),加仓管理!$E$2:$E$1001),""))</f>
        <v/>
      </c>
      <c r="AO175" s="27" t="str">
        <f>IF(OR(A175="",H175="",H175&lt;=0),"",(E175*H175+SUMIFS(加仓管理!$H$2:$H$1001,加仓管理!$A$2:$A$1001,A175))/AP175)</f>
        <v/>
      </c>
      <c r="AP175" s="26" t="str">
        <f t="shared" si="32"/>
        <v/>
      </c>
      <c r="AQ175" s="27" t="str">
        <f>IF(A175="","",IF(M175&lt;&gt;"",0,IF(OR(H175="",N175=""),"",MAX((E175*H175+SUMIFS(加仓管理!$H$2:$H$1001,加仓管理!$A$2:$A$1001,A175))-MAX(N175,AN175)*AP175,0))))</f>
        <v/>
      </c>
      <c r="AR175" s="27" t="str">
        <f ca="1"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ht="17" spans="1:44">
      <c r="A176" s="23"/>
      <c r="B176" s="23"/>
      <c r="C176" s="7"/>
      <c r="D176" s="4"/>
      <c r="E176" s="7"/>
      <c r="F176" s="6" t="str">
        <f t="shared" si="22"/>
        <v/>
      </c>
      <c r="G176" s="6" t="str">
        <f ca="1"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23"/>
      <c r="I176" s="24"/>
      <c r="J176" s="7"/>
      <c r="K176" s="3"/>
      <c r="L176" s="6" t="str">
        <f t="shared" si="23"/>
        <v/>
      </c>
      <c r="M176" s="41"/>
      <c r="N176" s="7"/>
      <c r="O176" s="7"/>
      <c r="P176" s="3"/>
      <c r="Q176" s="23"/>
      <c r="R176" s="23"/>
      <c r="S176" s="23"/>
      <c r="T176" s="23"/>
      <c r="U176" s="5" t="str">
        <f t="shared" si="24"/>
        <v/>
      </c>
      <c r="V176" s="5" t="str">
        <f t="shared" si="25"/>
        <v/>
      </c>
      <c r="W176" s="25" t="str">
        <f t="shared" si="26"/>
        <v/>
      </c>
      <c r="X176" s="3" t="str">
        <f t="shared" si="27"/>
        <v/>
      </c>
      <c r="Y176" s="5" t="str">
        <f t="shared" si="28"/>
        <v/>
      </c>
      <c r="Z176" s="5" t="str">
        <f>IF(OR(AE176="",多次统计数据!$B$8=""),"",AE176-多次统计数据!$B$8)</f>
        <v/>
      </c>
      <c r="AA176" s="8" t="str">
        <f t="shared" si="29"/>
        <v/>
      </c>
      <c r="AB176" s="5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23"/>
      <c r="AE176" s="5" t="str">
        <f t="shared" si="30"/>
        <v/>
      </c>
      <c r="AG176" s="23"/>
      <c r="AH176" s="23"/>
      <c r="AI176" s="23"/>
      <c r="AJ176" s="6" t="str">
        <f t="shared" si="31"/>
        <v/>
      </c>
      <c r="AK176" s="26" t="str">
        <f>IF(A176="","",COUNTIFS(加仓管理!$A$2:$A$1001,A176,加仓管理!$G$2:$G$1001,"&gt;0"))</f>
        <v/>
      </c>
      <c r="AL176" s="26" t="str">
        <f>IF(A176="","",SUMIFS(加仓管理!$G$2:$G$1001,加仓管理!$A$2:$A$1001,A176))</f>
        <v/>
      </c>
      <c r="AM176" s="27" t="str">
        <f>IF(AK176=0,"",IFERROR(LOOKUP(2,1/((加仓管理!$A$2:$A$1001=A176)*(加仓管理!$G$2:$G$1001&gt;0)),加仓管理!$D$2:$D$1001),""))</f>
        <v/>
      </c>
      <c r="AN176" s="27" t="str">
        <f>IF(AK176=0,"",IFERROR(LOOKUP(2,1/((加仓管理!$A$2:$A$1001=A176)*(加仓管理!$G$2:$G$1001&gt;0)),加仓管理!$E$2:$E$1001),""))</f>
        <v/>
      </c>
      <c r="AO176" s="27" t="str">
        <f>IF(OR(A176="",H176="",H176&lt;=0),"",(E176*H176+SUMIFS(加仓管理!$H$2:$H$1001,加仓管理!$A$2:$A$1001,A176))/AP176)</f>
        <v/>
      </c>
      <c r="AP176" s="26" t="str">
        <f t="shared" si="32"/>
        <v/>
      </c>
      <c r="AQ176" s="27" t="str">
        <f>IF(A176="","",IF(M176&lt;&gt;"",0,IF(OR(H176="",N176=""),"",MAX((E176*H176+SUMIFS(加仓管理!$H$2:$H$1001,加仓管理!$A$2:$A$1001,A176))-MAX(N176,AN176)*AP176,0))))</f>
        <v/>
      </c>
      <c r="AR176" s="27" t="str">
        <f ca="1"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ht="17" spans="1:44">
      <c r="A177" s="23"/>
      <c r="B177" s="23"/>
      <c r="C177" s="7"/>
      <c r="D177" s="4"/>
      <c r="E177" s="7"/>
      <c r="F177" s="6" t="str">
        <f t="shared" si="22"/>
        <v/>
      </c>
      <c r="G177" s="6" t="str">
        <f ca="1"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23"/>
      <c r="I177" s="24"/>
      <c r="J177" s="7"/>
      <c r="K177" s="3"/>
      <c r="L177" s="6" t="str">
        <f t="shared" si="23"/>
        <v/>
      </c>
      <c r="M177" s="41"/>
      <c r="N177" s="7"/>
      <c r="O177" s="7"/>
      <c r="P177" s="3"/>
      <c r="Q177" s="23"/>
      <c r="R177" s="23"/>
      <c r="S177" s="23"/>
      <c r="T177" s="23"/>
      <c r="U177" s="5" t="str">
        <f t="shared" si="24"/>
        <v/>
      </c>
      <c r="V177" s="5" t="str">
        <f t="shared" si="25"/>
        <v/>
      </c>
      <c r="W177" s="25" t="str">
        <f t="shared" si="26"/>
        <v/>
      </c>
      <c r="X177" s="3" t="str">
        <f t="shared" si="27"/>
        <v/>
      </c>
      <c r="Y177" s="5" t="str">
        <f t="shared" si="28"/>
        <v/>
      </c>
      <c r="Z177" s="5" t="str">
        <f>IF(OR(AE177="",多次统计数据!$B$8=""),"",AE177-多次统计数据!$B$8)</f>
        <v/>
      </c>
      <c r="AA177" s="8" t="str">
        <f t="shared" si="29"/>
        <v/>
      </c>
      <c r="AB177" s="5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23"/>
      <c r="AE177" s="5" t="str">
        <f t="shared" si="30"/>
        <v/>
      </c>
      <c r="AG177" s="23"/>
      <c r="AH177" s="23"/>
      <c r="AI177" s="23"/>
      <c r="AJ177" s="6" t="str">
        <f t="shared" si="31"/>
        <v/>
      </c>
      <c r="AK177" s="26" t="str">
        <f>IF(A177="","",COUNTIFS(加仓管理!$A$2:$A$1001,A177,加仓管理!$G$2:$G$1001,"&gt;0"))</f>
        <v/>
      </c>
      <c r="AL177" s="26" t="str">
        <f>IF(A177="","",SUMIFS(加仓管理!$G$2:$G$1001,加仓管理!$A$2:$A$1001,A177))</f>
        <v/>
      </c>
      <c r="AM177" s="27" t="str">
        <f>IF(AK177=0,"",IFERROR(LOOKUP(2,1/((加仓管理!$A$2:$A$1001=A177)*(加仓管理!$G$2:$G$1001&gt;0)),加仓管理!$D$2:$D$1001),""))</f>
        <v/>
      </c>
      <c r="AN177" s="27" t="str">
        <f>IF(AK177=0,"",IFERROR(LOOKUP(2,1/((加仓管理!$A$2:$A$1001=A177)*(加仓管理!$G$2:$G$1001&gt;0)),加仓管理!$E$2:$E$1001),""))</f>
        <v/>
      </c>
      <c r="AO177" s="27" t="str">
        <f>IF(OR(A177="",H177="",H177&lt;=0),"",(E177*H177+SUMIFS(加仓管理!$H$2:$H$1001,加仓管理!$A$2:$A$1001,A177))/AP177)</f>
        <v/>
      </c>
      <c r="AP177" s="26" t="str">
        <f t="shared" si="32"/>
        <v/>
      </c>
      <c r="AQ177" s="27" t="str">
        <f>IF(A177="","",IF(M177&lt;&gt;"",0,IF(OR(H177="",N177=""),"",MAX((E177*H177+SUMIFS(加仓管理!$H$2:$H$1001,加仓管理!$A$2:$A$1001,A177))-MAX(N177,AN177)*AP177,0))))</f>
        <v/>
      </c>
      <c r="AR177" s="27" t="str">
        <f ca="1"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ht="17" spans="1:44">
      <c r="A178" s="23"/>
      <c r="B178" s="23"/>
      <c r="C178" s="7"/>
      <c r="D178" s="4"/>
      <c r="E178" s="7"/>
      <c r="F178" s="6" t="str">
        <f t="shared" si="22"/>
        <v/>
      </c>
      <c r="G178" s="6" t="str">
        <f ca="1"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23"/>
      <c r="I178" s="24"/>
      <c r="J178" s="7"/>
      <c r="K178" s="3"/>
      <c r="L178" s="6" t="str">
        <f t="shared" si="23"/>
        <v/>
      </c>
      <c r="M178" s="41"/>
      <c r="N178" s="7"/>
      <c r="O178" s="7"/>
      <c r="P178" s="3"/>
      <c r="Q178" s="23"/>
      <c r="R178" s="23"/>
      <c r="S178" s="23"/>
      <c r="T178" s="23"/>
      <c r="U178" s="5" t="str">
        <f t="shared" si="24"/>
        <v/>
      </c>
      <c r="V178" s="5" t="str">
        <f t="shared" si="25"/>
        <v/>
      </c>
      <c r="W178" s="25" t="str">
        <f t="shared" si="26"/>
        <v/>
      </c>
      <c r="X178" s="3" t="str">
        <f t="shared" si="27"/>
        <v/>
      </c>
      <c r="Y178" s="5" t="str">
        <f t="shared" si="28"/>
        <v/>
      </c>
      <c r="Z178" s="5" t="str">
        <f>IF(OR(AE178="",多次统计数据!$B$8=""),"",AE178-多次统计数据!$B$8)</f>
        <v/>
      </c>
      <c r="AA178" s="8" t="str">
        <f t="shared" si="29"/>
        <v/>
      </c>
      <c r="AB178" s="5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23"/>
      <c r="AE178" s="5" t="str">
        <f t="shared" si="30"/>
        <v/>
      </c>
      <c r="AG178" s="23"/>
      <c r="AH178" s="23"/>
      <c r="AI178" s="23"/>
      <c r="AJ178" s="6" t="str">
        <f t="shared" si="31"/>
        <v/>
      </c>
      <c r="AK178" s="26" t="str">
        <f>IF(A178="","",COUNTIFS(加仓管理!$A$2:$A$1001,A178,加仓管理!$G$2:$G$1001,"&gt;0"))</f>
        <v/>
      </c>
      <c r="AL178" s="26" t="str">
        <f>IF(A178="","",SUMIFS(加仓管理!$G$2:$G$1001,加仓管理!$A$2:$A$1001,A178))</f>
        <v/>
      </c>
      <c r="AM178" s="27" t="str">
        <f>IF(AK178=0,"",IFERROR(LOOKUP(2,1/((加仓管理!$A$2:$A$1001=A178)*(加仓管理!$G$2:$G$1001&gt;0)),加仓管理!$D$2:$D$1001),""))</f>
        <v/>
      </c>
      <c r="AN178" s="27" t="str">
        <f>IF(AK178=0,"",IFERROR(LOOKUP(2,1/((加仓管理!$A$2:$A$1001=A178)*(加仓管理!$G$2:$G$1001&gt;0)),加仓管理!$E$2:$E$1001),""))</f>
        <v/>
      </c>
      <c r="AO178" s="27" t="str">
        <f>IF(OR(A178="",H178="",H178&lt;=0),"",(E178*H178+SUMIFS(加仓管理!$H$2:$H$1001,加仓管理!$A$2:$A$1001,A178))/AP178)</f>
        <v/>
      </c>
      <c r="AP178" s="26" t="str">
        <f t="shared" si="32"/>
        <v/>
      </c>
      <c r="AQ178" s="27" t="str">
        <f>IF(A178="","",IF(M178&lt;&gt;"",0,IF(OR(H178="",N178=""),"",MAX((E178*H178+SUMIFS(加仓管理!$H$2:$H$1001,加仓管理!$A$2:$A$1001,A178))-MAX(N178,AN178)*AP178,0))))</f>
        <v/>
      </c>
      <c r="AR178" s="27" t="str">
        <f ca="1"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ht="17" spans="1:44">
      <c r="A179" s="23"/>
      <c r="B179" s="23"/>
      <c r="C179" s="7"/>
      <c r="D179" s="4"/>
      <c r="E179" s="7"/>
      <c r="F179" s="6" t="str">
        <f t="shared" si="22"/>
        <v/>
      </c>
      <c r="G179" s="6" t="str">
        <f ca="1"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23"/>
      <c r="I179" s="24"/>
      <c r="J179" s="7"/>
      <c r="K179" s="3"/>
      <c r="L179" s="6" t="str">
        <f t="shared" si="23"/>
        <v/>
      </c>
      <c r="M179" s="41"/>
      <c r="N179" s="7"/>
      <c r="O179" s="7"/>
      <c r="P179" s="3"/>
      <c r="Q179" s="23"/>
      <c r="R179" s="23"/>
      <c r="S179" s="23"/>
      <c r="T179" s="23"/>
      <c r="U179" s="5" t="str">
        <f t="shared" si="24"/>
        <v/>
      </c>
      <c r="V179" s="5" t="str">
        <f t="shared" si="25"/>
        <v/>
      </c>
      <c r="W179" s="25" t="str">
        <f t="shared" si="26"/>
        <v/>
      </c>
      <c r="X179" s="3" t="str">
        <f t="shared" si="27"/>
        <v/>
      </c>
      <c r="Y179" s="5" t="str">
        <f t="shared" si="28"/>
        <v/>
      </c>
      <c r="Z179" s="5" t="str">
        <f>IF(OR(AE179="",多次统计数据!$B$8=""),"",AE179-多次统计数据!$B$8)</f>
        <v/>
      </c>
      <c r="AA179" s="8" t="str">
        <f t="shared" si="29"/>
        <v/>
      </c>
      <c r="AB179" s="5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23"/>
      <c r="AE179" s="5" t="str">
        <f t="shared" si="30"/>
        <v/>
      </c>
      <c r="AG179" s="23"/>
      <c r="AH179" s="23"/>
      <c r="AI179" s="23"/>
      <c r="AJ179" s="6" t="str">
        <f t="shared" si="31"/>
        <v/>
      </c>
      <c r="AK179" s="26" t="str">
        <f>IF(A179="","",COUNTIFS(加仓管理!$A$2:$A$1001,A179,加仓管理!$G$2:$G$1001,"&gt;0"))</f>
        <v/>
      </c>
      <c r="AL179" s="26" t="str">
        <f>IF(A179="","",SUMIFS(加仓管理!$G$2:$G$1001,加仓管理!$A$2:$A$1001,A179))</f>
        <v/>
      </c>
      <c r="AM179" s="27" t="str">
        <f>IF(AK179=0,"",IFERROR(LOOKUP(2,1/((加仓管理!$A$2:$A$1001=A179)*(加仓管理!$G$2:$G$1001&gt;0)),加仓管理!$D$2:$D$1001),""))</f>
        <v/>
      </c>
      <c r="AN179" s="27" t="str">
        <f>IF(AK179=0,"",IFERROR(LOOKUP(2,1/((加仓管理!$A$2:$A$1001=A179)*(加仓管理!$G$2:$G$1001&gt;0)),加仓管理!$E$2:$E$1001),""))</f>
        <v/>
      </c>
      <c r="AO179" s="27" t="str">
        <f>IF(OR(A179="",H179="",H179&lt;=0),"",(E179*H179+SUMIFS(加仓管理!$H$2:$H$1001,加仓管理!$A$2:$A$1001,A179))/AP179)</f>
        <v/>
      </c>
      <c r="AP179" s="26" t="str">
        <f t="shared" si="32"/>
        <v/>
      </c>
      <c r="AQ179" s="27" t="str">
        <f>IF(A179="","",IF(M179&lt;&gt;"",0,IF(OR(H179="",N179=""),"",MAX((E179*H179+SUMIFS(加仓管理!$H$2:$H$1001,加仓管理!$A$2:$A$1001,A179))-MAX(N179,AN179)*AP179,0))))</f>
        <v/>
      </c>
      <c r="AR179" s="27" t="str">
        <f ca="1"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ht="17" spans="1:44">
      <c r="A180" s="23"/>
      <c r="B180" s="23"/>
      <c r="C180" s="7"/>
      <c r="D180" s="4"/>
      <c r="E180" s="7"/>
      <c r="F180" s="6" t="str">
        <f t="shared" si="22"/>
        <v/>
      </c>
      <c r="G180" s="6" t="str">
        <f ca="1"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23"/>
      <c r="I180" s="24"/>
      <c r="J180" s="7"/>
      <c r="K180" s="3"/>
      <c r="L180" s="6" t="str">
        <f t="shared" si="23"/>
        <v/>
      </c>
      <c r="M180" s="41"/>
      <c r="N180" s="7"/>
      <c r="O180" s="7"/>
      <c r="P180" s="3"/>
      <c r="Q180" s="23"/>
      <c r="R180" s="23"/>
      <c r="S180" s="23"/>
      <c r="T180" s="23"/>
      <c r="U180" s="5" t="str">
        <f t="shared" si="24"/>
        <v/>
      </c>
      <c r="V180" s="5" t="str">
        <f t="shared" si="25"/>
        <v/>
      </c>
      <c r="W180" s="25" t="str">
        <f t="shared" si="26"/>
        <v/>
      </c>
      <c r="X180" s="3" t="str">
        <f t="shared" si="27"/>
        <v/>
      </c>
      <c r="Y180" s="5" t="str">
        <f t="shared" si="28"/>
        <v/>
      </c>
      <c r="Z180" s="5" t="str">
        <f>IF(OR(AE180="",多次统计数据!$B$8=""),"",AE180-多次统计数据!$B$8)</f>
        <v/>
      </c>
      <c r="AA180" s="8" t="str">
        <f t="shared" si="29"/>
        <v/>
      </c>
      <c r="AB180" s="5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23"/>
      <c r="AE180" s="5" t="str">
        <f t="shared" si="30"/>
        <v/>
      </c>
      <c r="AG180" s="23"/>
      <c r="AH180" s="23"/>
      <c r="AI180" s="23"/>
      <c r="AJ180" s="6" t="str">
        <f t="shared" si="31"/>
        <v/>
      </c>
      <c r="AK180" s="26" t="str">
        <f>IF(A180="","",COUNTIFS(加仓管理!$A$2:$A$1001,A180,加仓管理!$G$2:$G$1001,"&gt;0"))</f>
        <v/>
      </c>
      <c r="AL180" s="26" t="str">
        <f>IF(A180="","",SUMIFS(加仓管理!$G$2:$G$1001,加仓管理!$A$2:$A$1001,A180))</f>
        <v/>
      </c>
      <c r="AM180" s="27" t="str">
        <f>IF(AK180=0,"",IFERROR(LOOKUP(2,1/((加仓管理!$A$2:$A$1001=A180)*(加仓管理!$G$2:$G$1001&gt;0)),加仓管理!$D$2:$D$1001),""))</f>
        <v/>
      </c>
      <c r="AN180" s="27" t="str">
        <f>IF(AK180=0,"",IFERROR(LOOKUP(2,1/((加仓管理!$A$2:$A$1001=A180)*(加仓管理!$G$2:$G$1001&gt;0)),加仓管理!$E$2:$E$1001),""))</f>
        <v/>
      </c>
      <c r="AO180" s="27" t="str">
        <f>IF(OR(A180="",H180="",H180&lt;=0),"",(E180*H180+SUMIFS(加仓管理!$H$2:$H$1001,加仓管理!$A$2:$A$1001,A180))/AP180)</f>
        <v/>
      </c>
      <c r="AP180" s="26" t="str">
        <f t="shared" si="32"/>
        <v/>
      </c>
      <c r="AQ180" s="27" t="str">
        <f>IF(A180="","",IF(M180&lt;&gt;"",0,IF(OR(H180="",N180=""),"",MAX((E180*H180+SUMIFS(加仓管理!$H$2:$H$1001,加仓管理!$A$2:$A$1001,A180))-MAX(N180,AN180)*AP180,0))))</f>
        <v/>
      </c>
      <c r="AR180" s="27" t="str">
        <f ca="1"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ht="17" spans="1:44">
      <c r="A181" s="23"/>
      <c r="B181" s="23"/>
      <c r="C181" s="7"/>
      <c r="D181" s="4"/>
      <c r="E181" s="7"/>
      <c r="F181" s="6" t="str">
        <f t="shared" si="22"/>
        <v/>
      </c>
      <c r="G181" s="6" t="str">
        <f ca="1"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23"/>
      <c r="I181" s="24"/>
      <c r="J181" s="7"/>
      <c r="K181" s="3"/>
      <c r="L181" s="6" t="str">
        <f t="shared" si="23"/>
        <v/>
      </c>
      <c r="M181" s="41"/>
      <c r="N181" s="7"/>
      <c r="O181" s="7"/>
      <c r="P181" s="3"/>
      <c r="Q181" s="23"/>
      <c r="R181" s="23"/>
      <c r="S181" s="23"/>
      <c r="T181" s="23"/>
      <c r="U181" s="5" t="str">
        <f t="shared" si="24"/>
        <v/>
      </c>
      <c r="V181" s="5" t="str">
        <f t="shared" si="25"/>
        <v/>
      </c>
      <c r="W181" s="25" t="str">
        <f t="shared" si="26"/>
        <v/>
      </c>
      <c r="X181" s="3" t="str">
        <f t="shared" si="27"/>
        <v/>
      </c>
      <c r="Y181" s="5" t="str">
        <f t="shared" si="28"/>
        <v/>
      </c>
      <c r="Z181" s="5" t="str">
        <f>IF(OR(AE181="",多次统计数据!$B$8=""),"",AE181-多次统计数据!$B$8)</f>
        <v/>
      </c>
      <c r="AA181" s="8" t="str">
        <f t="shared" si="29"/>
        <v/>
      </c>
      <c r="AB181" s="5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23"/>
      <c r="AE181" s="5" t="str">
        <f t="shared" si="30"/>
        <v/>
      </c>
      <c r="AG181" s="23"/>
      <c r="AH181" s="23"/>
      <c r="AI181" s="23"/>
      <c r="AJ181" s="6" t="str">
        <f t="shared" si="31"/>
        <v/>
      </c>
      <c r="AK181" s="26" t="str">
        <f>IF(A181="","",COUNTIFS(加仓管理!$A$2:$A$1001,A181,加仓管理!$G$2:$G$1001,"&gt;0"))</f>
        <v/>
      </c>
      <c r="AL181" s="26" t="str">
        <f>IF(A181="","",SUMIFS(加仓管理!$G$2:$G$1001,加仓管理!$A$2:$A$1001,A181))</f>
        <v/>
      </c>
      <c r="AM181" s="27" t="str">
        <f>IF(AK181=0,"",IFERROR(LOOKUP(2,1/((加仓管理!$A$2:$A$1001=A181)*(加仓管理!$G$2:$G$1001&gt;0)),加仓管理!$D$2:$D$1001),""))</f>
        <v/>
      </c>
      <c r="AN181" s="27" t="str">
        <f>IF(AK181=0,"",IFERROR(LOOKUP(2,1/((加仓管理!$A$2:$A$1001=A181)*(加仓管理!$G$2:$G$1001&gt;0)),加仓管理!$E$2:$E$1001),""))</f>
        <v/>
      </c>
      <c r="AO181" s="27" t="str">
        <f>IF(OR(A181="",H181="",H181&lt;=0),"",(E181*H181+SUMIFS(加仓管理!$H$2:$H$1001,加仓管理!$A$2:$A$1001,A181))/AP181)</f>
        <v/>
      </c>
      <c r="AP181" s="26" t="str">
        <f t="shared" si="32"/>
        <v/>
      </c>
      <c r="AQ181" s="27" t="str">
        <f>IF(A181="","",IF(M181&lt;&gt;"",0,IF(OR(H181="",N181=""),"",MAX((E181*H181+SUMIFS(加仓管理!$H$2:$H$1001,加仓管理!$A$2:$A$1001,A181))-MAX(N181,AN181)*AP181,0))))</f>
        <v/>
      </c>
      <c r="AR181" s="27" t="str">
        <f ca="1"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ht="17" spans="1:44">
      <c r="A182" s="23"/>
      <c r="B182" s="23"/>
      <c r="C182" s="7"/>
      <c r="D182" s="4"/>
      <c r="E182" s="7"/>
      <c r="F182" s="6" t="str">
        <f t="shared" si="22"/>
        <v/>
      </c>
      <c r="G182" s="6" t="str">
        <f ca="1"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23"/>
      <c r="I182" s="24"/>
      <c r="J182" s="7"/>
      <c r="K182" s="3"/>
      <c r="L182" s="6" t="str">
        <f t="shared" si="23"/>
        <v/>
      </c>
      <c r="M182" s="41"/>
      <c r="N182" s="7"/>
      <c r="O182" s="7"/>
      <c r="P182" s="3"/>
      <c r="Q182" s="23"/>
      <c r="R182" s="23"/>
      <c r="S182" s="23"/>
      <c r="T182" s="23"/>
      <c r="U182" s="5" t="str">
        <f t="shared" si="24"/>
        <v/>
      </c>
      <c r="V182" s="5" t="str">
        <f t="shared" si="25"/>
        <v/>
      </c>
      <c r="W182" s="25" t="str">
        <f t="shared" si="26"/>
        <v/>
      </c>
      <c r="X182" s="3" t="str">
        <f t="shared" si="27"/>
        <v/>
      </c>
      <c r="Y182" s="5" t="str">
        <f t="shared" si="28"/>
        <v/>
      </c>
      <c r="Z182" s="5" t="str">
        <f>IF(OR(AE182="",多次统计数据!$B$8=""),"",AE182-多次统计数据!$B$8)</f>
        <v/>
      </c>
      <c r="AA182" s="8" t="str">
        <f t="shared" si="29"/>
        <v/>
      </c>
      <c r="AB182" s="5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23"/>
      <c r="AE182" s="5" t="str">
        <f t="shared" si="30"/>
        <v/>
      </c>
      <c r="AG182" s="23"/>
      <c r="AH182" s="23"/>
      <c r="AI182" s="23"/>
      <c r="AJ182" s="6" t="str">
        <f t="shared" si="31"/>
        <v/>
      </c>
      <c r="AK182" s="26" t="str">
        <f>IF(A182="","",COUNTIFS(加仓管理!$A$2:$A$1001,A182,加仓管理!$G$2:$G$1001,"&gt;0"))</f>
        <v/>
      </c>
      <c r="AL182" s="26" t="str">
        <f>IF(A182="","",SUMIFS(加仓管理!$G$2:$G$1001,加仓管理!$A$2:$A$1001,A182))</f>
        <v/>
      </c>
      <c r="AM182" s="27" t="str">
        <f>IF(AK182=0,"",IFERROR(LOOKUP(2,1/((加仓管理!$A$2:$A$1001=A182)*(加仓管理!$G$2:$G$1001&gt;0)),加仓管理!$D$2:$D$1001),""))</f>
        <v/>
      </c>
      <c r="AN182" s="27" t="str">
        <f>IF(AK182=0,"",IFERROR(LOOKUP(2,1/((加仓管理!$A$2:$A$1001=A182)*(加仓管理!$G$2:$G$1001&gt;0)),加仓管理!$E$2:$E$1001),""))</f>
        <v/>
      </c>
      <c r="AO182" s="27" t="str">
        <f>IF(OR(A182="",H182="",H182&lt;=0),"",(E182*H182+SUMIFS(加仓管理!$H$2:$H$1001,加仓管理!$A$2:$A$1001,A182))/AP182)</f>
        <v/>
      </c>
      <c r="AP182" s="26" t="str">
        <f t="shared" si="32"/>
        <v/>
      </c>
      <c r="AQ182" s="27" t="str">
        <f>IF(A182="","",IF(M182&lt;&gt;"",0,IF(OR(H182="",N182=""),"",MAX((E182*H182+SUMIFS(加仓管理!$H$2:$H$1001,加仓管理!$A$2:$A$1001,A182))-MAX(N182,AN182)*AP182,0))))</f>
        <v/>
      </c>
      <c r="AR182" s="27" t="str">
        <f ca="1"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ht="17" spans="1:44">
      <c r="A183" s="23"/>
      <c r="B183" s="23"/>
      <c r="C183" s="7"/>
      <c r="D183" s="4"/>
      <c r="E183" s="7"/>
      <c r="F183" s="6" t="str">
        <f t="shared" si="22"/>
        <v/>
      </c>
      <c r="G183" s="6" t="str">
        <f ca="1"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23"/>
      <c r="I183" s="24"/>
      <c r="J183" s="7"/>
      <c r="K183" s="3"/>
      <c r="L183" s="6" t="str">
        <f t="shared" si="23"/>
        <v/>
      </c>
      <c r="M183" s="41"/>
      <c r="N183" s="7"/>
      <c r="O183" s="7"/>
      <c r="P183" s="3"/>
      <c r="Q183" s="23"/>
      <c r="R183" s="23"/>
      <c r="S183" s="23"/>
      <c r="T183" s="23"/>
      <c r="U183" s="5" t="str">
        <f t="shared" si="24"/>
        <v/>
      </c>
      <c r="V183" s="5" t="str">
        <f t="shared" si="25"/>
        <v/>
      </c>
      <c r="W183" s="25" t="str">
        <f t="shared" si="26"/>
        <v/>
      </c>
      <c r="X183" s="3" t="str">
        <f t="shared" si="27"/>
        <v/>
      </c>
      <c r="Y183" s="5" t="str">
        <f t="shared" si="28"/>
        <v/>
      </c>
      <c r="Z183" s="5" t="str">
        <f>IF(OR(AE183="",多次统计数据!$B$8=""),"",AE183-多次统计数据!$B$8)</f>
        <v/>
      </c>
      <c r="AA183" s="8" t="str">
        <f t="shared" si="29"/>
        <v/>
      </c>
      <c r="AB183" s="5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23"/>
      <c r="AE183" s="5" t="str">
        <f t="shared" si="30"/>
        <v/>
      </c>
      <c r="AG183" s="23"/>
      <c r="AH183" s="23"/>
      <c r="AI183" s="23"/>
      <c r="AJ183" s="6" t="str">
        <f t="shared" si="31"/>
        <v/>
      </c>
      <c r="AK183" s="26" t="str">
        <f>IF(A183="","",COUNTIFS(加仓管理!$A$2:$A$1001,A183,加仓管理!$G$2:$G$1001,"&gt;0"))</f>
        <v/>
      </c>
      <c r="AL183" s="26" t="str">
        <f>IF(A183="","",SUMIFS(加仓管理!$G$2:$G$1001,加仓管理!$A$2:$A$1001,A183))</f>
        <v/>
      </c>
      <c r="AM183" s="27" t="str">
        <f>IF(AK183=0,"",IFERROR(LOOKUP(2,1/((加仓管理!$A$2:$A$1001=A183)*(加仓管理!$G$2:$G$1001&gt;0)),加仓管理!$D$2:$D$1001),""))</f>
        <v/>
      </c>
      <c r="AN183" s="27" t="str">
        <f>IF(AK183=0,"",IFERROR(LOOKUP(2,1/((加仓管理!$A$2:$A$1001=A183)*(加仓管理!$G$2:$G$1001&gt;0)),加仓管理!$E$2:$E$1001),""))</f>
        <v/>
      </c>
      <c r="AO183" s="27" t="str">
        <f>IF(OR(A183="",H183="",H183&lt;=0),"",(E183*H183+SUMIFS(加仓管理!$H$2:$H$1001,加仓管理!$A$2:$A$1001,A183))/AP183)</f>
        <v/>
      </c>
      <c r="AP183" s="26" t="str">
        <f t="shared" si="32"/>
        <v/>
      </c>
      <c r="AQ183" s="27" t="str">
        <f>IF(A183="","",IF(M183&lt;&gt;"",0,IF(OR(H183="",N183=""),"",MAX((E183*H183+SUMIFS(加仓管理!$H$2:$H$1001,加仓管理!$A$2:$A$1001,A183))-MAX(N183,AN183)*AP183,0))))</f>
        <v/>
      </c>
      <c r="AR183" s="27" t="str">
        <f ca="1"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ht="17" spans="1:44">
      <c r="A184" s="23"/>
      <c r="B184" s="23"/>
      <c r="C184" s="7"/>
      <c r="D184" s="4"/>
      <c r="E184" s="7"/>
      <c r="F184" s="6" t="str">
        <f t="shared" si="22"/>
        <v/>
      </c>
      <c r="G184" s="6" t="str">
        <f ca="1"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23"/>
      <c r="I184" s="24"/>
      <c r="J184" s="7"/>
      <c r="K184" s="3"/>
      <c r="L184" s="6" t="str">
        <f t="shared" si="23"/>
        <v/>
      </c>
      <c r="M184" s="41"/>
      <c r="N184" s="7"/>
      <c r="O184" s="7"/>
      <c r="P184" s="3"/>
      <c r="Q184" s="23"/>
      <c r="R184" s="23"/>
      <c r="S184" s="23"/>
      <c r="T184" s="23"/>
      <c r="U184" s="5" t="str">
        <f t="shared" si="24"/>
        <v/>
      </c>
      <c r="V184" s="5" t="str">
        <f t="shared" si="25"/>
        <v/>
      </c>
      <c r="W184" s="25" t="str">
        <f t="shared" si="26"/>
        <v/>
      </c>
      <c r="X184" s="3" t="str">
        <f t="shared" si="27"/>
        <v/>
      </c>
      <c r="Y184" s="5" t="str">
        <f t="shared" si="28"/>
        <v/>
      </c>
      <c r="Z184" s="5" t="str">
        <f>IF(OR(AE184="",多次统计数据!$B$8=""),"",AE184-多次统计数据!$B$8)</f>
        <v/>
      </c>
      <c r="AA184" s="8" t="str">
        <f t="shared" si="29"/>
        <v/>
      </c>
      <c r="AB184" s="5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23"/>
      <c r="AE184" s="5" t="str">
        <f t="shared" si="30"/>
        <v/>
      </c>
      <c r="AG184" s="23"/>
      <c r="AH184" s="23"/>
      <c r="AI184" s="23"/>
      <c r="AJ184" s="6" t="str">
        <f t="shared" si="31"/>
        <v/>
      </c>
      <c r="AK184" s="26" t="str">
        <f>IF(A184="","",COUNTIFS(加仓管理!$A$2:$A$1001,A184,加仓管理!$G$2:$G$1001,"&gt;0"))</f>
        <v/>
      </c>
      <c r="AL184" s="26" t="str">
        <f>IF(A184="","",SUMIFS(加仓管理!$G$2:$G$1001,加仓管理!$A$2:$A$1001,A184))</f>
        <v/>
      </c>
      <c r="AM184" s="27" t="str">
        <f>IF(AK184=0,"",IFERROR(LOOKUP(2,1/((加仓管理!$A$2:$A$1001=A184)*(加仓管理!$G$2:$G$1001&gt;0)),加仓管理!$D$2:$D$1001),""))</f>
        <v/>
      </c>
      <c r="AN184" s="27" t="str">
        <f>IF(AK184=0,"",IFERROR(LOOKUP(2,1/((加仓管理!$A$2:$A$1001=A184)*(加仓管理!$G$2:$G$1001&gt;0)),加仓管理!$E$2:$E$1001),""))</f>
        <v/>
      </c>
      <c r="AO184" s="27" t="str">
        <f>IF(OR(A184="",H184="",H184&lt;=0),"",(E184*H184+SUMIFS(加仓管理!$H$2:$H$1001,加仓管理!$A$2:$A$1001,A184))/AP184)</f>
        <v/>
      </c>
      <c r="AP184" s="26" t="str">
        <f t="shared" si="32"/>
        <v/>
      </c>
      <c r="AQ184" s="27" t="str">
        <f>IF(A184="","",IF(M184&lt;&gt;"",0,IF(OR(H184="",N184=""),"",MAX((E184*H184+SUMIFS(加仓管理!$H$2:$H$1001,加仓管理!$A$2:$A$1001,A184))-MAX(N184,AN184)*AP184,0))))</f>
        <v/>
      </c>
      <c r="AR184" s="27" t="str">
        <f ca="1"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ht="17" spans="1:44">
      <c r="A185" s="23"/>
      <c r="B185" s="23"/>
      <c r="C185" s="7"/>
      <c r="D185" s="4"/>
      <c r="E185" s="7"/>
      <c r="F185" s="6" t="str">
        <f t="shared" si="22"/>
        <v/>
      </c>
      <c r="G185" s="6" t="str">
        <f ca="1"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23"/>
      <c r="I185" s="24"/>
      <c r="J185" s="7"/>
      <c r="K185" s="3"/>
      <c r="L185" s="6" t="str">
        <f t="shared" si="23"/>
        <v/>
      </c>
      <c r="M185" s="41"/>
      <c r="N185" s="7"/>
      <c r="O185" s="7"/>
      <c r="P185" s="3"/>
      <c r="Q185" s="23"/>
      <c r="R185" s="23"/>
      <c r="S185" s="23"/>
      <c r="T185" s="23"/>
      <c r="U185" s="5" t="str">
        <f t="shared" si="24"/>
        <v/>
      </c>
      <c r="V185" s="5" t="str">
        <f t="shared" si="25"/>
        <v/>
      </c>
      <c r="W185" s="25" t="str">
        <f t="shared" si="26"/>
        <v/>
      </c>
      <c r="X185" s="3" t="str">
        <f t="shared" si="27"/>
        <v/>
      </c>
      <c r="Y185" s="5" t="str">
        <f t="shared" si="28"/>
        <v/>
      </c>
      <c r="Z185" s="5" t="str">
        <f>IF(OR(AE185="",多次统计数据!$B$8=""),"",AE185-多次统计数据!$B$8)</f>
        <v/>
      </c>
      <c r="AA185" s="8" t="str">
        <f t="shared" si="29"/>
        <v/>
      </c>
      <c r="AB185" s="5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23"/>
      <c r="AE185" s="5" t="str">
        <f t="shared" si="30"/>
        <v/>
      </c>
      <c r="AG185" s="23"/>
      <c r="AH185" s="23"/>
      <c r="AI185" s="23"/>
      <c r="AJ185" s="6" t="str">
        <f t="shared" si="31"/>
        <v/>
      </c>
      <c r="AK185" s="26" t="str">
        <f>IF(A185="","",COUNTIFS(加仓管理!$A$2:$A$1001,A185,加仓管理!$G$2:$G$1001,"&gt;0"))</f>
        <v/>
      </c>
      <c r="AL185" s="26" t="str">
        <f>IF(A185="","",SUMIFS(加仓管理!$G$2:$G$1001,加仓管理!$A$2:$A$1001,A185))</f>
        <v/>
      </c>
      <c r="AM185" s="27" t="str">
        <f>IF(AK185=0,"",IFERROR(LOOKUP(2,1/((加仓管理!$A$2:$A$1001=A185)*(加仓管理!$G$2:$G$1001&gt;0)),加仓管理!$D$2:$D$1001),""))</f>
        <v/>
      </c>
      <c r="AN185" s="27" t="str">
        <f>IF(AK185=0,"",IFERROR(LOOKUP(2,1/((加仓管理!$A$2:$A$1001=A185)*(加仓管理!$G$2:$G$1001&gt;0)),加仓管理!$E$2:$E$1001),""))</f>
        <v/>
      </c>
      <c r="AO185" s="27" t="str">
        <f>IF(OR(A185="",H185="",H185&lt;=0),"",(E185*H185+SUMIFS(加仓管理!$H$2:$H$1001,加仓管理!$A$2:$A$1001,A185))/AP185)</f>
        <v/>
      </c>
      <c r="AP185" s="26" t="str">
        <f t="shared" si="32"/>
        <v/>
      </c>
      <c r="AQ185" s="27" t="str">
        <f>IF(A185="","",IF(M185&lt;&gt;"",0,IF(OR(H185="",N185=""),"",MAX((E185*H185+SUMIFS(加仓管理!$H$2:$H$1001,加仓管理!$A$2:$A$1001,A185))-MAX(N185,AN185)*AP185,0))))</f>
        <v/>
      </c>
      <c r="AR185" s="27" t="str">
        <f ca="1"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ht="17" spans="1:44">
      <c r="A186" s="23"/>
      <c r="B186" s="23"/>
      <c r="C186" s="7"/>
      <c r="D186" s="4"/>
      <c r="E186" s="7"/>
      <c r="F186" s="6" t="str">
        <f t="shared" si="22"/>
        <v/>
      </c>
      <c r="G186" s="6" t="str">
        <f ca="1"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23"/>
      <c r="I186" s="24"/>
      <c r="J186" s="7"/>
      <c r="K186" s="3"/>
      <c r="L186" s="6" t="str">
        <f t="shared" si="23"/>
        <v/>
      </c>
      <c r="M186" s="41"/>
      <c r="N186" s="7"/>
      <c r="O186" s="7"/>
      <c r="P186" s="3"/>
      <c r="Q186" s="23"/>
      <c r="R186" s="23"/>
      <c r="S186" s="23"/>
      <c r="T186" s="23"/>
      <c r="U186" s="5" t="str">
        <f t="shared" si="24"/>
        <v/>
      </c>
      <c r="V186" s="5" t="str">
        <f t="shared" si="25"/>
        <v/>
      </c>
      <c r="W186" s="25" t="str">
        <f t="shared" si="26"/>
        <v/>
      </c>
      <c r="X186" s="3" t="str">
        <f t="shared" si="27"/>
        <v/>
      </c>
      <c r="Y186" s="5" t="str">
        <f t="shared" si="28"/>
        <v/>
      </c>
      <c r="Z186" s="5" t="str">
        <f>IF(OR(AE186="",多次统计数据!$B$8=""),"",AE186-多次统计数据!$B$8)</f>
        <v/>
      </c>
      <c r="AA186" s="8" t="str">
        <f t="shared" si="29"/>
        <v/>
      </c>
      <c r="AB186" s="5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23"/>
      <c r="AE186" s="5" t="str">
        <f t="shared" si="30"/>
        <v/>
      </c>
      <c r="AG186" s="23"/>
      <c r="AH186" s="23"/>
      <c r="AI186" s="23"/>
      <c r="AJ186" s="6" t="str">
        <f t="shared" si="31"/>
        <v/>
      </c>
      <c r="AK186" s="26" t="str">
        <f>IF(A186="","",COUNTIFS(加仓管理!$A$2:$A$1001,A186,加仓管理!$G$2:$G$1001,"&gt;0"))</f>
        <v/>
      </c>
      <c r="AL186" s="26" t="str">
        <f>IF(A186="","",SUMIFS(加仓管理!$G$2:$G$1001,加仓管理!$A$2:$A$1001,A186))</f>
        <v/>
      </c>
      <c r="AM186" s="27" t="str">
        <f>IF(AK186=0,"",IFERROR(LOOKUP(2,1/((加仓管理!$A$2:$A$1001=A186)*(加仓管理!$G$2:$G$1001&gt;0)),加仓管理!$D$2:$D$1001),""))</f>
        <v/>
      </c>
      <c r="AN186" s="27" t="str">
        <f>IF(AK186=0,"",IFERROR(LOOKUP(2,1/((加仓管理!$A$2:$A$1001=A186)*(加仓管理!$G$2:$G$1001&gt;0)),加仓管理!$E$2:$E$1001),""))</f>
        <v/>
      </c>
      <c r="AO186" s="27" t="str">
        <f>IF(OR(A186="",H186="",H186&lt;=0),"",(E186*H186+SUMIFS(加仓管理!$H$2:$H$1001,加仓管理!$A$2:$A$1001,A186))/AP186)</f>
        <v/>
      </c>
      <c r="AP186" s="26" t="str">
        <f t="shared" si="32"/>
        <v/>
      </c>
      <c r="AQ186" s="27" t="str">
        <f>IF(A186="","",IF(M186&lt;&gt;"",0,IF(OR(H186="",N186=""),"",MAX((E186*H186+SUMIFS(加仓管理!$H$2:$H$1001,加仓管理!$A$2:$A$1001,A186))-MAX(N186,AN186)*AP186,0))))</f>
        <v/>
      </c>
      <c r="AR186" s="27" t="str">
        <f ca="1"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ht="17" spans="1:44">
      <c r="A187" s="23"/>
      <c r="B187" s="23"/>
      <c r="C187" s="7"/>
      <c r="D187" s="4"/>
      <c r="E187" s="7"/>
      <c r="F187" s="6" t="str">
        <f t="shared" si="22"/>
        <v/>
      </c>
      <c r="G187" s="6" t="str">
        <f ca="1"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23"/>
      <c r="I187" s="24"/>
      <c r="J187" s="7"/>
      <c r="K187" s="3"/>
      <c r="L187" s="6" t="str">
        <f t="shared" si="23"/>
        <v/>
      </c>
      <c r="M187" s="41"/>
      <c r="N187" s="7"/>
      <c r="O187" s="7"/>
      <c r="P187" s="3"/>
      <c r="Q187" s="23"/>
      <c r="R187" s="23"/>
      <c r="S187" s="23"/>
      <c r="T187" s="23"/>
      <c r="U187" s="5" t="str">
        <f t="shared" si="24"/>
        <v/>
      </c>
      <c r="V187" s="5" t="str">
        <f t="shared" si="25"/>
        <v/>
      </c>
      <c r="W187" s="25" t="str">
        <f t="shared" si="26"/>
        <v/>
      </c>
      <c r="X187" s="3" t="str">
        <f t="shared" si="27"/>
        <v/>
      </c>
      <c r="Y187" s="5" t="str">
        <f t="shared" si="28"/>
        <v/>
      </c>
      <c r="Z187" s="5" t="str">
        <f>IF(OR(AE187="",多次统计数据!$B$8=""),"",AE187-多次统计数据!$B$8)</f>
        <v/>
      </c>
      <c r="AA187" s="8" t="str">
        <f t="shared" si="29"/>
        <v/>
      </c>
      <c r="AB187" s="5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23"/>
      <c r="AE187" s="5" t="str">
        <f t="shared" si="30"/>
        <v/>
      </c>
      <c r="AG187" s="23"/>
      <c r="AH187" s="23"/>
      <c r="AI187" s="23"/>
      <c r="AJ187" s="6" t="str">
        <f t="shared" si="31"/>
        <v/>
      </c>
      <c r="AK187" s="26" t="str">
        <f>IF(A187="","",COUNTIFS(加仓管理!$A$2:$A$1001,A187,加仓管理!$G$2:$G$1001,"&gt;0"))</f>
        <v/>
      </c>
      <c r="AL187" s="26" t="str">
        <f>IF(A187="","",SUMIFS(加仓管理!$G$2:$G$1001,加仓管理!$A$2:$A$1001,A187))</f>
        <v/>
      </c>
      <c r="AM187" s="27" t="str">
        <f>IF(AK187=0,"",IFERROR(LOOKUP(2,1/((加仓管理!$A$2:$A$1001=A187)*(加仓管理!$G$2:$G$1001&gt;0)),加仓管理!$D$2:$D$1001),""))</f>
        <v/>
      </c>
      <c r="AN187" s="27" t="str">
        <f>IF(AK187=0,"",IFERROR(LOOKUP(2,1/((加仓管理!$A$2:$A$1001=A187)*(加仓管理!$G$2:$G$1001&gt;0)),加仓管理!$E$2:$E$1001),""))</f>
        <v/>
      </c>
      <c r="AO187" s="27" t="str">
        <f>IF(OR(A187="",H187="",H187&lt;=0),"",(E187*H187+SUMIFS(加仓管理!$H$2:$H$1001,加仓管理!$A$2:$A$1001,A187))/AP187)</f>
        <v/>
      </c>
      <c r="AP187" s="26" t="str">
        <f t="shared" si="32"/>
        <v/>
      </c>
      <c r="AQ187" s="27" t="str">
        <f>IF(A187="","",IF(M187&lt;&gt;"",0,IF(OR(H187="",N187=""),"",MAX((E187*H187+SUMIFS(加仓管理!$H$2:$H$1001,加仓管理!$A$2:$A$1001,A187))-MAX(N187,AN187)*AP187,0))))</f>
        <v/>
      </c>
      <c r="AR187" s="27" t="str">
        <f ca="1"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ht="17" spans="1:44">
      <c r="A188" s="23"/>
      <c r="B188" s="23"/>
      <c r="C188" s="7"/>
      <c r="D188" s="4"/>
      <c r="E188" s="7"/>
      <c r="F188" s="6" t="str">
        <f t="shared" si="22"/>
        <v/>
      </c>
      <c r="G188" s="6" t="str">
        <f ca="1"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23"/>
      <c r="I188" s="24"/>
      <c r="J188" s="7"/>
      <c r="K188" s="3"/>
      <c r="L188" s="6" t="str">
        <f t="shared" si="23"/>
        <v/>
      </c>
      <c r="M188" s="41"/>
      <c r="N188" s="7"/>
      <c r="O188" s="7"/>
      <c r="P188" s="3"/>
      <c r="Q188" s="23"/>
      <c r="R188" s="23"/>
      <c r="S188" s="23"/>
      <c r="T188" s="23"/>
      <c r="U188" s="5" t="str">
        <f t="shared" si="24"/>
        <v/>
      </c>
      <c r="V188" s="5" t="str">
        <f t="shared" si="25"/>
        <v/>
      </c>
      <c r="W188" s="25" t="str">
        <f t="shared" si="26"/>
        <v/>
      </c>
      <c r="X188" s="3" t="str">
        <f t="shared" si="27"/>
        <v/>
      </c>
      <c r="Y188" s="5" t="str">
        <f t="shared" si="28"/>
        <v/>
      </c>
      <c r="Z188" s="5" t="str">
        <f>IF(OR(AE188="",多次统计数据!$B$8=""),"",AE188-多次统计数据!$B$8)</f>
        <v/>
      </c>
      <c r="AA188" s="8" t="str">
        <f t="shared" si="29"/>
        <v/>
      </c>
      <c r="AB188" s="5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23"/>
      <c r="AE188" s="5" t="str">
        <f t="shared" si="30"/>
        <v/>
      </c>
      <c r="AG188" s="23"/>
      <c r="AH188" s="23"/>
      <c r="AI188" s="23"/>
      <c r="AJ188" s="6" t="str">
        <f t="shared" si="31"/>
        <v/>
      </c>
      <c r="AK188" s="26" t="str">
        <f>IF(A188="","",COUNTIFS(加仓管理!$A$2:$A$1001,A188,加仓管理!$G$2:$G$1001,"&gt;0"))</f>
        <v/>
      </c>
      <c r="AL188" s="26" t="str">
        <f>IF(A188="","",SUMIFS(加仓管理!$G$2:$G$1001,加仓管理!$A$2:$A$1001,A188))</f>
        <v/>
      </c>
      <c r="AM188" s="27" t="str">
        <f>IF(AK188=0,"",IFERROR(LOOKUP(2,1/((加仓管理!$A$2:$A$1001=A188)*(加仓管理!$G$2:$G$1001&gt;0)),加仓管理!$D$2:$D$1001),""))</f>
        <v/>
      </c>
      <c r="AN188" s="27" t="str">
        <f>IF(AK188=0,"",IFERROR(LOOKUP(2,1/((加仓管理!$A$2:$A$1001=A188)*(加仓管理!$G$2:$G$1001&gt;0)),加仓管理!$E$2:$E$1001),""))</f>
        <v/>
      </c>
      <c r="AO188" s="27" t="str">
        <f>IF(OR(A188="",H188="",H188&lt;=0),"",(E188*H188+SUMIFS(加仓管理!$H$2:$H$1001,加仓管理!$A$2:$A$1001,A188))/AP188)</f>
        <v/>
      </c>
      <c r="AP188" s="26" t="str">
        <f t="shared" si="32"/>
        <v/>
      </c>
      <c r="AQ188" s="27" t="str">
        <f>IF(A188="","",IF(M188&lt;&gt;"",0,IF(OR(H188="",N188=""),"",MAX((E188*H188+SUMIFS(加仓管理!$H$2:$H$1001,加仓管理!$A$2:$A$1001,A188))-MAX(N188,AN188)*AP188,0))))</f>
        <v/>
      </c>
      <c r="AR188" s="27" t="str">
        <f ca="1"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ht="17" spans="1:44">
      <c r="A189" s="23"/>
      <c r="B189" s="23"/>
      <c r="C189" s="7"/>
      <c r="D189" s="4"/>
      <c r="E189" s="7"/>
      <c r="F189" s="6" t="str">
        <f t="shared" si="22"/>
        <v/>
      </c>
      <c r="G189" s="6" t="str">
        <f ca="1"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23"/>
      <c r="I189" s="24"/>
      <c r="J189" s="7"/>
      <c r="K189" s="3"/>
      <c r="L189" s="6" t="str">
        <f t="shared" si="23"/>
        <v/>
      </c>
      <c r="M189" s="41"/>
      <c r="N189" s="7"/>
      <c r="O189" s="7"/>
      <c r="P189" s="3"/>
      <c r="Q189" s="23"/>
      <c r="R189" s="23"/>
      <c r="S189" s="23"/>
      <c r="T189" s="23"/>
      <c r="U189" s="5" t="str">
        <f t="shared" si="24"/>
        <v/>
      </c>
      <c r="V189" s="5" t="str">
        <f t="shared" si="25"/>
        <v/>
      </c>
      <c r="W189" s="25" t="str">
        <f t="shared" si="26"/>
        <v/>
      </c>
      <c r="X189" s="3" t="str">
        <f t="shared" si="27"/>
        <v/>
      </c>
      <c r="Y189" s="5" t="str">
        <f t="shared" si="28"/>
        <v/>
      </c>
      <c r="Z189" s="5" t="str">
        <f>IF(OR(AE189="",多次统计数据!$B$8=""),"",AE189-多次统计数据!$B$8)</f>
        <v/>
      </c>
      <c r="AA189" s="8" t="str">
        <f t="shared" si="29"/>
        <v/>
      </c>
      <c r="AB189" s="5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23"/>
      <c r="AE189" s="5" t="str">
        <f t="shared" si="30"/>
        <v/>
      </c>
      <c r="AG189" s="23"/>
      <c r="AH189" s="23"/>
      <c r="AI189" s="23"/>
      <c r="AJ189" s="6" t="str">
        <f t="shared" si="31"/>
        <v/>
      </c>
      <c r="AK189" s="26" t="str">
        <f>IF(A189="","",COUNTIFS(加仓管理!$A$2:$A$1001,A189,加仓管理!$G$2:$G$1001,"&gt;0"))</f>
        <v/>
      </c>
      <c r="AL189" s="26" t="str">
        <f>IF(A189="","",SUMIFS(加仓管理!$G$2:$G$1001,加仓管理!$A$2:$A$1001,A189))</f>
        <v/>
      </c>
      <c r="AM189" s="27" t="str">
        <f>IF(AK189=0,"",IFERROR(LOOKUP(2,1/((加仓管理!$A$2:$A$1001=A189)*(加仓管理!$G$2:$G$1001&gt;0)),加仓管理!$D$2:$D$1001),""))</f>
        <v/>
      </c>
      <c r="AN189" s="27" t="str">
        <f>IF(AK189=0,"",IFERROR(LOOKUP(2,1/((加仓管理!$A$2:$A$1001=A189)*(加仓管理!$G$2:$G$1001&gt;0)),加仓管理!$E$2:$E$1001),""))</f>
        <v/>
      </c>
      <c r="AO189" s="27" t="str">
        <f>IF(OR(A189="",H189="",H189&lt;=0),"",(E189*H189+SUMIFS(加仓管理!$H$2:$H$1001,加仓管理!$A$2:$A$1001,A189))/AP189)</f>
        <v/>
      </c>
      <c r="AP189" s="26" t="str">
        <f t="shared" si="32"/>
        <v/>
      </c>
      <c r="AQ189" s="27" t="str">
        <f>IF(A189="","",IF(M189&lt;&gt;"",0,IF(OR(H189="",N189=""),"",MAX((E189*H189+SUMIFS(加仓管理!$H$2:$H$1001,加仓管理!$A$2:$A$1001,A189))-MAX(N189,AN189)*AP189,0))))</f>
        <v/>
      </c>
      <c r="AR189" s="27" t="str">
        <f ca="1"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ht="17" spans="1:44">
      <c r="A190" s="23"/>
      <c r="B190" s="23"/>
      <c r="C190" s="7"/>
      <c r="D190" s="4"/>
      <c r="E190" s="7"/>
      <c r="F190" s="6" t="str">
        <f t="shared" si="22"/>
        <v/>
      </c>
      <c r="G190" s="6" t="str">
        <f ca="1"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23"/>
      <c r="I190" s="24"/>
      <c r="J190" s="7"/>
      <c r="K190" s="3"/>
      <c r="L190" s="6" t="str">
        <f t="shared" si="23"/>
        <v/>
      </c>
      <c r="M190" s="41"/>
      <c r="N190" s="7"/>
      <c r="O190" s="7"/>
      <c r="P190" s="3"/>
      <c r="Q190" s="23"/>
      <c r="R190" s="23"/>
      <c r="S190" s="23"/>
      <c r="T190" s="23"/>
      <c r="U190" s="5" t="str">
        <f t="shared" si="24"/>
        <v/>
      </c>
      <c r="V190" s="5" t="str">
        <f t="shared" si="25"/>
        <v/>
      </c>
      <c r="W190" s="25" t="str">
        <f t="shared" si="26"/>
        <v/>
      </c>
      <c r="X190" s="3" t="str">
        <f t="shared" si="27"/>
        <v/>
      </c>
      <c r="Y190" s="5" t="str">
        <f t="shared" si="28"/>
        <v/>
      </c>
      <c r="Z190" s="5" t="str">
        <f>IF(OR(AE190="",多次统计数据!$B$8=""),"",AE190-多次统计数据!$B$8)</f>
        <v/>
      </c>
      <c r="AA190" s="8" t="str">
        <f t="shared" si="29"/>
        <v/>
      </c>
      <c r="AB190" s="5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23"/>
      <c r="AE190" s="5" t="str">
        <f t="shared" si="30"/>
        <v/>
      </c>
      <c r="AG190" s="23"/>
      <c r="AH190" s="23"/>
      <c r="AI190" s="23"/>
      <c r="AJ190" s="6" t="str">
        <f t="shared" si="31"/>
        <v/>
      </c>
      <c r="AK190" s="26" t="str">
        <f>IF(A190="","",COUNTIFS(加仓管理!$A$2:$A$1001,A190,加仓管理!$G$2:$G$1001,"&gt;0"))</f>
        <v/>
      </c>
      <c r="AL190" s="26" t="str">
        <f>IF(A190="","",SUMIFS(加仓管理!$G$2:$G$1001,加仓管理!$A$2:$A$1001,A190))</f>
        <v/>
      </c>
      <c r="AM190" s="27" t="str">
        <f>IF(AK190=0,"",IFERROR(LOOKUP(2,1/((加仓管理!$A$2:$A$1001=A190)*(加仓管理!$G$2:$G$1001&gt;0)),加仓管理!$D$2:$D$1001),""))</f>
        <v/>
      </c>
      <c r="AN190" s="27" t="str">
        <f>IF(AK190=0,"",IFERROR(LOOKUP(2,1/((加仓管理!$A$2:$A$1001=A190)*(加仓管理!$G$2:$G$1001&gt;0)),加仓管理!$E$2:$E$1001),""))</f>
        <v/>
      </c>
      <c r="AO190" s="27" t="str">
        <f>IF(OR(A190="",H190="",H190&lt;=0),"",(E190*H190+SUMIFS(加仓管理!$H$2:$H$1001,加仓管理!$A$2:$A$1001,A190))/AP190)</f>
        <v/>
      </c>
      <c r="AP190" s="26" t="str">
        <f t="shared" si="32"/>
        <v/>
      </c>
      <c r="AQ190" s="27" t="str">
        <f>IF(A190="","",IF(M190&lt;&gt;"",0,IF(OR(H190="",N190=""),"",MAX((E190*H190+SUMIFS(加仓管理!$H$2:$H$1001,加仓管理!$A$2:$A$1001,A190))-MAX(N190,AN190)*AP190,0))))</f>
        <v/>
      </c>
      <c r="AR190" s="27" t="str">
        <f ca="1"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ht="17" spans="1:44">
      <c r="A191" s="23"/>
      <c r="B191" s="23"/>
      <c r="C191" s="7"/>
      <c r="D191" s="4"/>
      <c r="E191" s="7"/>
      <c r="F191" s="6" t="str">
        <f t="shared" si="22"/>
        <v/>
      </c>
      <c r="G191" s="6" t="str">
        <f ca="1"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23"/>
      <c r="I191" s="24"/>
      <c r="J191" s="7"/>
      <c r="K191" s="3"/>
      <c r="L191" s="6" t="str">
        <f t="shared" si="23"/>
        <v/>
      </c>
      <c r="M191" s="41"/>
      <c r="N191" s="7"/>
      <c r="O191" s="7"/>
      <c r="P191" s="3"/>
      <c r="Q191" s="23"/>
      <c r="R191" s="23"/>
      <c r="S191" s="23"/>
      <c r="T191" s="23"/>
      <c r="U191" s="5" t="str">
        <f t="shared" si="24"/>
        <v/>
      </c>
      <c r="V191" s="5" t="str">
        <f t="shared" si="25"/>
        <v/>
      </c>
      <c r="W191" s="25" t="str">
        <f t="shared" si="26"/>
        <v/>
      </c>
      <c r="X191" s="3" t="str">
        <f t="shared" si="27"/>
        <v/>
      </c>
      <c r="Y191" s="5" t="str">
        <f t="shared" si="28"/>
        <v/>
      </c>
      <c r="Z191" s="5" t="str">
        <f>IF(OR(AE191="",多次统计数据!$B$8=""),"",AE191-多次统计数据!$B$8)</f>
        <v/>
      </c>
      <c r="AA191" s="8" t="str">
        <f t="shared" si="29"/>
        <v/>
      </c>
      <c r="AB191" s="5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23"/>
      <c r="AE191" s="5" t="str">
        <f t="shared" si="30"/>
        <v/>
      </c>
      <c r="AG191" s="23"/>
      <c r="AH191" s="23"/>
      <c r="AI191" s="23"/>
      <c r="AJ191" s="6" t="str">
        <f t="shared" si="31"/>
        <v/>
      </c>
      <c r="AK191" s="26" t="str">
        <f>IF(A191="","",COUNTIFS(加仓管理!$A$2:$A$1001,A191,加仓管理!$G$2:$G$1001,"&gt;0"))</f>
        <v/>
      </c>
      <c r="AL191" s="26" t="str">
        <f>IF(A191="","",SUMIFS(加仓管理!$G$2:$G$1001,加仓管理!$A$2:$A$1001,A191))</f>
        <v/>
      </c>
      <c r="AM191" s="27" t="str">
        <f>IF(AK191=0,"",IFERROR(LOOKUP(2,1/((加仓管理!$A$2:$A$1001=A191)*(加仓管理!$G$2:$G$1001&gt;0)),加仓管理!$D$2:$D$1001),""))</f>
        <v/>
      </c>
      <c r="AN191" s="27" t="str">
        <f>IF(AK191=0,"",IFERROR(LOOKUP(2,1/((加仓管理!$A$2:$A$1001=A191)*(加仓管理!$G$2:$G$1001&gt;0)),加仓管理!$E$2:$E$1001),""))</f>
        <v/>
      </c>
      <c r="AO191" s="27" t="str">
        <f>IF(OR(A191="",H191="",H191&lt;=0),"",(E191*H191+SUMIFS(加仓管理!$H$2:$H$1001,加仓管理!$A$2:$A$1001,A191))/AP191)</f>
        <v/>
      </c>
      <c r="AP191" s="26" t="str">
        <f t="shared" si="32"/>
        <v/>
      </c>
      <c r="AQ191" s="27" t="str">
        <f>IF(A191="","",IF(M191&lt;&gt;"",0,IF(OR(H191="",N191=""),"",MAX((E191*H191+SUMIFS(加仓管理!$H$2:$H$1001,加仓管理!$A$2:$A$1001,A191))-MAX(N191,AN191)*AP191,0))))</f>
        <v/>
      </c>
      <c r="AR191" s="27" t="str">
        <f ca="1"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ht="17" spans="1:44">
      <c r="A192" s="23"/>
      <c r="B192" s="23"/>
      <c r="C192" s="7"/>
      <c r="D192" s="4"/>
      <c r="E192" s="7"/>
      <c r="F192" s="6" t="str">
        <f t="shared" si="22"/>
        <v/>
      </c>
      <c r="G192" s="6" t="str">
        <f ca="1"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23"/>
      <c r="I192" s="24"/>
      <c r="J192" s="7"/>
      <c r="K192" s="3"/>
      <c r="L192" s="6" t="str">
        <f t="shared" si="23"/>
        <v/>
      </c>
      <c r="M192" s="41"/>
      <c r="N192" s="7"/>
      <c r="O192" s="7"/>
      <c r="P192" s="3"/>
      <c r="Q192" s="23"/>
      <c r="R192" s="23"/>
      <c r="S192" s="23"/>
      <c r="T192" s="23"/>
      <c r="U192" s="5" t="str">
        <f t="shared" si="24"/>
        <v/>
      </c>
      <c r="V192" s="5" t="str">
        <f t="shared" si="25"/>
        <v/>
      </c>
      <c r="W192" s="25" t="str">
        <f t="shared" si="26"/>
        <v/>
      </c>
      <c r="X192" s="3" t="str">
        <f t="shared" si="27"/>
        <v/>
      </c>
      <c r="Y192" s="5" t="str">
        <f t="shared" si="28"/>
        <v/>
      </c>
      <c r="Z192" s="5" t="str">
        <f>IF(OR(AE192="",多次统计数据!$B$8=""),"",AE192-多次统计数据!$B$8)</f>
        <v/>
      </c>
      <c r="AA192" s="8" t="str">
        <f t="shared" si="29"/>
        <v/>
      </c>
      <c r="AB192" s="5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23"/>
      <c r="AE192" s="5" t="str">
        <f t="shared" si="30"/>
        <v/>
      </c>
      <c r="AG192" s="23"/>
      <c r="AH192" s="23"/>
      <c r="AI192" s="23"/>
      <c r="AJ192" s="6" t="str">
        <f t="shared" si="31"/>
        <v/>
      </c>
      <c r="AK192" s="26" t="str">
        <f>IF(A192="","",COUNTIFS(加仓管理!$A$2:$A$1001,A192,加仓管理!$G$2:$G$1001,"&gt;0"))</f>
        <v/>
      </c>
      <c r="AL192" s="26" t="str">
        <f>IF(A192="","",SUMIFS(加仓管理!$G$2:$G$1001,加仓管理!$A$2:$A$1001,A192))</f>
        <v/>
      </c>
      <c r="AM192" s="27" t="str">
        <f>IF(AK192=0,"",IFERROR(LOOKUP(2,1/((加仓管理!$A$2:$A$1001=A192)*(加仓管理!$G$2:$G$1001&gt;0)),加仓管理!$D$2:$D$1001),""))</f>
        <v/>
      </c>
      <c r="AN192" s="27" t="str">
        <f>IF(AK192=0,"",IFERROR(LOOKUP(2,1/((加仓管理!$A$2:$A$1001=A192)*(加仓管理!$G$2:$G$1001&gt;0)),加仓管理!$E$2:$E$1001),""))</f>
        <v/>
      </c>
      <c r="AO192" s="27" t="str">
        <f>IF(OR(A192="",H192="",H192&lt;=0),"",(E192*H192+SUMIFS(加仓管理!$H$2:$H$1001,加仓管理!$A$2:$A$1001,A192))/AP192)</f>
        <v/>
      </c>
      <c r="AP192" s="26" t="str">
        <f t="shared" si="32"/>
        <v/>
      </c>
      <c r="AQ192" s="27" t="str">
        <f>IF(A192="","",IF(M192&lt;&gt;"",0,IF(OR(H192="",N192=""),"",MAX((E192*H192+SUMIFS(加仓管理!$H$2:$H$1001,加仓管理!$A$2:$A$1001,A192))-MAX(N192,AN192)*AP192,0))))</f>
        <v/>
      </c>
      <c r="AR192" s="27" t="str">
        <f ca="1"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ht="17" spans="1:44">
      <c r="A193" s="23"/>
      <c r="B193" s="23"/>
      <c r="C193" s="7"/>
      <c r="D193" s="4"/>
      <c r="E193" s="7"/>
      <c r="F193" s="6" t="str">
        <f t="shared" si="22"/>
        <v/>
      </c>
      <c r="G193" s="6" t="str">
        <f ca="1"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23"/>
      <c r="I193" s="24"/>
      <c r="J193" s="7"/>
      <c r="K193" s="3"/>
      <c r="L193" s="6" t="str">
        <f t="shared" si="23"/>
        <v/>
      </c>
      <c r="M193" s="41"/>
      <c r="N193" s="7"/>
      <c r="O193" s="7"/>
      <c r="P193" s="3"/>
      <c r="Q193" s="23"/>
      <c r="R193" s="23"/>
      <c r="S193" s="23"/>
      <c r="T193" s="23"/>
      <c r="U193" s="5" t="str">
        <f t="shared" si="24"/>
        <v/>
      </c>
      <c r="V193" s="5" t="str">
        <f t="shared" si="25"/>
        <v/>
      </c>
      <c r="W193" s="25" t="str">
        <f t="shared" si="26"/>
        <v/>
      </c>
      <c r="X193" s="3" t="str">
        <f t="shared" si="27"/>
        <v/>
      </c>
      <c r="Y193" s="5" t="str">
        <f t="shared" si="28"/>
        <v/>
      </c>
      <c r="Z193" s="5" t="str">
        <f>IF(OR(AE193="",多次统计数据!$B$8=""),"",AE193-多次统计数据!$B$8)</f>
        <v/>
      </c>
      <c r="AA193" s="8" t="str">
        <f t="shared" si="29"/>
        <v/>
      </c>
      <c r="AB193" s="5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23"/>
      <c r="AE193" s="5" t="str">
        <f t="shared" si="30"/>
        <v/>
      </c>
      <c r="AG193" s="23"/>
      <c r="AH193" s="23"/>
      <c r="AI193" s="23"/>
      <c r="AJ193" s="6" t="str">
        <f t="shared" si="31"/>
        <v/>
      </c>
      <c r="AK193" s="26" t="str">
        <f>IF(A193="","",COUNTIFS(加仓管理!$A$2:$A$1001,A193,加仓管理!$G$2:$G$1001,"&gt;0"))</f>
        <v/>
      </c>
      <c r="AL193" s="26" t="str">
        <f>IF(A193="","",SUMIFS(加仓管理!$G$2:$G$1001,加仓管理!$A$2:$A$1001,A193))</f>
        <v/>
      </c>
      <c r="AM193" s="27" t="str">
        <f>IF(AK193=0,"",IFERROR(LOOKUP(2,1/((加仓管理!$A$2:$A$1001=A193)*(加仓管理!$G$2:$G$1001&gt;0)),加仓管理!$D$2:$D$1001),""))</f>
        <v/>
      </c>
      <c r="AN193" s="27" t="str">
        <f>IF(AK193=0,"",IFERROR(LOOKUP(2,1/((加仓管理!$A$2:$A$1001=A193)*(加仓管理!$G$2:$G$1001&gt;0)),加仓管理!$E$2:$E$1001),""))</f>
        <v/>
      </c>
      <c r="AO193" s="27" t="str">
        <f>IF(OR(A193="",H193="",H193&lt;=0),"",(E193*H193+SUMIFS(加仓管理!$H$2:$H$1001,加仓管理!$A$2:$A$1001,A193))/AP193)</f>
        <v/>
      </c>
      <c r="AP193" s="26" t="str">
        <f t="shared" si="32"/>
        <v/>
      </c>
      <c r="AQ193" s="27" t="str">
        <f>IF(A193="","",IF(M193&lt;&gt;"",0,IF(OR(H193="",N193=""),"",MAX((E193*H193+SUMIFS(加仓管理!$H$2:$H$1001,加仓管理!$A$2:$A$1001,A193))-MAX(N193,AN193)*AP193,0))))</f>
        <v/>
      </c>
      <c r="AR193" s="27" t="str">
        <f ca="1"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ht="17" spans="1:44">
      <c r="A194" s="23"/>
      <c r="B194" s="23"/>
      <c r="C194" s="7"/>
      <c r="D194" s="4"/>
      <c r="E194" s="7"/>
      <c r="F194" s="6" t="str">
        <f t="shared" ref="F194:F201" si="33">IF(OR(C194="",D194="",E194="",N194="",C194&lt;=0,D194&lt;=0,E194&lt;=N194),"",ROUNDDOWN((C194*D194)/(E194-N194)/100,0)*100)</f>
        <v/>
      </c>
      <c r="G194" s="6" t="str">
        <f ca="1"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23"/>
      <c r="I194" s="24"/>
      <c r="J194" s="7"/>
      <c r="K194" s="3"/>
      <c r="L194" s="6" t="str">
        <f t="shared" ref="L194:L201" si="34">IF(AP194="","",AP194)</f>
        <v/>
      </c>
      <c r="M194" s="41"/>
      <c r="N194" s="7"/>
      <c r="O194" s="7"/>
      <c r="P194" s="3"/>
      <c r="Q194" s="23"/>
      <c r="R194" s="23"/>
      <c r="S194" s="23"/>
      <c r="T194" s="23"/>
      <c r="U194" s="5" t="str">
        <f t="shared" ref="U194:U201" si="35">IF(OR(AO194="",J194="",AO194&lt;=0),"",(J194-AO194)/AO194)</f>
        <v/>
      </c>
      <c r="V194" s="5" t="str">
        <f t="shared" ref="V194:V201" si="36">IF(OR(AO194="",N194="",AO194&lt;=0),"",(AO194-N194)/AO194)</f>
        <v/>
      </c>
      <c r="W194" s="25" t="str">
        <f t="shared" ref="W194:W201" si="37">IF(OR(U194="",V194="",V194&lt;=0),"",U194/V194)</f>
        <v/>
      </c>
      <c r="X194" s="3" t="str">
        <f t="shared" ref="X194:X201" si="38">IF(OR(K194="",L194="",AO194="",AP194=""),"",(K194-AO194)*L194-IF(O194="",0,O194)-IF(P194="",0,P194))</f>
        <v/>
      </c>
      <c r="Y194" s="5" t="str">
        <f t="shared" ref="Y194:Y201" si="39">IF(OR(X194="",AO194="",L194=""),"",IF(AO194*L194+IF(O194="",0,O194)&lt;=0,"",X194/(AO194*L194+IF(O194="",0,O194))))</f>
        <v/>
      </c>
      <c r="Z194" s="5" t="str">
        <f>IF(OR(AE194="",多次统计数据!$B$8=""),"",AE194-多次统计数据!$B$8)</f>
        <v/>
      </c>
      <c r="AA194" s="8" t="str">
        <f t="shared" ref="AA194:AA201" si="40">IF(OR(I194="",M194="",M194&lt;I194),"",M194-I194)</f>
        <v/>
      </c>
      <c r="AB194" s="5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23"/>
      <c r="AE194" s="5" t="str">
        <f t="shared" ref="AE194:AE201" si="41">IF(OR(X194="",C194="",C194&lt;=0),"",X194/C194)</f>
        <v/>
      </c>
      <c r="AG194" s="23"/>
      <c r="AH194" s="23"/>
      <c r="AI194" s="23"/>
      <c r="AJ194" s="6" t="str">
        <f t="shared" ref="AJ194:AJ201" si="42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26" t="str">
        <f>IF(A194="","",COUNTIFS(加仓管理!$A$2:$A$1001,A194,加仓管理!$G$2:$G$1001,"&gt;0"))</f>
        <v/>
      </c>
      <c r="AL194" s="26" t="str">
        <f>IF(A194="","",SUMIFS(加仓管理!$G$2:$G$1001,加仓管理!$A$2:$A$1001,A194))</f>
        <v/>
      </c>
      <c r="AM194" s="27" t="str">
        <f>IF(AK194=0,"",IFERROR(LOOKUP(2,1/((加仓管理!$A$2:$A$1001=A194)*(加仓管理!$G$2:$G$1001&gt;0)),加仓管理!$D$2:$D$1001),""))</f>
        <v/>
      </c>
      <c r="AN194" s="27" t="str">
        <f>IF(AK194=0,"",IFERROR(LOOKUP(2,1/((加仓管理!$A$2:$A$1001=A194)*(加仓管理!$G$2:$G$1001&gt;0)),加仓管理!$E$2:$E$1001),""))</f>
        <v/>
      </c>
      <c r="AO194" s="27" t="str">
        <f>IF(OR(A194="",H194="",H194&lt;=0),"",(E194*H194+SUMIFS(加仓管理!$H$2:$H$1001,加仓管理!$A$2:$A$1001,A194))/AP194)</f>
        <v/>
      </c>
      <c r="AP194" s="26" t="str">
        <f t="shared" ref="AP194:AP201" si="43">IF(OR(A194="",H194="",H194&lt;=0),"",H194+AL194)</f>
        <v/>
      </c>
      <c r="AQ194" s="27" t="str">
        <f>IF(A194="","",IF(M194&lt;&gt;"",0,IF(OR(H194="",N194=""),"",MAX((E194*H194+SUMIFS(加仓管理!$H$2:$H$1001,加仓管理!$A$2:$A$1001,A194))-MAX(N194,AN194)*AP194,0))))</f>
        <v/>
      </c>
      <c r="AR194" s="27" t="str">
        <f ca="1"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ht="17" spans="1:44">
      <c r="A195" s="23"/>
      <c r="B195" s="23"/>
      <c r="C195" s="7"/>
      <c r="D195" s="4"/>
      <c r="E195" s="7"/>
      <c r="F195" s="6" t="str">
        <f t="shared" si="33"/>
        <v/>
      </c>
      <c r="G195" s="6" t="str">
        <f ca="1"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23"/>
      <c r="I195" s="24"/>
      <c r="J195" s="7"/>
      <c r="K195" s="3"/>
      <c r="L195" s="6" t="str">
        <f t="shared" si="34"/>
        <v/>
      </c>
      <c r="M195" s="41"/>
      <c r="N195" s="7"/>
      <c r="O195" s="7"/>
      <c r="P195" s="3"/>
      <c r="Q195" s="23"/>
      <c r="R195" s="23"/>
      <c r="S195" s="23"/>
      <c r="T195" s="23"/>
      <c r="U195" s="5" t="str">
        <f t="shared" si="35"/>
        <v/>
      </c>
      <c r="V195" s="5" t="str">
        <f t="shared" si="36"/>
        <v/>
      </c>
      <c r="W195" s="25" t="str">
        <f t="shared" si="37"/>
        <v/>
      </c>
      <c r="X195" s="3" t="str">
        <f t="shared" si="38"/>
        <v/>
      </c>
      <c r="Y195" s="5" t="str">
        <f t="shared" si="39"/>
        <v/>
      </c>
      <c r="Z195" s="5" t="str">
        <f>IF(OR(AE195="",多次统计数据!$B$8=""),"",AE195-多次统计数据!$B$8)</f>
        <v/>
      </c>
      <c r="AA195" s="8" t="str">
        <f t="shared" si="40"/>
        <v/>
      </c>
      <c r="AB195" s="5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23"/>
      <c r="AE195" s="5" t="str">
        <f t="shared" si="41"/>
        <v/>
      </c>
      <c r="AG195" s="23"/>
      <c r="AH195" s="23"/>
      <c r="AI195" s="23"/>
      <c r="AJ195" s="6" t="str">
        <f t="shared" si="42"/>
        <v/>
      </c>
      <c r="AK195" s="26" t="str">
        <f>IF(A195="","",COUNTIFS(加仓管理!$A$2:$A$1001,A195,加仓管理!$G$2:$G$1001,"&gt;0"))</f>
        <v/>
      </c>
      <c r="AL195" s="26" t="str">
        <f>IF(A195="","",SUMIFS(加仓管理!$G$2:$G$1001,加仓管理!$A$2:$A$1001,A195))</f>
        <v/>
      </c>
      <c r="AM195" s="27" t="str">
        <f>IF(AK195=0,"",IFERROR(LOOKUP(2,1/((加仓管理!$A$2:$A$1001=A195)*(加仓管理!$G$2:$G$1001&gt;0)),加仓管理!$D$2:$D$1001),""))</f>
        <v/>
      </c>
      <c r="AN195" s="27" t="str">
        <f>IF(AK195=0,"",IFERROR(LOOKUP(2,1/((加仓管理!$A$2:$A$1001=A195)*(加仓管理!$G$2:$G$1001&gt;0)),加仓管理!$E$2:$E$1001),""))</f>
        <v/>
      </c>
      <c r="AO195" s="27" t="str">
        <f>IF(OR(A195="",H195="",H195&lt;=0),"",(E195*H195+SUMIFS(加仓管理!$H$2:$H$1001,加仓管理!$A$2:$A$1001,A195))/AP195)</f>
        <v/>
      </c>
      <c r="AP195" s="26" t="str">
        <f t="shared" si="43"/>
        <v/>
      </c>
      <c r="AQ195" s="27" t="str">
        <f>IF(A195="","",IF(M195&lt;&gt;"",0,IF(OR(H195="",N195=""),"",MAX((E195*H195+SUMIFS(加仓管理!$H$2:$H$1001,加仓管理!$A$2:$A$1001,A195))-MAX(N195,AN195)*AP195,0))))</f>
        <v/>
      </c>
      <c r="AR195" s="27" t="str">
        <f ca="1"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ht="17" spans="1:44">
      <c r="A196" s="23"/>
      <c r="B196" s="23"/>
      <c r="C196" s="7"/>
      <c r="D196" s="4"/>
      <c r="E196" s="7"/>
      <c r="F196" s="6" t="str">
        <f t="shared" si="33"/>
        <v/>
      </c>
      <c r="G196" s="6" t="str">
        <f ca="1"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23"/>
      <c r="I196" s="24"/>
      <c r="J196" s="7"/>
      <c r="K196" s="3"/>
      <c r="L196" s="6" t="str">
        <f t="shared" si="34"/>
        <v/>
      </c>
      <c r="M196" s="41"/>
      <c r="N196" s="7"/>
      <c r="O196" s="7"/>
      <c r="P196" s="3"/>
      <c r="Q196" s="23"/>
      <c r="R196" s="23"/>
      <c r="S196" s="23"/>
      <c r="T196" s="23"/>
      <c r="U196" s="5" t="str">
        <f t="shared" si="35"/>
        <v/>
      </c>
      <c r="V196" s="5" t="str">
        <f t="shared" si="36"/>
        <v/>
      </c>
      <c r="W196" s="25" t="str">
        <f t="shared" si="37"/>
        <v/>
      </c>
      <c r="X196" s="3" t="str">
        <f t="shared" si="38"/>
        <v/>
      </c>
      <c r="Y196" s="5" t="str">
        <f t="shared" si="39"/>
        <v/>
      </c>
      <c r="Z196" s="5" t="str">
        <f>IF(OR(AE196="",多次统计数据!$B$8=""),"",AE196-多次统计数据!$B$8)</f>
        <v/>
      </c>
      <c r="AA196" s="8" t="str">
        <f t="shared" si="40"/>
        <v/>
      </c>
      <c r="AB196" s="5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23"/>
      <c r="AE196" s="5" t="str">
        <f t="shared" si="41"/>
        <v/>
      </c>
      <c r="AG196" s="23"/>
      <c r="AH196" s="23"/>
      <c r="AI196" s="23"/>
      <c r="AJ196" s="6" t="str">
        <f t="shared" si="42"/>
        <v/>
      </c>
      <c r="AK196" s="26" t="str">
        <f>IF(A196="","",COUNTIFS(加仓管理!$A$2:$A$1001,A196,加仓管理!$G$2:$G$1001,"&gt;0"))</f>
        <v/>
      </c>
      <c r="AL196" s="26" t="str">
        <f>IF(A196="","",SUMIFS(加仓管理!$G$2:$G$1001,加仓管理!$A$2:$A$1001,A196))</f>
        <v/>
      </c>
      <c r="AM196" s="27" t="str">
        <f>IF(AK196=0,"",IFERROR(LOOKUP(2,1/((加仓管理!$A$2:$A$1001=A196)*(加仓管理!$G$2:$G$1001&gt;0)),加仓管理!$D$2:$D$1001),""))</f>
        <v/>
      </c>
      <c r="AN196" s="27" t="str">
        <f>IF(AK196=0,"",IFERROR(LOOKUP(2,1/((加仓管理!$A$2:$A$1001=A196)*(加仓管理!$G$2:$G$1001&gt;0)),加仓管理!$E$2:$E$1001),""))</f>
        <v/>
      </c>
      <c r="AO196" s="27" t="str">
        <f>IF(OR(A196="",H196="",H196&lt;=0),"",(E196*H196+SUMIFS(加仓管理!$H$2:$H$1001,加仓管理!$A$2:$A$1001,A196))/AP196)</f>
        <v/>
      </c>
      <c r="AP196" s="26" t="str">
        <f t="shared" si="43"/>
        <v/>
      </c>
      <c r="AQ196" s="27" t="str">
        <f>IF(A196="","",IF(M196&lt;&gt;"",0,IF(OR(H196="",N196=""),"",MAX((E196*H196+SUMIFS(加仓管理!$H$2:$H$1001,加仓管理!$A$2:$A$1001,A196))-MAX(N196,AN196)*AP196,0))))</f>
        <v/>
      </c>
      <c r="AR196" s="27" t="str">
        <f ca="1"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ht="17" spans="1:44">
      <c r="A197" s="23"/>
      <c r="B197" s="23"/>
      <c r="C197" s="7"/>
      <c r="D197" s="4"/>
      <c r="E197" s="7"/>
      <c r="F197" s="6" t="str">
        <f t="shared" si="33"/>
        <v/>
      </c>
      <c r="G197" s="6" t="str">
        <f ca="1"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23"/>
      <c r="I197" s="24"/>
      <c r="J197" s="7"/>
      <c r="K197" s="3"/>
      <c r="L197" s="6" t="str">
        <f t="shared" si="34"/>
        <v/>
      </c>
      <c r="M197" s="41"/>
      <c r="N197" s="7"/>
      <c r="O197" s="7"/>
      <c r="P197" s="3"/>
      <c r="Q197" s="23"/>
      <c r="R197" s="23"/>
      <c r="S197" s="23"/>
      <c r="T197" s="23"/>
      <c r="U197" s="5" t="str">
        <f t="shared" si="35"/>
        <v/>
      </c>
      <c r="V197" s="5" t="str">
        <f t="shared" si="36"/>
        <v/>
      </c>
      <c r="W197" s="25" t="str">
        <f t="shared" si="37"/>
        <v/>
      </c>
      <c r="X197" s="3" t="str">
        <f t="shared" si="38"/>
        <v/>
      </c>
      <c r="Y197" s="5" t="str">
        <f t="shared" si="39"/>
        <v/>
      </c>
      <c r="Z197" s="5" t="str">
        <f>IF(OR(AE197="",多次统计数据!$B$8=""),"",AE197-多次统计数据!$B$8)</f>
        <v/>
      </c>
      <c r="AA197" s="8" t="str">
        <f t="shared" si="40"/>
        <v/>
      </c>
      <c r="AB197" s="5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23"/>
      <c r="AE197" s="5" t="str">
        <f t="shared" si="41"/>
        <v/>
      </c>
      <c r="AG197" s="23"/>
      <c r="AH197" s="23"/>
      <c r="AI197" s="23"/>
      <c r="AJ197" s="6" t="str">
        <f t="shared" si="42"/>
        <v/>
      </c>
      <c r="AK197" s="26" t="str">
        <f>IF(A197="","",COUNTIFS(加仓管理!$A$2:$A$1001,A197,加仓管理!$G$2:$G$1001,"&gt;0"))</f>
        <v/>
      </c>
      <c r="AL197" s="26" t="str">
        <f>IF(A197="","",SUMIFS(加仓管理!$G$2:$G$1001,加仓管理!$A$2:$A$1001,A197))</f>
        <v/>
      </c>
      <c r="AM197" s="27" t="str">
        <f>IF(AK197=0,"",IFERROR(LOOKUP(2,1/((加仓管理!$A$2:$A$1001=A197)*(加仓管理!$G$2:$G$1001&gt;0)),加仓管理!$D$2:$D$1001),""))</f>
        <v/>
      </c>
      <c r="AN197" s="27" t="str">
        <f>IF(AK197=0,"",IFERROR(LOOKUP(2,1/((加仓管理!$A$2:$A$1001=A197)*(加仓管理!$G$2:$G$1001&gt;0)),加仓管理!$E$2:$E$1001),""))</f>
        <v/>
      </c>
      <c r="AO197" s="27" t="str">
        <f>IF(OR(A197="",H197="",H197&lt;=0),"",(E197*H197+SUMIFS(加仓管理!$H$2:$H$1001,加仓管理!$A$2:$A$1001,A197))/AP197)</f>
        <v/>
      </c>
      <c r="AP197" s="26" t="str">
        <f t="shared" si="43"/>
        <v/>
      </c>
      <c r="AQ197" s="27" t="str">
        <f>IF(A197="","",IF(M197&lt;&gt;"",0,IF(OR(H197="",N197=""),"",MAX((E197*H197+SUMIFS(加仓管理!$H$2:$H$1001,加仓管理!$A$2:$A$1001,A197))-MAX(N197,AN197)*AP197,0))))</f>
        <v/>
      </c>
      <c r="AR197" s="27" t="str">
        <f ca="1"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ht="17" spans="1:44">
      <c r="A198" s="23"/>
      <c r="B198" s="23"/>
      <c r="C198" s="7"/>
      <c r="D198" s="4"/>
      <c r="E198" s="7"/>
      <c r="F198" s="6" t="str">
        <f t="shared" si="33"/>
        <v/>
      </c>
      <c r="G198" s="6" t="str">
        <f ca="1"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23"/>
      <c r="I198" s="24"/>
      <c r="J198" s="7"/>
      <c r="K198" s="3"/>
      <c r="L198" s="6" t="str">
        <f t="shared" si="34"/>
        <v/>
      </c>
      <c r="M198" s="41"/>
      <c r="N198" s="7"/>
      <c r="O198" s="7"/>
      <c r="P198" s="3"/>
      <c r="Q198" s="23"/>
      <c r="R198" s="23"/>
      <c r="S198" s="23"/>
      <c r="T198" s="23"/>
      <c r="U198" s="5" t="str">
        <f t="shared" si="35"/>
        <v/>
      </c>
      <c r="V198" s="5" t="str">
        <f t="shared" si="36"/>
        <v/>
      </c>
      <c r="W198" s="25" t="str">
        <f t="shared" si="37"/>
        <v/>
      </c>
      <c r="X198" s="3" t="str">
        <f t="shared" si="38"/>
        <v/>
      </c>
      <c r="Y198" s="5" t="str">
        <f t="shared" si="39"/>
        <v/>
      </c>
      <c r="Z198" s="5" t="str">
        <f>IF(OR(AE198="",多次统计数据!$B$8=""),"",AE198-多次统计数据!$B$8)</f>
        <v/>
      </c>
      <c r="AA198" s="8" t="str">
        <f t="shared" si="40"/>
        <v/>
      </c>
      <c r="AB198" s="5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23"/>
      <c r="AE198" s="5" t="str">
        <f t="shared" si="41"/>
        <v/>
      </c>
      <c r="AG198" s="23"/>
      <c r="AH198" s="23"/>
      <c r="AI198" s="23"/>
      <c r="AJ198" s="6" t="str">
        <f t="shared" si="42"/>
        <v/>
      </c>
      <c r="AK198" s="26" t="str">
        <f>IF(A198="","",COUNTIFS(加仓管理!$A$2:$A$1001,A198,加仓管理!$G$2:$G$1001,"&gt;0"))</f>
        <v/>
      </c>
      <c r="AL198" s="26" t="str">
        <f>IF(A198="","",SUMIFS(加仓管理!$G$2:$G$1001,加仓管理!$A$2:$A$1001,A198))</f>
        <v/>
      </c>
      <c r="AM198" s="27" t="str">
        <f>IF(AK198=0,"",IFERROR(LOOKUP(2,1/((加仓管理!$A$2:$A$1001=A198)*(加仓管理!$G$2:$G$1001&gt;0)),加仓管理!$D$2:$D$1001),""))</f>
        <v/>
      </c>
      <c r="AN198" s="27" t="str">
        <f>IF(AK198=0,"",IFERROR(LOOKUP(2,1/((加仓管理!$A$2:$A$1001=A198)*(加仓管理!$G$2:$G$1001&gt;0)),加仓管理!$E$2:$E$1001),""))</f>
        <v/>
      </c>
      <c r="AO198" s="27" t="str">
        <f>IF(OR(A198="",H198="",H198&lt;=0),"",(E198*H198+SUMIFS(加仓管理!$H$2:$H$1001,加仓管理!$A$2:$A$1001,A198))/AP198)</f>
        <v/>
      </c>
      <c r="AP198" s="26" t="str">
        <f t="shared" si="43"/>
        <v/>
      </c>
      <c r="AQ198" s="27" t="str">
        <f>IF(A198="","",IF(M198&lt;&gt;"",0,IF(OR(H198="",N198=""),"",MAX((E198*H198+SUMIFS(加仓管理!$H$2:$H$1001,加仓管理!$A$2:$A$1001,A198))-MAX(N198,AN198)*AP198,0))))</f>
        <v/>
      </c>
      <c r="AR198" s="27" t="str">
        <f ca="1"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ht="17" spans="1:44">
      <c r="A199" s="23"/>
      <c r="B199" s="23"/>
      <c r="C199" s="7"/>
      <c r="D199" s="4"/>
      <c r="E199" s="7"/>
      <c r="F199" s="6" t="str">
        <f t="shared" si="33"/>
        <v/>
      </c>
      <c r="G199" s="6" t="str">
        <f ca="1"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23"/>
      <c r="I199" s="24"/>
      <c r="J199" s="7"/>
      <c r="K199" s="3"/>
      <c r="L199" s="6" t="str">
        <f t="shared" si="34"/>
        <v/>
      </c>
      <c r="M199" s="41"/>
      <c r="N199" s="7"/>
      <c r="O199" s="7"/>
      <c r="P199" s="3"/>
      <c r="Q199" s="23"/>
      <c r="R199" s="23"/>
      <c r="S199" s="23"/>
      <c r="T199" s="23"/>
      <c r="U199" s="5" t="str">
        <f t="shared" si="35"/>
        <v/>
      </c>
      <c r="V199" s="5" t="str">
        <f t="shared" si="36"/>
        <v/>
      </c>
      <c r="W199" s="25" t="str">
        <f t="shared" si="37"/>
        <v/>
      </c>
      <c r="X199" s="3" t="str">
        <f t="shared" si="38"/>
        <v/>
      </c>
      <c r="Y199" s="5" t="str">
        <f t="shared" si="39"/>
        <v/>
      </c>
      <c r="Z199" s="5" t="str">
        <f>IF(OR(AE199="",多次统计数据!$B$8=""),"",AE199-多次统计数据!$B$8)</f>
        <v/>
      </c>
      <c r="AA199" s="8" t="str">
        <f t="shared" si="40"/>
        <v/>
      </c>
      <c r="AB199" s="5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23"/>
      <c r="AE199" s="5" t="str">
        <f t="shared" si="41"/>
        <v/>
      </c>
      <c r="AG199" s="23"/>
      <c r="AH199" s="23"/>
      <c r="AI199" s="23"/>
      <c r="AJ199" s="6" t="str">
        <f t="shared" si="42"/>
        <v/>
      </c>
      <c r="AK199" s="26" t="str">
        <f>IF(A199="","",COUNTIFS(加仓管理!$A$2:$A$1001,A199,加仓管理!$G$2:$G$1001,"&gt;0"))</f>
        <v/>
      </c>
      <c r="AL199" s="26" t="str">
        <f>IF(A199="","",SUMIFS(加仓管理!$G$2:$G$1001,加仓管理!$A$2:$A$1001,A199))</f>
        <v/>
      </c>
      <c r="AM199" s="27" t="str">
        <f>IF(AK199=0,"",IFERROR(LOOKUP(2,1/((加仓管理!$A$2:$A$1001=A199)*(加仓管理!$G$2:$G$1001&gt;0)),加仓管理!$D$2:$D$1001),""))</f>
        <v/>
      </c>
      <c r="AN199" s="27" t="str">
        <f>IF(AK199=0,"",IFERROR(LOOKUP(2,1/((加仓管理!$A$2:$A$1001=A199)*(加仓管理!$G$2:$G$1001&gt;0)),加仓管理!$E$2:$E$1001),""))</f>
        <v/>
      </c>
      <c r="AO199" s="27" t="str">
        <f>IF(OR(A199="",H199="",H199&lt;=0),"",(E199*H199+SUMIFS(加仓管理!$H$2:$H$1001,加仓管理!$A$2:$A$1001,A199))/AP199)</f>
        <v/>
      </c>
      <c r="AP199" s="26" t="str">
        <f t="shared" si="43"/>
        <v/>
      </c>
      <c r="AQ199" s="27" t="str">
        <f>IF(A199="","",IF(M199&lt;&gt;"",0,IF(OR(H199="",N199=""),"",MAX((E199*H199+SUMIFS(加仓管理!$H$2:$H$1001,加仓管理!$A$2:$A$1001,A199))-MAX(N199,AN199)*AP199,0))))</f>
        <v/>
      </c>
      <c r="AR199" s="27" t="str">
        <f ca="1"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ht="17" spans="1:44">
      <c r="A200" s="23"/>
      <c r="B200" s="23"/>
      <c r="C200" s="7"/>
      <c r="D200" s="4"/>
      <c r="E200" s="7"/>
      <c r="F200" s="6" t="str">
        <f t="shared" si="33"/>
        <v/>
      </c>
      <c r="G200" s="6" t="str">
        <f ca="1"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23"/>
      <c r="I200" s="24"/>
      <c r="J200" s="7"/>
      <c r="K200" s="3"/>
      <c r="L200" s="6" t="str">
        <f t="shared" si="34"/>
        <v/>
      </c>
      <c r="M200" s="41"/>
      <c r="N200" s="7"/>
      <c r="O200" s="7"/>
      <c r="P200" s="3"/>
      <c r="Q200" s="23"/>
      <c r="R200" s="23"/>
      <c r="S200" s="23"/>
      <c r="T200" s="23"/>
      <c r="U200" s="5" t="str">
        <f t="shared" si="35"/>
        <v/>
      </c>
      <c r="V200" s="5" t="str">
        <f t="shared" si="36"/>
        <v/>
      </c>
      <c r="W200" s="25" t="str">
        <f t="shared" si="37"/>
        <v/>
      </c>
      <c r="X200" s="3" t="str">
        <f t="shared" si="38"/>
        <v/>
      </c>
      <c r="Y200" s="5" t="str">
        <f t="shared" si="39"/>
        <v/>
      </c>
      <c r="Z200" s="5" t="str">
        <f>IF(OR(AE200="",多次统计数据!$B$8=""),"",AE200-多次统计数据!$B$8)</f>
        <v/>
      </c>
      <c r="AA200" s="8" t="str">
        <f t="shared" si="40"/>
        <v/>
      </c>
      <c r="AB200" s="5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23"/>
      <c r="AE200" s="5" t="str">
        <f t="shared" si="41"/>
        <v/>
      </c>
      <c r="AG200" s="23"/>
      <c r="AH200" s="23"/>
      <c r="AI200" s="23"/>
      <c r="AJ200" s="6" t="str">
        <f t="shared" si="42"/>
        <v/>
      </c>
      <c r="AK200" s="26" t="str">
        <f>IF(A200="","",COUNTIFS(加仓管理!$A$2:$A$1001,A200,加仓管理!$G$2:$G$1001,"&gt;0"))</f>
        <v/>
      </c>
      <c r="AL200" s="26" t="str">
        <f>IF(A200="","",SUMIFS(加仓管理!$G$2:$G$1001,加仓管理!$A$2:$A$1001,A200))</f>
        <v/>
      </c>
      <c r="AM200" s="27" t="str">
        <f>IF(AK200=0,"",IFERROR(LOOKUP(2,1/((加仓管理!$A$2:$A$1001=A200)*(加仓管理!$G$2:$G$1001&gt;0)),加仓管理!$D$2:$D$1001),""))</f>
        <v/>
      </c>
      <c r="AN200" s="27" t="str">
        <f>IF(AK200=0,"",IFERROR(LOOKUP(2,1/((加仓管理!$A$2:$A$1001=A200)*(加仓管理!$G$2:$G$1001&gt;0)),加仓管理!$E$2:$E$1001),""))</f>
        <v/>
      </c>
      <c r="AO200" s="27" t="str">
        <f>IF(OR(A200="",H200="",H200&lt;=0),"",(E200*H200+SUMIFS(加仓管理!$H$2:$H$1001,加仓管理!$A$2:$A$1001,A200))/AP200)</f>
        <v/>
      </c>
      <c r="AP200" s="26" t="str">
        <f t="shared" si="43"/>
        <v/>
      </c>
      <c r="AQ200" s="27" t="str">
        <f>IF(A200="","",IF(M200&lt;&gt;"",0,IF(OR(H200="",N200=""),"",MAX((E200*H200+SUMIFS(加仓管理!$H$2:$H$1001,加仓管理!$A$2:$A$1001,A200))-MAX(N200,AN200)*AP200,0))))</f>
        <v/>
      </c>
      <c r="AR200" s="27" t="str">
        <f ca="1"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ht="17" spans="1:44">
      <c r="A201" s="23"/>
      <c r="B201" s="23"/>
      <c r="C201" s="7"/>
      <c r="D201" s="4"/>
      <c r="E201" s="7"/>
      <c r="F201" s="6" t="str">
        <f t="shared" si="33"/>
        <v/>
      </c>
      <c r="G201" s="6" t="str">
        <f ca="1"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23"/>
      <c r="I201" s="24"/>
      <c r="J201" s="7"/>
      <c r="K201" s="3"/>
      <c r="L201" s="6" t="str">
        <f t="shared" si="34"/>
        <v/>
      </c>
      <c r="M201" s="41"/>
      <c r="N201" s="7"/>
      <c r="O201" s="7"/>
      <c r="P201" s="3"/>
      <c r="Q201" s="23"/>
      <c r="R201" s="23"/>
      <c r="S201" s="23"/>
      <c r="T201" s="23"/>
      <c r="U201" s="5" t="str">
        <f t="shared" si="35"/>
        <v/>
      </c>
      <c r="V201" s="5" t="str">
        <f t="shared" si="36"/>
        <v/>
      </c>
      <c r="W201" s="25" t="str">
        <f t="shared" si="37"/>
        <v/>
      </c>
      <c r="X201" s="3" t="str">
        <f t="shared" si="38"/>
        <v/>
      </c>
      <c r="Y201" s="5" t="str">
        <f t="shared" si="39"/>
        <v/>
      </c>
      <c r="Z201" s="5" t="str">
        <f>IF(OR(AE201="",多次统计数据!$B$8=""),"",AE201-多次统计数据!$B$8)</f>
        <v/>
      </c>
      <c r="AA201" s="8" t="str">
        <f t="shared" si="40"/>
        <v/>
      </c>
      <c r="AB201" s="5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23"/>
      <c r="AE201" s="5" t="str">
        <f t="shared" si="41"/>
        <v/>
      </c>
      <c r="AG201" s="23"/>
      <c r="AH201" s="23"/>
      <c r="AI201" s="23"/>
      <c r="AJ201" s="6" t="str">
        <f t="shared" si="42"/>
        <v/>
      </c>
      <c r="AK201" s="26" t="str">
        <f>IF(A201="","",COUNTIFS(加仓管理!$A$2:$A$1001,A201,加仓管理!$G$2:$G$1001,"&gt;0"))</f>
        <v/>
      </c>
      <c r="AL201" s="26" t="str">
        <f>IF(A201="","",SUMIFS(加仓管理!$G$2:$G$1001,加仓管理!$A$2:$A$1001,A201))</f>
        <v/>
      </c>
      <c r="AM201" s="27" t="str">
        <f>IF(AK201=0,"",IFERROR(LOOKUP(2,1/((加仓管理!$A$2:$A$1001=A201)*(加仓管理!$G$2:$G$1001&gt;0)),加仓管理!$D$2:$D$1001),""))</f>
        <v/>
      </c>
      <c r="AN201" s="27" t="str">
        <f>IF(AK201=0,"",IFERROR(LOOKUP(2,1/((加仓管理!$A$2:$A$1001=A201)*(加仓管理!$G$2:$G$1001&gt;0)),加仓管理!$E$2:$E$1001),""))</f>
        <v/>
      </c>
      <c r="AO201" s="27" t="str">
        <f>IF(OR(A201="",H201="",H201&lt;=0),"",(E201*H201+SUMIFS(加仓管理!$H$2:$H$1001,加仓管理!$A$2:$A$1001,A201))/AP201)</f>
        <v/>
      </c>
      <c r="AP201" s="26" t="str">
        <f t="shared" si="43"/>
        <v/>
      </c>
      <c r="AQ201" s="27" t="str">
        <f>IF(A201="","",IF(M201&lt;&gt;"",0,IF(OR(H201="",N201=""),"",MAX((E201*H201+SUMIFS(加仓管理!$H$2:$H$1001,加仓管理!$A$2:$A$1001,A201))-MAX(N201,AN201)*AP201,0))))</f>
        <v/>
      </c>
      <c r="AR201" s="27" t="str">
        <f ca="1"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conditionalFormatting sqref="G2:G201">
    <cfRule type="expression" dxfId="0" priority="11">
      <formula>$G2="禁止开仓"</formula>
    </cfRule>
    <cfRule type="expression" dxfId="1" priority="12">
      <formula>$G2="允许开仓"</formula>
    </cfRule>
    <cfRule type="expression" dxfId="0" priority="13">
      <formula>LEFT($G2,4)="禁止开仓"</formula>
    </cfRule>
    <cfRule type="expression" dxfId="2" priority="14">
      <formula>$G2="允许开仓（接近锁仓）"</formula>
    </cfRule>
    <cfRule type="expression" dxfId="1" priority="15">
      <formula>$G2="允许开仓"</formula>
    </cfRule>
  </conditionalFormatting>
  <conditionalFormatting sqref="W2:W201">
    <cfRule type="cellIs" dxfId="2" priority="4" operator="lessThan">
      <formula>2</formula>
    </cfRule>
  </conditionalFormatting>
  <conditionalFormatting sqref="X2:X201">
    <cfRule type="cellIs" dxfId="1" priority="2" operator="greaterThan">
      <formula>0</formula>
    </cfRule>
    <cfRule type="cellIs" dxfId="0" priority="3" operator="lessThan">
      <formula>0</formula>
    </cfRule>
  </conditionalFormatting>
  <conditionalFormatting sqref="Y2:Y201">
    <cfRule type="cellIs" dxfId="1" priority="7" operator="greaterThan">
      <formula>0</formula>
    </cfRule>
    <cfRule type="cellIs" dxfId="0" priority="8" operator="lessThan">
      <formula>0</formula>
    </cfRule>
  </conditionalFormatting>
  <conditionalFormatting sqref="AC2:AC201">
    <cfRule type="expression" dxfId="0" priority="5">
      <formula>$AC2="达到或超过上限"</formula>
    </cfRule>
    <cfRule type="expression" dxfId="1" priority="6">
      <formula>$AC2="低于上限"</formula>
    </cfRule>
  </conditionalFormatting>
  <conditionalFormatting sqref="AE2:AE201">
    <cfRule type="cellIs" dxfId="1" priority="9" operator="greaterThan">
      <formula>0</formula>
    </cfRule>
    <cfRule type="cellIs" dxfId="0" priority="10" operator="lessThan">
      <formula>0</formula>
    </cfRule>
  </conditionalFormatting>
  <conditionalFormatting sqref="AJ2:AJ201">
    <cfRule type="expression" dxfId="2" priority="16">
      <formula>$AJ2="周期与交易预期不匹配，请重新确认"</formula>
    </cfRule>
    <cfRule type="expression" dxfId="1" priority="17">
      <formula>$AJ2="匹配"</formula>
    </cfRule>
  </conditionalFormatting>
  <conditionalFormatting sqref="AR2:AR201">
    <cfRule type="expression" dxfId="0" priority="18">
      <formula>LEFT($AR2,2)="违规"</formula>
    </cfRule>
    <cfRule type="expression" dxfId="1" priority="19">
      <formula>$AR2="通过"</formula>
    </cfRule>
  </conditionalFormatting>
  <dataValidations count="10">
    <dataValidation type="decimal" operator="greaterThan" sqref="C2 C3 C4:C201 E2:E201 N2:N201 J2:K201">
      <formula1>0</formula1>
    </dataValidation>
    <dataValidation type="list" showErrorMessage="1" errorTitle="交易预期无效" error="请从短期博反弹、突破冲新高、趋势波段中选择" sqref="AG2 AG3 AG8 AG12 AG58 AG78 AG81 AG4:AG7 AG9:AG11 AG13:AG57 AG59:AG77 AG79:AG80 AG82:AG201">
      <formula1>"短期博反弹,突破冲新高,趋势波段"</formula1>
    </dataValidation>
    <dataValidation type="list" showErrorMessage="1" errorTitle="预期持有周期无效" error="请从预设的交易日范围中选择" sqref="AH2 AH3 AH8 AH9 AH10 AH16 AH24 AH46 AH58 AH59 AH60 AH61 AH78 AH81 AH87 AH91 AH97 AH98 AH4:AH7 AH11:AH15 AH17:AH23 AH25:AH45 AH47:AH57 AH62:AH77 AH79:AH80 AH82:AH86 AH88:AH90 AH92:AH96 AH99:AH201">
      <formula1>"1～3个交易日,4～10个交易日,11～20个交易日,21～60个交易日,60个交易日以上"</formula1>
    </dataValidation>
    <dataValidation type="decimal" operator="between" sqref="D2:D201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>
      <formula1>OR(H2="",AND(_LockStatus&lt;&gt;"已锁仓",_LockStatus&lt;&gt;"解锁信息不完整",AG2&lt;&gt;"",AH2&lt;&gt;"",AI2&lt;&gt;"",ISNUMBER(H2),H2&gt;0,H2=INT(H2),MOD(H2,100)=0,AQ2&lt;=C2*D2,SUM($AQ$2:$AQ$201)&lt;=_AccountRiskLimit))</formula1>
    </dataValidation>
    <dataValidation type="date" operator="between" sqref="I2:I201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>
      <formula1>OR(L2="",L2=AP2)</formula1>
    </dataValidation>
    <dataValidation type="custom" sqref="M2:M201">
      <formula1>OR(M2="",AND(ISNUMBER(M2),M2&gt;=I2))</formula1>
    </dataValidation>
    <dataValidation type="list" sqref="AD2:AD201">
      <formula1>"1-差,2-较差,3-一般,4-良好,5-优秀"</formula1>
    </dataValidation>
    <dataValidation type="decimal" operator="greaterThanOrEqual" sqref="O2:P201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R1001"/>
  <sheetViews>
    <sheetView showGridLines="0" workbookViewId="0">
      <pane ySplit="1" topLeftCell="A175" activePane="bottomLeft" state="frozen"/>
      <selection/>
      <selection pane="bottomLeft" activeCell="F203" sqref="F203"/>
    </sheetView>
  </sheetViews>
  <sheetFormatPr defaultColWidth="8.61538461538461" defaultRowHeight="16.8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ht="33.75" customHeight="1" spans="1:18">
      <c r="A1" s="12" t="s">
        <v>0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68</v>
      </c>
      <c r="L1" s="12" t="s">
        <v>69</v>
      </c>
      <c r="M1" s="12" t="s">
        <v>70</v>
      </c>
      <c r="N1" s="12" t="s">
        <v>71</v>
      </c>
      <c r="O1" s="12" t="s">
        <v>72</v>
      </c>
      <c r="P1" s="12" t="s">
        <v>73</v>
      </c>
      <c r="Q1" s="12" t="s">
        <v>74</v>
      </c>
      <c r="R1" s="12" t="s">
        <v>75</v>
      </c>
    </row>
    <row r="2" ht="17" spans="1:18">
      <c r="A2" s="13">
        <v>1</v>
      </c>
      <c r="B2" s="14">
        <v>1</v>
      </c>
      <c r="C2" s="15">
        <v>42657</v>
      </c>
      <c r="D2" s="16">
        <v>4.34</v>
      </c>
      <c r="E2" s="16">
        <v>4</v>
      </c>
      <c r="F2" s="16">
        <v>1</v>
      </c>
      <c r="G2" s="14">
        <v>2500</v>
      </c>
      <c r="H2" s="17">
        <f t="shared" ref="H2:H65" si="0">IF(OR(A2="",D2="",G2=""),"",D2*G2)</f>
        <v>10850</v>
      </c>
      <c r="I2" s="18">
        <f>IF(OR(A2="",B2=""),"",IFERROR(LOOKUP(2,1/(单次交易!$A$2:$A$201=A2),单次交易!$H$2:$H$201),0)+SUMIFS($G$2:$G$1001,$A$2:$A$1001,A2,$B$2:$B$1001,"&lt;"&amp;B2))</f>
        <v>6000</v>
      </c>
      <c r="J2" s="17">
        <f>IF(OR(A2="",B2=""),"",IFERROR(LOOKUP(2,1/(单次交易!$A$2:$A$201=A2),单次交易!$E$2:$E$201)*LOOKUP(2,1/(单次交易!$A$2:$A$201=A2),单次交易!$H$2:$H$201),0)+SUMIFS($H$2:$H$1001,$A$2:$A$1001,A2,$B$2:$B$1001,"&lt;"&amp;B2))</f>
        <v>24900</v>
      </c>
      <c r="K2" s="17">
        <f t="shared" ref="K2:K65" si="1">IF(OR(E2="",I2="",J2=""),"",MAX(E2*I2-J2,0))</f>
        <v>0</v>
      </c>
      <c r="L2" s="18">
        <f t="shared" ref="L2:L65" si="2">IF(OR(D2="",E2="",F2="",D2&lt;=E2),"",FLOOR((F2+K2)/(D2-E2),100))</f>
        <v>0</v>
      </c>
      <c r="M2" s="18">
        <f t="shared" ref="M2:M65" si="3">IF(OR(A2="",B2="",L2=""),"",IF(B2=1,L2,IFERROR(SUMIFS($G$2:$G$1001,$A$2:$A$1001,A2,$B$2:$B$1001,B2-1),0)))</f>
        <v>0</v>
      </c>
      <c r="N2" s="18">
        <f t="shared" ref="N2:N65" si="4">IF(OR(L2="",M2=""),"",MIN(L2,M2))</f>
        <v>0</v>
      </c>
      <c r="O2" s="18">
        <f t="shared" ref="O2:O65" si="5">IF(OR(I2="",G2=""),"",I2+G2)</f>
        <v>8500</v>
      </c>
      <c r="P2" s="17">
        <f t="shared" ref="P2:P65" si="6">IF(OR(O2="",O2=0),"",(J2+H2)/O2)</f>
        <v>4.20588235294118</v>
      </c>
      <c r="Q2" s="17">
        <f t="shared" ref="Q2:Q65" si="7">IF(OR(O2="",E2=""),"",MAX(J2+H2-E2*O2,0))</f>
        <v>1750</v>
      </c>
      <c r="R2" s="19" t="str">
        <f ca="1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>违规：实际股数超过风险或金字塔上限</v>
      </c>
    </row>
    <row r="3" ht="17" spans="1:18">
      <c r="A3" s="13">
        <v>1</v>
      </c>
      <c r="B3" s="14">
        <v>2</v>
      </c>
      <c r="C3" s="15">
        <v>42662</v>
      </c>
      <c r="D3" s="16">
        <v>4.57</v>
      </c>
      <c r="E3" s="16">
        <v>4</v>
      </c>
      <c r="F3" s="16">
        <v>1</v>
      </c>
      <c r="G3" s="14">
        <v>2000</v>
      </c>
      <c r="H3" s="17">
        <f t="shared" si="0"/>
        <v>9140</v>
      </c>
      <c r="I3" s="18">
        <f>IF(OR(A3="",B3=""),"",IFERROR(LOOKUP(2,1/(单次交易!$A$2:$A$201=A3),单次交易!$H$2:$H$201),0)+SUMIFS($G$2:$G$1001,$A$2:$A$1001,A3,$B$2:$B$1001,"&lt;"&amp;B3))</f>
        <v>8500</v>
      </c>
      <c r="J3" s="17">
        <f>IF(OR(A3="",B3=""),"",IFERROR(LOOKUP(2,1/(单次交易!$A$2:$A$201=A3),单次交易!$E$2:$E$201)*LOOKUP(2,1/(单次交易!$A$2:$A$201=A3),单次交易!$H$2:$H$201),0)+SUMIFS($H$2:$H$1001,$A$2:$A$1001,A3,$B$2:$B$1001,"&lt;"&amp;B3))</f>
        <v>35750</v>
      </c>
      <c r="K3" s="17">
        <f t="shared" si="1"/>
        <v>0</v>
      </c>
      <c r="L3" s="18">
        <f t="shared" si="2"/>
        <v>0</v>
      </c>
      <c r="M3" s="18">
        <f t="shared" si="3"/>
        <v>2500</v>
      </c>
      <c r="N3" s="18">
        <f t="shared" si="4"/>
        <v>0</v>
      </c>
      <c r="O3" s="18">
        <f t="shared" si="5"/>
        <v>10500</v>
      </c>
      <c r="P3" s="17">
        <f t="shared" si="6"/>
        <v>4.2752380952381</v>
      </c>
      <c r="Q3" s="17">
        <f t="shared" si="7"/>
        <v>2890</v>
      </c>
      <c r="R3" s="19" t="str">
        <f ca="1">IF(A3="","",IF(COUNTIF(_TradeIds,A3)=0,"违规：交易编号不存在",IF(OR(B3="",B3&lt;1,B3&gt;5,B3&lt;&gt;INT(B3)),"违规：加仓序号须为1到5的整数",IF(COUNTIFS($A$2:$A$1001,A3,$B$2:$B$1001,B3)&gt;1,"违规：同一交易的加仓序号重复",IF(OR(D3="",E3="",F3=""),"计划不完整：请填写加仓价、新止损价和风险预算",IF(OR(D3&lt;=0,E3&lt;=0,F3&lt;=0,D3&lt;=E3),"违规：加仓价必须高于新止损价，金额须大于0",IF(AND(B3&gt;1,COUNTIFS($A$2:$A$1001,A3,$B$2:$B$1001,B3-1,$G$2:$G$1001,"&gt;0")=0),"违规：须先完成上一次加仓",IF(AND(B3&gt;1,E3&lt;SUMIFS($E$2:$E$1001,$A$2:$A$1001,A3,$B$2:$B$1001,B3-1)),"违规：新止损价不得低于上一次",IF(AND(B3&gt;1,F3&gt;SUMIFS($F$2:$F$1001,$A$2:$A$1001,A3,$B$2:$B$1001,B3-1)),"违规：风险预算须逐次不增加",IF(OR(_LockStatus="已锁仓",_LockStatus="解锁信息不完整"),"违规：锁仓期间禁止加仓",IF(G3="","计划可执行：建议股数见N列",IF(OR(G3&lt;=0,G3&lt;&gt;INT(G3),MOD(G3,100)&lt;&gt;0),"违规：实际股数须为100股整数倍",IF(G3&gt;N3,"违规：实际股数超过风险或金字塔上限",IF(AND(B3&gt;1,G3&gt;SUMIFS($G$2:$G$1001,$A$2:$A$1001,A3,$B$2:$B$1001,B3-1)),"违规：加仓股数须逐次不增加",IF(Q3&gt;F3,"违规：止损风险超过本次预算","通过")))))))))))))))</f>
        <v>违规：实际股数超过风险或金字塔上限</v>
      </c>
    </row>
    <row r="4" ht="17" spans="1:18">
      <c r="A4" s="13">
        <v>4</v>
      </c>
      <c r="B4" s="14">
        <v>1</v>
      </c>
      <c r="C4" s="15">
        <v>42824</v>
      </c>
      <c r="D4" s="16">
        <v>2.92</v>
      </c>
      <c r="E4" s="16">
        <v>2.8</v>
      </c>
      <c r="F4" s="16">
        <v>1</v>
      </c>
      <c r="G4" s="14">
        <v>5000</v>
      </c>
      <c r="H4" s="17">
        <f t="shared" si="0"/>
        <v>14600</v>
      </c>
      <c r="I4" s="18">
        <f>IF(OR(A4="",B4=""),"",IFERROR(LOOKUP(2,1/(单次交易!$A$2:$A$201=A4),单次交易!$H$2:$H$201),0)+SUMIFS($G$2:$G$1001,$A$2:$A$1001,A4,$B$2:$B$1001,"&lt;"&amp;B4))</f>
        <v>10000</v>
      </c>
      <c r="J4" s="17">
        <f>IF(OR(A4="",B4=""),"",IFERROR(LOOKUP(2,1/(单次交易!$A$2:$A$201=A4),单次交易!$E$2:$E$201)*LOOKUP(2,1/(单次交易!$A$2:$A$201=A4),单次交易!$H$2:$H$201),0)+SUMIFS($H$2:$H$1001,$A$2:$A$1001,A4,$B$2:$B$1001,"&lt;"&amp;B4))</f>
        <v>31500</v>
      </c>
      <c r="K4" s="17">
        <f t="shared" si="1"/>
        <v>0</v>
      </c>
      <c r="L4" s="18">
        <f t="shared" si="2"/>
        <v>0</v>
      </c>
      <c r="M4" s="18">
        <f t="shared" si="3"/>
        <v>0</v>
      </c>
      <c r="N4" s="18">
        <f t="shared" si="4"/>
        <v>0</v>
      </c>
      <c r="O4" s="18">
        <f t="shared" si="5"/>
        <v>15000</v>
      </c>
      <c r="P4" s="17">
        <f t="shared" si="6"/>
        <v>3.07333333333333</v>
      </c>
      <c r="Q4" s="17">
        <f t="shared" si="7"/>
        <v>4100</v>
      </c>
      <c r="R4" s="19" t="str">
        <f ca="1">IF(A4="","",IF(COUNTIF(_TradeIds,A4)=0,"违规：交易编号不存在",IF(OR(B4="",B4&lt;1,B4&gt;5,B4&lt;&gt;INT(B4)),"违规：加仓序号须为1到5的整数",IF(COUNTIFS($A$2:$A$1001,A4,$B$2:$B$1001,B4)&gt;1,"违规：同一交易的加仓序号重复",IF(OR(D4="",E4="",F4=""),"计划不完整：请填写加仓价、新止损价和风险预算",IF(OR(D4&lt;=0,E4&lt;=0,F4&lt;=0,D4&lt;=E4),"违规：加仓价必须高于新止损价，金额须大于0",IF(AND(B4&gt;1,COUNTIFS($A$2:$A$1001,A4,$B$2:$B$1001,B4-1,$G$2:$G$1001,"&gt;0")=0),"违规：须先完成上一次加仓",IF(AND(B4&gt;1,E4&lt;SUMIFS($E$2:$E$1001,$A$2:$A$1001,A4,$B$2:$B$1001,B4-1)),"违规：新止损价不得低于上一次",IF(AND(B4&gt;1,F4&gt;SUMIFS($F$2:$F$1001,$A$2:$A$1001,A4,$B$2:$B$1001,B4-1)),"违规：风险预算须逐次不增加",IF(OR(_LockStatus="已锁仓",_LockStatus="解锁信息不完整"),"违规：锁仓期间禁止加仓",IF(G4="","计划可执行：建议股数见N列",IF(OR(G4&lt;=0,G4&lt;&gt;INT(G4),MOD(G4,100)&lt;&gt;0),"违规：实际股数须为100股整数倍",IF(G4&gt;N4,"违规：实际股数超过风险或金字塔上限",IF(AND(B4&gt;1,G4&gt;SUMIFS($G$2:$G$1001,$A$2:$A$1001,A4,$B$2:$B$1001,B4-1)),"违规：加仓股数须逐次不增加",IF(Q4&gt;F4,"违规：止损风险超过本次预算","通过")))))))))))))))</f>
        <v>违规：实际股数超过风险或金字塔上限</v>
      </c>
    </row>
    <row r="5" ht="17" spans="1:18">
      <c r="A5" s="13">
        <v>4</v>
      </c>
      <c r="B5" s="14">
        <v>2</v>
      </c>
      <c r="C5" s="15">
        <v>42843</v>
      </c>
      <c r="D5" s="16">
        <v>2.55</v>
      </c>
      <c r="E5" s="16">
        <v>2.3</v>
      </c>
      <c r="F5" s="16">
        <v>1</v>
      </c>
      <c r="G5" s="14">
        <v>6000</v>
      </c>
      <c r="H5" s="17">
        <f t="shared" si="0"/>
        <v>15300</v>
      </c>
      <c r="I5" s="18">
        <f>IF(OR(A5="",B5=""),"",IFERROR(LOOKUP(2,1/(单次交易!$A$2:$A$201=A5),单次交易!$H$2:$H$201),0)+SUMIFS($G$2:$G$1001,$A$2:$A$1001,A5,$B$2:$B$1001,"&lt;"&amp;B5))</f>
        <v>15000</v>
      </c>
      <c r="J5" s="17">
        <f>IF(OR(A5="",B5=""),"",IFERROR(LOOKUP(2,1/(单次交易!$A$2:$A$201=A5),单次交易!$E$2:$E$201)*LOOKUP(2,1/(单次交易!$A$2:$A$201=A5),单次交易!$H$2:$H$201),0)+SUMIFS($H$2:$H$1001,$A$2:$A$1001,A5,$B$2:$B$1001,"&lt;"&amp;B5))</f>
        <v>46100</v>
      </c>
      <c r="K5" s="17">
        <f t="shared" si="1"/>
        <v>0</v>
      </c>
      <c r="L5" s="18">
        <f t="shared" si="2"/>
        <v>0</v>
      </c>
      <c r="M5" s="18">
        <f t="shared" si="3"/>
        <v>5000</v>
      </c>
      <c r="N5" s="18">
        <f t="shared" si="4"/>
        <v>0</v>
      </c>
      <c r="O5" s="18">
        <f t="shared" si="5"/>
        <v>21000</v>
      </c>
      <c r="P5" s="17">
        <f t="shared" si="6"/>
        <v>2.92380952380952</v>
      </c>
      <c r="Q5" s="17">
        <f t="shared" si="7"/>
        <v>13100</v>
      </c>
      <c r="R5" s="19" t="str">
        <f ca="1">IF(A5="","",IF(COUNTIF(_TradeIds,A5)=0,"违规：交易编号不存在",IF(OR(B5="",B5&lt;1,B5&gt;5,B5&lt;&gt;INT(B5)),"违规：加仓序号须为1到5的整数",IF(COUNTIFS($A$2:$A$1001,A5,$B$2:$B$1001,B5)&gt;1,"违规：同一交易的加仓序号重复",IF(OR(D5="",E5="",F5=""),"计划不完整：请填写加仓价、新止损价和风险预算",IF(OR(D5&lt;=0,E5&lt;=0,F5&lt;=0,D5&lt;=E5),"违规：加仓价必须高于新止损价，金额须大于0",IF(AND(B5&gt;1,COUNTIFS($A$2:$A$1001,A5,$B$2:$B$1001,B5-1,$G$2:$G$1001,"&gt;0")=0),"违规：须先完成上一次加仓",IF(AND(B5&gt;1,E5&lt;SUMIFS($E$2:$E$1001,$A$2:$A$1001,A5,$B$2:$B$1001,B5-1)),"违规：新止损价不得低于上一次",IF(AND(B5&gt;1,F5&gt;SUMIFS($F$2:$F$1001,$A$2:$A$1001,A5,$B$2:$B$1001,B5-1)),"违规：风险预算须逐次不增加",IF(OR(_LockStatus="已锁仓",_LockStatus="解锁信息不完整"),"违规：锁仓期间禁止加仓",IF(G5="","计划可执行：建议股数见N列",IF(OR(G5&lt;=0,G5&lt;&gt;INT(G5),MOD(G5,100)&lt;&gt;0),"违规：实际股数须为100股整数倍",IF(G5&gt;N5,"违规：实际股数超过风险或金字塔上限",IF(AND(B5&gt;1,G5&gt;SUMIFS($G$2:$G$1001,$A$2:$A$1001,A5,$B$2:$B$1001,B5-1)),"违规：加仓股数须逐次不增加",IF(Q5&gt;F5,"违规：止损风险超过本次预算","通过")))))))))))))))</f>
        <v>违规：新止损价不得低于上一次</v>
      </c>
    </row>
    <row r="6" ht="17" spans="1:18">
      <c r="A6" s="13">
        <v>4</v>
      </c>
      <c r="B6" s="14">
        <v>3</v>
      </c>
      <c r="C6" s="15">
        <v>42852</v>
      </c>
      <c r="D6" s="16">
        <v>2.42</v>
      </c>
      <c r="E6" s="16">
        <v>2.3</v>
      </c>
      <c r="F6" s="16">
        <v>1</v>
      </c>
      <c r="G6" s="14">
        <v>6000</v>
      </c>
      <c r="H6" s="17">
        <f t="shared" si="0"/>
        <v>14520</v>
      </c>
      <c r="I6" s="18">
        <f>IF(OR(A6="",B6=""),"",IFERROR(LOOKUP(2,1/(单次交易!$A$2:$A$201=A6),单次交易!$H$2:$H$201),0)+SUMIFS($G$2:$G$1001,$A$2:$A$1001,A6,$B$2:$B$1001,"&lt;"&amp;B6))</f>
        <v>21000</v>
      </c>
      <c r="J6" s="17">
        <f>IF(OR(A6="",B6=""),"",IFERROR(LOOKUP(2,1/(单次交易!$A$2:$A$201=A6),单次交易!$E$2:$E$201)*LOOKUP(2,1/(单次交易!$A$2:$A$201=A6),单次交易!$H$2:$H$201),0)+SUMIFS($H$2:$H$1001,$A$2:$A$1001,A6,$B$2:$B$1001,"&lt;"&amp;B6))</f>
        <v>61400</v>
      </c>
      <c r="K6" s="17">
        <f t="shared" si="1"/>
        <v>0</v>
      </c>
      <c r="L6" s="18">
        <f t="shared" si="2"/>
        <v>0</v>
      </c>
      <c r="M6" s="18">
        <f t="shared" si="3"/>
        <v>6000</v>
      </c>
      <c r="N6" s="18">
        <f t="shared" si="4"/>
        <v>0</v>
      </c>
      <c r="O6" s="18">
        <f t="shared" si="5"/>
        <v>27000</v>
      </c>
      <c r="P6" s="17">
        <f t="shared" si="6"/>
        <v>2.81185185185185</v>
      </c>
      <c r="Q6" s="17">
        <f t="shared" si="7"/>
        <v>13820</v>
      </c>
      <c r="R6" s="19" t="str">
        <f ca="1">IF(A6="","",IF(COUNTIF(_TradeIds,A6)=0,"违规：交易编号不存在",IF(OR(B6="",B6&lt;1,B6&gt;5,B6&lt;&gt;INT(B6)),"违规：加仓序号须为1到5的整数",IF(COUNTIFS($A$2:$A$1001,A6,$B$2:$B$1001,B6)&gt;1,"违规：同一交易的加仓序号重复",IF(OR(D6="",E6="",F6=""),"计划不完整：请填写加仓价、新止损价和风险预算",IF(OR(D6&lt;=0,E6&lt;=0,F6&lt;=0,D6&lt;=E6),"违规：加仓价必须高于新止损价，金额须大于0",IF(AND(B6&gt;1,COUNTIFS($A$2:$A$1001,A6,$B$2:$B$1001,B6-1,$G$2:$G$1001,"&gt;0")=0),"违规：须先完成上一次加仓",IF(AND(B6&gt;1,E6&lt;SUMIFS($E$2:$E$1001,$A$2:$A$1001,A6,$B$2:$B$1001,B6-1)),"违规：新止损价不得低于上一次",IF(AND(B6&gt;1,F6&gt;SUMIFS($F$2:$F$1001,$A$2:$A$1001,A6,$B$2:$B$1001,B6-1)),"违规：风险预算须逐次不增加",IF(OR(_LockStatus="已锁仓",_LockStatus="解锁信息不完整"),"违规：锁仓期间禁止加仓",IF(G6="","计划可执行：建议股数见N列",IF(OR(G6&lt;=0,G6&lt;&gt;INT(G6),MOD(G6,100)&lt;&gt;0),"违规：实际股数须为100股整数倍",IF(G6&gt;N6,"违规：实际股数超过风险或金字塔上限",IF(AND(B6&gt;1,G6&gt;SUMIFS($G$2:$G$1001,$A$2:$A$1001,A6,$B$2:$B$1001,B6-1)),"违规：加仓股数须逐次不增加",IF(Q6&gt;F6,"违规：止损风险超过本次预算","通过")))))))))))))))</f>
        <v>违规：实际股数超过风险或金字塔上限</v>
      </c>
    </row>
    <row r="7" ht="17" spans="1:18">
      <c r="A7" s="13">
        <v>4</v>
      </c>
      <c r="B7" s="14">
        <v>4</v>
      </c>
      <c r="C7" s="15">
        <v>42860</v>
      </c>
      <c r="D7" s="16">
        <v>2.16</v>
      </c>
      <c r="E7" s="16">
        <v>2</v>
      </c>
      <c r="F7" s="16">
        <v>1</v>
      </c>
      <c r="G7" s="14">
        <v>6000</v>
      </c>
      <c r="H7" s="17">
        <f t="shared" si="0"/>
        <v>12960</v>
      </c>
      <c r="I7" s="18">
        <f>IF(OR(A7="",B7=""),"",IFERROR(LOOKUP(2,1/(单次交易!$A$2:$A$201=A7),单次交易!$H$2:$H$201),0)+SUMIFS($G$2:$G$1001,$A$2:$A$1001,A7,$B$2:$B$1001,"&lt;"&amp;B7))</f>
        <v>27000</v>
      </c>
      <c r="J7" s="17">
        <f>IF(OR(A7="",B7=""),"",IFERROR(LOOKUP(2,1/(单次交易!$A$2:$A$201=A7),单次交易!$E$2:$E$201)*LOOKUP(2,1/(单次交易!$A$2:$A$201=A7),单次交易!$H$2:$H$201),0)+SUMIFS($H$2:$H$1001,$A$2:$A$1001,A7,$B$2:$B$1001,"&lt;"&amp;B7))</f>
        <v>75920</v>
      </c>
      <c r="K7" s="17">
        <f t="shared" si="1"/>
        <v>0</v>
      </c>
      <c r="L7" s="18">
        <f t="shared" si="2"/>
        <v>0</v>
      </c>
      <c r="M7" s="18">
        <f t="shared" si="3"/>
        <v>6000</v>
      </c>
      <c r="N7" s="18">
        <f t="shared" si="4"/>
        <v>0</v>
      </c>
      <c r="O7" s="18">
        <f t="shared" si="5"/>
        <v>33000</v>
      </c>
      <c r="P7" s="17">
        <f t="shared" si="6"/>
        <v>2.69333333333333</v>
      </c>
      <c r="Q7" s="17">
        <f t="shared" si="7"/>
        <v>22880</v>
      </c>
      <c r="R7" s="19" t="str">
        <f ca="1">IF(A7="","",IF(COUNTIF(_TradeIds,A7)=0,"违规：交易编号不存在",IF(OR(B7="",B7&lt;1,B7&gt;5,B7&lt;&gt;INT(B7)),"违规：加仓序号须为1到5的整数",IF(COUNTIFS($A$2:$A$1001,A7,$B$2:$B$1001,B7)&gt;1,"违规：同一交易的加仓序号重复",IF(OR(D7="",E7="",F7=""),"计划不完整：请填写加仓价、新止损价和风险预算",IF(OR(D7&lt;=0,E7&lt;=0,F7&lt;=0,D7&lt;=E7),"违规：加仓价必须高于新止损价，金额须大于0",IF(AND(B7&gt;1,COUNTIFS($A$2:$A$1001,A7,$B$2:$B$1001,B7-1,$G$2:$G$1001,"&gt;0")=0),"违规：须先完成上一次加仓",IF(AND(B7&gt;1,E7&lt;SUMIFS($E$2:$E$1001,$A$2:$A$1001,A7,$B$2:$B$1001,B7-1)),"违规：新止损价不得低于上一次",IF(AND(B7&gt;1,F7&gt;SUMIFS($F$2:$F$1001,$A$2:$A$1001,A7,$B$2:$B$1001,B7-1)),"违规：风险预算须逐次不增加",IF(OR(_LockStatus="已锁仓",_LockStatus="解锁信息不完整"),"违规：锁仓期间禁止加仓",IF(G7="","计划可执行：建议股数见N列",IF(OR(G7&lt;=0,G7&lt;&gt;INT(G7),MOD(G7,100)&lt;&gt;0),"违规：实际股数须为100股整数倍",IF(G7&gt;N7,"违规：实际股数超过风险或金字塔上限",IF(AND(B7&gt;1,G7&gt;SUMIFS($G$2:$G$1001,$A$2:$A$1001,A7,$B$2:$B$1001,B7-1)),"违规：加仓股数须逐次不增加",IF(Q7&gt;F7,"违规：止损风险超过本次预算","通过")))))))))))))))</f>
        <v>违规：新止损价不得低于上一次</v>
      </c>
    </row>
    <row r="8" ht="17" spans="1:18">
      <c r="A8" s="13">
        <v>5</v>
      </c>
      <c r="B8" s="14">
        <v>1</v>
      </c>
      <c r="C8" s="15">
        <v>42993</v>
      </c>
      <c r="D8" s="16">
        <v>4.54</v>
      </c>
      <c r="E8" s="16">
        <v>4</v>
      </c>
      <c r="F8" s="16">
        <v>1</v>
      </c>
      <c r="G8" s="14">
        <v>2500</v>
      </c>
      <c r="H8" s="17">
        <f t="shared" si="0"/>
        <v>11350</v>
      </c>
      <c r="I8" s="18">
        <f>IF(OR(A8="",B8=""),"",IFERROR(LOOKUP(2,1/(单次交易!$A$2:$A$201=A8),单次交易!$H$2:$H$201),0)+SUMIFS($G$2:$G$1001,$A$2:$A$1001,A8,$B$2:$B$1001,"&lt;"&amp;B8))</f>
        <v>6500</v>
      </c>
      <c r="J8" s="17">
        <f>IF(OR(A8="",B8=""),"",IFERROR(LOOKUP(2,1/(单次交易!$A$2:$A$201=A8),单次交易!$E$2:$E$201)*LOOKUP(2,1/(单次交易!$A$2:$A$201=A8),单次交易!$H$2:$H$201),0)+SUMIFS($H$2:$H$1001,$A$2:$A$1001,A8,$B$2:$B$1001,"&lt;"&amp;B8))</f>
        <v>28535</v>
      </c>
      <c r="K8" s="17">
        <f t="shared" si="1"/>
        <v>0</v>
      </c>
      <c r="L8" s="18">
        <f t="shared" si="2"/>
        <v>0</v>
      </c>
      <c r="M8" s="18">
        <f t="shared" si="3"/>
        <v>0</v>
      </c>
      <c r="N8" s="18">
        <f t="shared" si="4"/>
        <v>0</v>
      </c>
      <c r="O8" s="18">
        <f t="shared" si="5"/>
        <v>9000</v>
      </c>
      <c r="P8" s="17">
        <f t="shared" si="6"/>
        <v>4.43166666666667</v>
      </c>
      <c r="Q8" s="17">
        <f t="shared" si="7"/>
        <v>3885</v>
      </c>
      <c r="R8" s="19" t="str">
        <f ca="1">IF(A8="","",IF(COUNTIF(_TradeIds,A8)=0,"违规：交易编号不存在",IF(OR(B8="",B8&lt;1,B8&gt;5,B8&lt;&gt;INT(B8)),"违规：加仓序号须为1到5的整数",IF(COUNTIFS($A$2:$A$1001,A8,$B$2:$B$1001,B8)&gt;1,"违规：同一交易的加仓序号重复",IF(OR(D8="",E8="",F8=""),"计划不完整：请填写加仓价、新止损价和风险预算",IF(OR(D8&lt;=0,E8&lt;=0,F8&lt;=0,D8&lt;=E8),"违规：加仓价必须高于新止损价，金额须大于0",IF(AND(B8&gt;1,COUNTIFS($A$2:$A$1001,A8,$B$2:$B$1001,B8-1,$G$2:$G$1001,"&gt;0")=0),"违规：须先完成上一次加仓",IF(AND(B8&gt;1,E8&lt;SUMIFS($E$2:$E$1001,$A$2:$A$1001,A8,$B$2:$B$1001,B8-1)),"违规：新止损价不得低于上一次",IF(AND(B8&gt;1,F8&gt;SUMIFS($F$2:$F$1001,$A$2:$A$1001,A8,$B$2:$B$1001,B8-1)),"违规：风险预算须逐次不增加",IF(OR(_LockStatus="已锁仓",_LockStatus="解锁信息不完整"),"违规：锁仓期间禁止加仓",IF(G8="","计划可执行：建议股数见N列",IF(OR(G8&lt;=0,G8&lt;&gt;INT(G8),MOD(G8,100)&lt;&gt;0),"违规：实际股数须为100股整数倍",IF(G8&gt;N8,"违规：实际股数超过风险或金字塔上限",IF(AND(B8&gt;1,G8&gt;SUMIFS($G$2:$G$1001,$A$2:$A$1001,A8,$B$2:$B$1001,B8-1)),"违规：加仓股数须逐次不增加",IF(Q8&gt;F8,"违规：止损风险超过本次预算","通过")))))))))))))))</f>
        <v>违规：实际股数超过风险或金字塔上限</v>
      </c>
    </row>
    <row r="9" ht="17" spans="1:18">
      <c r="A9" s="13">
        <v>6</v>
      </c>
      <c r="B9" s="14">
        <v>1</v>
      </c>
      <c r="C9" s="15">
        <v>43042</v>
      </c>
      <c r="D9" s="16">
        <v>5.92</v>
      </c>
      <c r="E9" s="16">
        <v>5.5</v>
      </c>
      <c r="F9" s="16">
        <v>1</v>
      </c>
      <c r="G9" s="14">
        <v>2000</v>
      </c>
      <c r="H9" s="17">
        <f t="shared" si="0"/>
        <v>11840</v>
      </c>
      <c r="I9" s="18">
        <f>IF(OR(A9="",B9=""),"",IFERROR(LOOKUP(2,1/(单次交易!$A$2:$A$201=A9),单次交易!$H$2:$H$201),0)+SUMIFS($G$2:$G$1001,$A$2:$A$1001,A9,$B$2:$B$1001,"&lt;"&amp;B9))</f>
        <v>5600</v>
      </c>
      <c r="J9" s="17">
        <f>IF(OR(A9="",B9=""),"",IFERROR(LOOKUP(2,1/(单次交易!$A$2:$A$201=A9),单次交易!$E$2:$E$201)*LOOKUP(2,1/(单次交易!$A$2:$A$201=A9),单次交易!$H$2:$H$201),0)+SUMIFS($H$2:$H$1001,$A$2:$A$1001,A9,$B$2:$B$1001,"&lt;"&amp;B9))</f>
        <v>31640</v>
      </c>
      <c r="K9" s="17">
        <f t="shared" si="1"/>
        <v>0</v>
      </c>
      <c r="L9" s="18">
        <f t="shared" si="2"/>
        <v>0</v>
      </c>
      <c r="M9" s="18">
        <f t="shared" si="3"/>
        <v>0</v>
      </c>
      <c r="N9" s="18">
        <f t="shared" si="4"/>
        <v>0</v>
      </c>
      <c r="O9" s="18">
        <f t="shared" si="5"/>
        <v>7600</v>
      </c>
      <c r="P9" s="17">
        <f t="shared" si="6"/>
        <v>5.72105263157895</v>
      </c>
      <c r="Q9" s="17">
        <f t="shared" si="7"/>
        <v>1680</v>
      </c>
      <c r="R9" s="19" t="str">
        <f ca="1">IF(A9="","",IF(COUNTIF(_TradeIds,A9)=0,"违规：交易编号不存在",IF(OR(B9="",B9&lt;1,B9&gt;5,B9&lt;&gt;INT(B9)),"违规：加仓序号须为1到5的整数",IF(COUNTIFS($A$2:$A$1001,A9,$B$2:$B$1001,B9)&gt;1,"违规：同一交易的加仓序号重复",IF(OR(D9="",E9="",F9=""),"计划不完整：请填写加仓价、新止损价和风险预算",IF(OR(D9&lt;=0,E9&lt;=0,F9&lt;=0,D9&lt;=E9),"违规：加仓价必须高于新止损价，金额须大于0",IF(AND(B9&gt;1,COUNTIFS($A$2:$A$1001,A9,$B$2:$B$1001,B9-1,$G$2:$G$1001,"&gt;0")=0),"违规：须先完成上一次加仓",IF(AND(B9&gt;1,E9&lt;SUMIFS($E$2:$E$1001,$A$2:$A$1001,A9,$B$2:$B$1001,B9-1)),"违规：新止损价不得低于上一次",IF(AND(B9&gt;1,F9&gt;SUMIFS($F$2:$F$1001,$A$2:$A$1001,A9,$B$2:$B$1001,B9-1)),"违规：风险预算须逐次不增加",IF(OR(_LockStatus="已锁仓",_LockStatus="解锁信息不完整"),"违规：锁仓期间禁止加仓",IF(G9="","计划可执行：建议股数见N列",IF(OR(G9&lt;=0,G9&lt;&gt;INT(G9),MOD(G9,100)&lt;&gt;0),"违规：实际股数须为100股整数倍",IF(G9&gt;N9,"违规：实际股数超过风险或金字塔上限",IF(AND(B9&gt;1,G9&gt;SUMIFS($G$2:$G$1001,$A$2:$A$1001,A9,$B$2:$B$1001,B9-1)),"违规：加仓股数须逐次不增加",IF(Q9&gt;F9,"违规：止损风险超过本次预算","通过")))))))))))))))</f>
        <v>违规：实际股数超过风险或金字塔上限</v>
      </c>
    </row>
    <row r="10" ht="17" spans="1:18">
      <c r="A10" s="13">
        <v>8</v>
      </c>
      <c r="B10" s="14">
        <v>1</v>
      </c>
      <c r="C10" s="15">
        <v>43525</v>
      </c>
      <c r="D10" s="16">
        <v>7.71</v>
      </c>
      <c r="E10" s="16">
        <v>7.5</v>
      </c>
      <c r="F10" s="16">
        <v>1</v>
      </c>
      <c r="G10" s="14">
        <v>2000</v>
      </c>
      <c r="H10" s="17">
        <f t="shared" si="0"/>
        <v>15420</v>
      </c>
      <c r="I10" s="18">
        <f>IF(OR(A10="",B10=""),"",IFERROR(LOOKUP(2,1/(单次交易!$A$2:$A$201=A10),单次交易!$H$2:$H$201),0)+SUMIFS($G$2:$G$1001,$A$2:$A$1001,A10,$B$2:$B$1001,"&lt;"&amp;B10))</f>
        <v>4000</v>
      </c>
      <c r="J10" s="17">
        <f>IF(OR(A10="",B10=""),"",IFERROR(LOOKUP(2,1/(单次交易!$A$2:$A$201=A10),单次交易!$E$2:$E$201)*LOOKUP(2,1/(单次交易!$A$2:$A$201=A10),单次交易!$H$2:$H$201),0)+SUMIFS($H$2:$H$1001,$A$2:$A$1001,A10,$B$2:$B$1001,"&lt;"&amp;B10))</f>
        <v>30160</v>
      </c>
      <c r="K10" s="17">
        <f t="shared" si="1"/>
        <v>0</v>
      </c>
      <c r="L10" s="18">
        <f t="shared" si="2"/>
        <v>0</v>
      </c>
      <c r="M10" s="18">
        <f t="shared" si="3"/>
        <v>0</v>
      </c>
      <c r="N10" s="18">
        <f t="shared" si="4"/>
        <v>0</v>
      </c>
      <c r="O10" s="18">
        <f t="shared" si="5"/>
        <v>6000</v>
      </c>
      <c r="P10" s="17">
        <f t="shared" si="6"/>
        <v>7.59666666666667</v>
      </c>
      <c r="Q10" s="17">
        <f t="shared" si="7"/>
        <v>580</v>
      </c>
      <c r="R10" s="19" t="str">
        <f ca="1">IF(A10="","",IF(COUNTIF(_TradeIds,A10)=0,"违规：交易编号不存在",IF(OR(B10="",B10&lt;1,B10&gt;5,B10&lt;&gt;INT(B10)),"违规：加仓序号须为1到5的整数",IF(COUNTIFS($A$2:$A$1001,A10,$B$2:$B$1001,B10)&gt;1,"违规：同一交易的加仓序号重复",IF(OR(D10="",E10="",F10=""),"计划不完整：请填写加仓价、新止损价和风险预算",IF(OR(D10&lt;=0,E10&lt;=0,F10&lt;=0,D10&lt;=E10),"违规：加仓价必须高于新止损价，金额须大于0",IF(AND(B10&gt;1,COUNTIFS($A$2:$A$1001,A10,$B$2:$B$1001,B10-1,$G$2:$G$1001,"&gt;0")=0),"违规：须先完成上一次加仓",IF(AND(B10&gt;1,E10&lt;SUMIFS($E$2:$E$1001,$A$2:$A$1001,A10,$B$2:$B$1001,B10-1)),"违规：新止损价不得低于上一次",IF(AND(B10&gt;1,F10&gt;SUMIFS($F$2:$F$1001,$A$2:$A$1001,A10,$B$2:$B$1001,B10-1)),"违规：风险预算须逐次不增加",IF(OR(_LockStatus="已锁仓",_LockStatus="解锁信息不完整"),"违规：锁仓期间禁止加仓",IF(G10="","计划可执行：建议股数见N列",IF(OR(G10&lt;=0,G10&lt;&gt;INT(G10),MOD(G10,100)&lt;&gt;0),"违规：实际股数须为100股整数倍",IF(G10&gt;N10,"违规：实际股数超过风险或金字塔上限",IF(AND(B10&gt;1,G10&gt;SUMIFS($G$2:$G$1001,$A$2:$A$1001,A10,$B$2:$B$1001,B10-1)),"违规：加仓股数须逐次不增加",IF(Q10&gt;F10,"违规：止损风险超过本次预算","通过")))))))))))))))</f>
        <v>违规：实际股数超过风险或金字塔上限</v>
      </c>
    </row>
    <row r="11" ht="17" spans="1:18">
      <c r="A11" s="13">
        <v>8</v>
      </c>
      <c r="B11" s="14">
        <v>2</v>
      </c>
      <c r="C11" s="15">
        <v>43530</v>
      </c>
      <c r="D11" s="16">
        <v>8.18</v>
      </c>
      <c r="E11" s="16">
        <v>7.8</v>
      </c>
      <c r="F11" s="16">
        <v>1</v>
      </c>
      <c r="G11" s="14">
        <v>2000</v>
      </c>
      <c r="H11" s="17">
        <f t="shared" si="0"/>
        <v>16360</v>
      </c>
      <c r="I11" s="18">
        <f>IF(OR(A11="",B11=""),"",IFERROR(LOOKUP(2,1/(单次交易!$A$2:$A$201=A11),单次交易!$H$2:$H$201),0)+SUMIFS($G$2:$G$1001,$A$2:$A$1001,A11,$B$2:$B$1001,"&lt;"&amp;B11))</f>
        <v>6000</v>
      </c>
      <c r="J11" s="17">
        <f>IF(OR(A11="",B11=""),"",IFERROR(LOOKUP(2,1/(单次交易!$A$2:$A$201=A11),单次交易!$E$2:$E$201)*LOOKUP(2,1/(单次交易!$A$2:$A$201=A11),单次交易!$H$2:$H$201),0)+SUMIFS($H$2:$H$1001,$A$2:$A$1001,A11,$B$2:$B$1001,"&lt;"&amp;B11))</f>
        <v>45580</v>
      </c>
      <c r="K11" s="17">
        <f t="shared" si="1"/>
        <v>1220</v>
      </c>
      <c r="L11" s="18">
        <f t="shared" si="2"/>
        <v>3200</v>
      </c>
      <c r="M11" s="18">
        <f t="shared" si="3"/>
        <v>2000</v>
      </c>
      <c r="N11" s="18">
        <f t="shared" si="4"/>
        <v>2000</v>
      </c>
      <c r="O11" s="18">
        <f t="shared" si="5"/>
        <v>8000</v>
      </c>
      <c r="P11" s="17">
        <f t="shared" si="6"/>
        <v>7.7425</v>
      </c>
      <c r="Q11" s="17">
        <f t="shared" si="7"/>
        <v>0</v>
      </c>
      <c r="R11" s="19" t="str">
        <f ca="1">IF(A11="","",IF(COUNTIF(_TradeIds,A11)=0,"违规：交易编号不存在",IF(OR(B11="",B11&lt;1,B11&gt;5,B11&lt;&gt;INT(B11)),"违规：加仓序号须为1到5的整数",IF(COUNTIFS($A$2:$A$1001,A11,$B$2:$B$1001,B11)&gt;1,"违规：同一交易的加仓序号重复",IF(OR(D11="",E11="",F11=""),"计划不完整：请填写加仓价、新止损价和风险预算",IF(OR(D11&lt;=0,E11&lt;=0,F11&lt;=0,D11&lt;=E11),"违规：加仓价必须高于新止损价，金额须大于0",IF(AND(B11&gt;1,COUNTIFS($A$2:$A$1001,A11,$B$2:$B$1001,B11-1,$G$2:$G$1001,"&gt;0")=0),"违规：须先完成上一次加仓",IF(AND(B11&gt;1,E11&lt;SUMIFS($E$2:$E$1001,$A$2:$A$1001,A11,$B$2:$B$1001,B11-1)),"违规：新止损价不得低于上一次",IF(AND(B11&gt;1,F11&gt;SUMIFS($F$2:$F$1001,$A$2:$A$1001,A11,$B$2:$B$1001,B11-1)),"违规：风险预算须逐次不增加",IF(OR(_LockStatus="已锁仓",_LockStatus="解锁信息不完整"),"违规：锁仓期间禁止加仓",IF(G11="","计划可执行：建议股数见N列",IF(OR(G11&lt;=0,G11&lt;&gt;INT(G11),MOD(G11,100)&lt;&gt;0),"违规：实际股数须为100股整数倍",IF(G11&gt;N11,"违规：实际股数超过风险或金字塔上限",IF(AND(B11&gt;1,G11&gt;SUMIFS($G$2:$G$1001,$A$2:$A$1001,A11,$B$2:$B$1001,B11-1)),"违规：加仓股数须逐次不增加",IF(Q11&gt;F11,"违规：止损风险超过本次预算","通过")))))))))))))))</f>
        <v>通过</v>
      </c>
    </row>
    <row r="12" ht="17" spans="1:18">
      <c r="A12" s="13">
        <v>8</v>
      </c>
      <c r="B12" s="14">
        <v>3</v>
      </c>
      <c r="C12" s="15">
        <v>43531</v>
      </c>
      <c r="D12" s="16">
        <v>8.97</v>
      </c>
      <c r="E12" s="16">
        <v>8.2</v>
      </c>
      <c r="F12" s="16">
        <v>1</v>
      </c>
      <c r="G12" s="14">
        <v>1500</v>
      </c>
      <c r="H12" s="17">
        <f t="shared" si="0"/>
        <v>13455</v>
      </c>
      <c r="I12" s="18">
        <f>IF(OR(A12="",B12=""),"",IFERROR(LOOKUP(2,1/(单次交易!$A$2:$A$201=A12),单次交易!$H$2:$H$201),0)+SUMIFS($G$2:$G$1001,$A$2:$A$1001,A12,$B$2:$B$1001,"&lt;"&amp;B12))</f>
        <v>8000</v>
      </c>
      <c r="J12" s="17">
        <f>IF(OR(A12="",B12=""),"",IFERROR(LOOKUP(2,1/(单次交易!$A$2:$A$201=A12),单次交易!$E$2:$E$201)*LOOKUP(2,1/(单次交易!$A$2:$A$201=A12),单次交易!$H$2:$H$201),0)+SUMIFS($H$2:$H$1001,$A$2:$A$1001,A12,$B$2:$B$1001,"&lt;"&amp;B12))</f>
        <v>61940</v>
      </c>
      <c r="K12" s="17">
        <f t="shared" si="1"/>
        <v>3660</v>
      </c>
      <c r="L12" s="18">
        <f t="shared" si="2"/>
        <v>4700</v>
      </c>
      <c r="M12" s="18">
        <f t="shared" si="3"/>
        <v>2000</v>
      </c>
      <c r="N12" s="18">
        <f t="shared" si="4"/>
        <v>2000</v>
      </c>
      <c r="O12" s="18">
        <f t="shared" si="5"/>
        <v>9500</v>
      </c>
      <c r="P12" s="17">
        <f t="shared" si="6"/>
        <v>7.93631578947368</v>
      </c>
      <c r="Q12" s="17">
        <f t="shared" si="7"/>
        <v>0</v>
      </c>
      <c r="R12" s="19" t="str">
        <f ca="1">IF(A12="","",IF(COUNTIF(_TradeIds,A12)=0,"违规：交易编号不存在",IF(OR(B12="",B12&lt;1,B12&gt;5,B12&lt;&gt;INT(B12)),"违规：加仓序号须为1到5的整数",IF(COUNTIFS($A$2:$A$1001,A12,$B$2:$B$1001,B12)&gt;1,"违规：同一交易的加仓序号重复",IF(OR(D12="",E12="",F12=""),"计划不完整：请填写加仓价、新止损价和风险预算",IF(OR(D12&lt;=0,E12&lt;=0,F12&lt;=0,D12&lt;=E12),"违规：加仓价必须高于新止损价，金额须大于0",IF(AND(B12&gt;1,COUNTIFS($A$2:$A$1001,A12,$B$2:$B$1001,B12-1,$G$2:$G$1001,"&gt;0")=0),"违规：须先完成上一次加仓",IF(AND(B12&gt;1,E12&lt;SUMIFS($E$2:$E$1001,$A$2:$A$1001,A12,$B$2:$B$1001,B12-1)),"违规：新止损价不得低于上一次",IF(AND(B12&gt;1,F12&gt;SUMIFS($F$2:$F$1001,$A$2:$A$1001,A12,$B$2:$B$1001,B12-1)),"违规：风险预算须逐次不增加",IF(OR(_LockStatus="已锁仓",_LockStatus="解锁信息不完整"),"违规：锁仓期间禁止加仓",IF(G12="","计划可执行：建议股数见N列",IF(OR(G12&lt;=0,G12&lt;&gt;INT(G12),MOD(G12,100)&lt;&gt;0),"违规：实际股数须为100股整数倍",IF(G12&gt;N12,"违规：实际股数超过风险或金字塔上限",IF(AND(B12&gt;1,G12&gt;SUMIFS($G$2:$G$1001,$A$2:$A$1001,A12,$B$2:$B$1001,B12-1)),"违规：加仓股数须逐次不增加",IF(Q12&gt;F12,"违规：止损风险超过本次预算","通过")))))))))))))))</f>
        <v>通过</v>
      </c>
    </row>
    <row r="13" ht="17" spans="1:18">
      <c r="A13" s="13">
        <v>8</v>
      </c>
      <c r="B13" s="14">
        <v>4</v>
      </c>
      <c r="C13" s="15">
        <v>43535</v>
      </c>
      <c r="D13" s="16">
        <v>9.32</v>
      </c>
      <c r="E13" s="16">
        <v>8.5</v>
      </c>
      <c r="F13" s="16">
        <v>1</v>
      </c>
      <c r="G13" s="14">
        <v>2000</v>
      </c>
      <c r="H13" s="17">
        <f t="shared" si="0"/>
        <v>18640</v>
      </c>
      <c r="I13" s="18">
        <f>IF(OR(A13="",B13=""),"",IFERROR(LOOKUP(2,1/(单次交易!$A$2:$A$201=A13),单次交易!$H$2:$H$201),0)+SUMIFS($G$2:$G$1001,$A$2:$A$1001,A13,$B$2:$B$1001,"&lt;"&amp;B13))</f>
        <v>9500</v>
      </c>
      <c r="J13" s="17">
        <f>IF(OR(A13="",B13=""),"",IFERROR(LOOKUP(2,1/(单次交易!$A$2:$A$201=A13),单次交易!$E$2:$E$201)*LOOKUP(2,1/(单次交易!$A$2:$A$201=A13),单次交易!$H$2:$H$201),0)+SUMIFS($H$2:$H$1001,$A$2:$A$1001,A13,$B$2:$B$1001,"&lt;"&amp;B13))</f>
        <v>75395</v>
      </c>
      <c r="K13" s="17">
        <f t="shared" si="1"/>
        <v>5355</v>
      </c>
      <c r="L13" s="18">
        <f t="shared" si="2"/>
        <v>6500</v>
      </c>
      <c r="M13" s="18">
        <f t="shared" si="3"/>
        <v>1500</v>
      </c>
      <c r="N13" s="18">
        <f t="shared" si="4"/>
        <v>1500</v>
      </c>
      <c r="O13" s="18">
        <f t="shared" si="5"/>
        <v>11500</v>
      </c>
      <c r="P13" s="17">
        <f t="shared" si="6"/>
        <v>8.17695652173913</v>
      </c>
      <c r="Q13" s="17">
        <f t="shared" si="7"/>
        <v>0</v>
      </c>
      <c r="R13" s="19" t="str">
        <f ca="1">IF(A13="","",IF(COUNTIF(_TradeIds,A13)=0,"违规：交易编号不存在",IF(OR(B13="",B13&lt;1,B13&gt;5,B13&lt;&gt;INT(B13)),"违规：加仓序号须为1到5的整数",IF(COUNTIFS($A$2:$A$1001,A13,$B$2:$B$1001,B13)&gt;1,"违规：同一交易的加仓序号重复",IF(OR(D13="",E13="",F13=""),"计划不完整：请填写加仓价、新止损价和风险预算",IF(OR(D13&lt;=0,E13&lt;=0,F13&lt;=0,D13&lt;=E13),"违规：加仓价必须高于新止损价，金额须大于0",IF(AND(B13&gt;1,COUNTIFS($A$2:$A$1001,A13,$B$2:$B$1001,B13-1,$G$2:$G$1001,"&gt;0")=0),"违规：须先完成上一次加仓",IF(AND(B13&gt;1,E13&lt;SUMIFS($E$2:$E$1001,$A$2:$A$1001,A13,$B$2:$B$1001,B13-1)),"违规：新止损价不得低于上一次",IF(AND(B13&gt;1,F13&gt;SUMIFS($F$2:$F$1001,$A$2:$A$1001,A13,$B$2:$B$1001,B13-1)),"违规：风险预算须逐次不增加",IF(OR(_LockStatus="已锁仓",_LockStatus="解锁信息不完整"),"违规：锁仓期间禁止加仓",IF(G13="","计划可执行：建议股数见N列",IF(OR(G13&lt;=0,G13&lt;&gt;INT(G13),MOD(G13,100)&lt;&gt;0),"违规：实际股数须为100股整数倍",IF(G13&gt;N13,"违规：实际股数超过风险或金字塔上限",IF(AND(B13&gt;1,G13&gt;SUMIFS($G$2:$G$1001,$A$2:$A$1001,A13,$B$2:$B$1001,B13-1)),"违规：加仓股数须逐次不增加",IF(Q13&gt;F13,"违规：止损风险超过本次预算","通过")))))))))))))))</f>
        <v>违规：实际股数超过风险或金字塔上限</v>
      </c>
    </row>
    <row r="14" ht="17" spans="1:18">
      <c r="A14" s="13">
        <v>9</v>
      </c>
      <c r="B14" s="14">
        <v>1</v>
      </c>
      <c r="C14" s="15">
        <v>43556</v>
      </c>
      <c r="D14" s="16">
        <v>8.76</v>
      </c>
      <c r="E14" s="16">
        <v>8</v>
      </c>
      <c r="F14" s="16">
        <v>1</v>
      </c>
      <c r="G14" s="14">
        <v>2000</v>
      </c>
      <c r="H14" s="17">
        <f t="shared" si="0"/>
        <v>17520</v>
      </c>
      <c r="I14" s="18">
        <f>IF(OR(A14="",B14=""),"",IFERROR(LOOKUP(2,1/(单次交易!$A$2:$A$201=A14),单次交易!$H$2:$H$201),0)+SUMIFS($G$2:$G$1001,$A$2:$A$1001,A14,$B$2:$B$1001,"&lt;"&amp;B14))</f>
        <v>3000</v>
      </c>
      <c r="J14" s="17">
        <f>IF(OR(A14="",B14=""),"",IFERROR(LOOKUP(2,1/(单次交易!$A$2:$A$201=A14),单次交易!$E$2:$E$201)*LOOKUP(2,1/(单次交易!$A$2:$A$201=A14),单次交易!$H$2:$H$201),0)+SUMIFS($H$2:$H$1001,$A$2:$A$1001,A14,$B$2:$B$1001,"&lt;"&amp;B14))</f>
        <v>24060</v>
      </c>
      <c r="K14" s="17">
        <f t="shared" si="1"/>
        <v>0</v>
      </c>
      <c r="L14" s="18">
        <f t="shared" si="2"/>
        <v>0</v>
      </c>
      <c r="M14" s="18">
        <f t="shared" si="3"/>
        <v>0</v>
      </c>
      <c r="N14" s="18">
        <f t="shared" si="4"/>
        <v>0</v>
      </c>
      <c r="O14" s="18">
        <f t="shared" si="5"/>
        <v>5000</v>
      </c>
      <c r="P14" s="17">
        <f t="shared" si="6"/>
        <v>8.316</v>
      </c>
      <c r="Q14" s="17">
        <f t="shared" si="7"/>
        <v>1580</v>
      </c>
      <c r="R14" s="19" t="str">
        <f ca="1">IF(A14="","",IF(COUNTIF(_TradeIds,A14)=0,"违规：交易编号不存在",IF(OR(B14="",B14&lt;1,B14&gt;5,B14&lt;&gt;INT(B14)),"违规：加仓序号须为1到5的整数",IF(COUNTIFS($A$2:$A$1001,A14,$B$2:$B$1001,B14)&gt;1,"违规：同一交易的加仓序号重复",IF(OR(D14="",E14="",F14=""),"计划不完整：请填写加仓价、新止损价和风险预算",IF(OR(D14&lt;=0,E14&lt;=0,F14&lt;=0,D14&lt;=E14),"违规：加仓价必须高于新止损价，金额须大于0",IF(AND(B14&gt;1,COUNTIFS($A$2:$A$1001,A14,$B$2:$B$1001,B14-1,$G$2:$G$1001,"&gt;0")=0),"违规：须先完成上一次加仓",IF(AND(B14&gt;1,E14&lt;SUMIFS($E$2:$E$1001,$A$2:$A$1001,A14,$B$2:$B$1001,B14-1)),"违规：新止损价不得低于上一次",IF(AND(B14&gt;1,F14&gt;SUMIFS($F$2:$F$1001,$A$2:$A$1001,A14,$B$2:$B$1001,B14-1)),"违规：风险预算须逐次不增加",IF(OR(_LockStatus="已锁仓",_LockStatus="解锁信息不完整"),"违规：锁仓期间禁止加仓",IF(G14="","计划可执行：建议股数见N列",IF(OR(G14&lt;=0,G14&lt;&gt;INT(G14),MOD(G14,100)&lt;&gt;0),"违规：实际股数须为100股整数倍",IF(G14&gt;N14,"违规：实际股数超过风险或金字塔上限",IF(AND(B14&gt;1,G14&gt;SUMIFS($G$2:$G$1001,$A$2:$A$1001,A14,$B$2:$B$1001,B14-1)),"违规：加仓股数须逐次不增加",IF(Q14&gt;F14,"违规：止损风险超过本次预算","通过")))))))))))))))</f>
        <v>违规：实际股数超过风险或金字塔上限</v>
      </c>
    </row>
    <row r="15" ht="17" spans="1:18">
      <c r="A15" s="13">
        <v>9</v>
      </c>
      <c r="B15" s="14">
        <v>2</v>
      </c>
      <c r="C15" s="15">
        <v>43558</v>
      </c>
      <c r="D15" s="16">
        <v>8.96</v>
      </c>
      <c r="E15" s="16">
        <v>8.5</v>
      </c>
      <c r="F15" s="16">
        <v>1</v>
      </c>
      <c r="G15" s="14">
        <v>2000</v>
      </c>
      <c r="H15" s="17">
        <f t="shared" si="0"/>
        <v>17920</v>
      </c>
      <c r="I15" s="18">
        <f>IF(OR(A15="",B15=""),"",IFERROR(LOOKUP(2,1/(单次交易!$A$2:$A$201=A15),单次交易!$H$2:$H$201),0)+SUMIFS($G$2:$G$1001,$A$2:$A$1001,A15,$B$2:$B$1001,"&lt;"&amp;B15))</f>
        <v>5000</v>
      </c>
      <c r="J15" s="17">
        <f>IF(OR(A15="",B15=""),"",IFERROR(LOOKUP(2,1/(单次交易!$A$2:$A$201=A15),单次交易!$E$2:$E$201)*LOOKUP(2,1/(单次交易!$A$2:$A$201=A15),单次交易!$H$2:$H$201),0)+SUMIFS($H$2:$H$1001,$A$2:$A$1001,A15,$B$2:$B$1001,"&lt;"&amp;B15))</f>
        <v>41580</v>
      </c>
      <c r="K15" s="17">
        <f t="shared" si="1"/>
        <v>920</v>
      </c>
      <c r="L15" s="18">
        <f t="shared" si="2"/>
        <v>2000</v>
      </c>
      <c r="M15" s="18">
        <f t="shared" si="3"/>
        <v>2000</v>
      </c>
      <c r="N15" s="18">
        <f t="shared" si="4"/>
        <v>2000</v>
      </c>
      <c r="O15" s="18">
        <f t="shared" si="5"/>
        <v>7000</v>
      </c>
      <c r="P15" s="17">
        <f t="shared" si="6"/>
        <v>8.5</v>
      </c>
      <c r="Q15" s="17">
        <f t="shared" si="7"/>
        <v>0</v>
      </c>
      <c r="R15" s="19" t="str">
        <f ca="1">IF(A15="","",IF(COUNTIF(_TradeIds,A15)=0,"违规：交易编号不存在",IF(OR(B15="",B15&lt;1,B15&gt;5,B15&lt;&gt;INT(B15)),"违规：加仓序号须为1到5的整数",IF(COUNTIFS($A$2:$A$1001,A15,$B$2:$B$1001,B15)&gt;1,"违规：同一交易的加仓序号重复",IF(OR(D15="",E15="",F15=""),"计划不完整：请填写加仓价、新止损价和风险预算",IF(OR(D15&lt;=0,E15&lt;=0,F15&lt;=0,D15&lt;=E15),"违规：加仓价必须高于新止损价，金额须大于0",IF(AND(B15&gt;1,COUNTIFS($A$2:$A$1001,A15,$B$2:$B$1001,B15-1,$G$2:$G$1001,"&gt;0")=0),"违规：须先完成上一次加仓",IF(AND(B15&gt;1,E15&lt;SUMIFS($E$2:$E$1001,$A$2:$A$1001,A15,$B$2:$B$1001,B15-1)),"违规：新止损价不得低于上一次",IF(AND(B15&gt;1,F15&gt;SUMIFS($F$2:$F$1001,$A$2:$A$1001,A15,$B$2:$B$1001,B15-1)),"违规：风险预算须逐次不增加",IF(OR(_LockStatus="已锁仓",_LockStatus="解锁信息不完整"),"违规：锁仓期间禁止加仓",IF(G15="","计划可执行：建议股数见N列",IF(OR(G15&lt;=0,G15&lt;&gt;INT(G15),MOD(G15,100)&lt;&gt;0),"违规：实际股数须为100股整数倍",IF(G15&gt;N15,"违规：实际股数超过风险或金字塔上限",IF(AND(B15&gt;1,G15&gt;SUMIFS($G$2:$G$1001,$A$2:$A$1001,A15,$B$2:$B$1001,B15-1)),"违规：加仓股数须逐次不增加",IF(Q15&gt;F15,"违规：止损风险超过本次预算","通过")))))))))))))))</f>
        <v>通过</v>
      </c>
    </row>
    <row r="16" ht="17" spans="1:18">
      <c r="A16" s="13">
        <v>9</v>
      </c>
      <c r="B16" s="14">
        <v>3</v>
      </c>
      <c r="C16" s="15">
        <v>43559</v>
      </c>
      <c r="D16" s="16">
        <v>9.52</v>
      </c>
      <c r="E16" s="16">
        <v>8.8</v>
      </c>
      <c r="F16" s="16">
        <v>1</v>
      </c>
      <c r="G16" s="14">
        <v>2000</v>
      </c>
      <c r="H16" s="17">
        <f t="shared" si="0"/>
        <v>19040</v>
      </c>
      <c r="I16" s="18">
        <f>IF(OR(A16="",B16=""),"",IFERROR(LOOKUP(2,1/(单次交易!$A$2:$A$201=A16),单次交易!$H$2:$H$201),0)+SUMIFS($G$2:$G$1001,$A$2:$A$1001,A16,$B$2:$B$1001,"&lt;"&amp;B16))</f>
        <v>7000</v>
      </c>
      <c r="J16" s="17">
        <f>IF(OR(A16="",B16=""),"",IFERROR(LOOKUP(2,1/(单次交易!$A$2:$A$201=A16),单次交易!$E$2:$E$201)*LOOKUP(2,1/(单次交易!$A$2:$A$201=A16),单次交易!$H$2:$H$201),0)+SUMIFS($H$2:$H$1001,$A$2:$A$1001,A16,$B$2:$B$1001,"&lt;"&amp;B16))</f>
        <v>59500</v>
      </c>
      <c r="K16" s="17">
        <f t="shared" si="1"/>
        <v>2100.00000000001</v>
      </c>
      <c r="L16" s="18">
        <f t="shared" si="2"/>
        <v>2900</v>
      </c>
      <c r="M16" s="18">
        <f t="shared" si="3"/>
        <v>2000</v>
      </c>
      <c r="N16" s="18">
        <f t="shared" si="4"/>
        <v>2000</v>
      </c>
      <c r="O16" s="18">
        <f t="shared" si="5"/>
        <v>9000</v>
      </c>
      <c r="P16" s="17">
        <f t="shared" si="6"/>
        <v>8.72666666666667</v>
      </c>
      <c r="Q16" s="17">
        <f t="shared" si="7"/>
        <v>0</v>
      </c>
      <c r="R16" s="19" t="str">
        <f ca="1">IF(A16="","",IF(COUNTIF(_TradeIds,A16)=0,"违规：交易编号不存在",IF(OR(B16="",B16&lt;1,B16&gt;5,B16&lt;&gt;INT(B16)),"违规：加仓序号须为1到5的整数",IF(COUNTIFS($A$2:$A$1001,A16,$B$2:$B$1001,B16)&gt;1,"违规：同一交易的加仓序号重复",IF(OR(D16="",E16="",F16=""),"计划不完整：请填写加仓价、新止损价和风险预算",IF(OR(D16&lt;=0,E16&lt;=0,F16&lt;=0,D16&lt;=E16),"违规：加仓价必须高于新止损价，金额须大于0",IF(AND(B16&gt;1,COUNTIFS($A$2:$A$1001,A16,$B$2:$B$1001,B16-1,$G$2:$G$1001,"&gt;0")=0),"违规：须先完成上一次加仓",IF(AND(B16&gt;1,E16&lt;SUMIFS($E$2:$E$1001,$A$2:$A$1001,A16,$B$2:$B$1001,B16-1)),"违规：新止损价不得低于上一次",IF(AND(B16&gt;1,F16&gt;SUMIFS($F$2:$F$1001,$A$2:$A$1001,A16,$B$2:$B$1001,B16-1)),"违规：风险预算须逐次不增加",IF(OR(_LockStatus="已锁仓",_LockStatus="解锁信息不完整"),"违规：锁仓期间禁止加仓",IF(G16="","计划可执行：建议股数见N列",IF(OR(G16&lt;=0,G16&lt;&gt;INT(G16),MOD(G16,100)&lt;&gt;0),"违规：实际股数须为100股整数倍",IF(G16&gt;N16,"违规：实际股数超过风险或金字塔上限",IF(AND(B16&gt;1,G16&gt;SUMIFS($G$2:$G$1001,$A$2:$A$1001,A16,$B$2:$B$1001,B16-1)),"违规：加仓股数须逐次不增加",IF(Q16&gt;F16,"违规：止损风险超过本次预算","通过")))))))))))))))</f>
        <v>通过</v>
      </c>
    </row>
    <row r="17" ht="17" spans="1:18">
      <c r="A17" s="13">
        <v>9</v>
      </c>
      <c r="B17" s="14">
        <v>4</v>
      </c>
      <c r="C17" s="15">
        <v>43564</v>
      </c>
      <c r="D17" s="16">
        <v>9.69</v>
      </c>
      <c r="E17" s="16">
        <v>9</v>
      </c>
      <c r="F17" s="16">
        <v>1</v>
      </c>
      <c r="G17" s="14">
        <v>2000</v>
      </c>
      <c r="H17" s="17">
        <f t="shared" si="0"/>
        <v>19380</v>
      </c>
      <c r="I17" s="18">
        <f>IF(OR(A17="",B17=""),"",IFERROR(LOOKUP(2,1/(单次交易!$A$2:$A$201=A17),单次交易!$H$2:$H$201),0)+SUMIFS($G$2:$G$1001,$A$2:$A$1001,A17,$B$2:$B$1001,"&lt;"&amp;B17))</f>
        <v>9000</v>
      </c>
      <c r="J17" s="17">
        <f>IF(OR(A17="",B17=""),"",IFERROR(LOOKUP(2,1/(单次交易!$A$2:$A$201=A17),单次交易!$E$2:$E$201)*LOOKUP(2,1/(单次交易!$A$2:$A$201=A17),单次交易!$H$2:$H$201),0)+SUMIFS($H$2:$H$1001,$A$2:$A$1001,A17,$B$2:$B$1001,"&lt;"&amp;B17))</f>
        <v>78540</v>
      </c>
      <c r="K17" s="17">
        <f t="shared" si="1"/>
        <v>2460</v>
      </c>
      <c r="L17" s="18">
        <f t="shared" si="2"/>
        <v>3500</v>
      </c>
      <c r="M17" s="18">
        <f t="shared" si="3"/>
        <v>2000</v>
      </c>
      <c r="N17" s="18">
        <f t="shared" si="4"/>
        <v>2000</v>
      </c>
      <c r="O17" s="18">
        <f t="shared" si="5"/>
        <v>11000</v>
      </c>
      <c r="P17" s="17">
        <f t="shared" si="6"/>
        <v>8.90181818181818</v>
      </c>
      <c r="Q17" s="17">
        <f t="shared" si="7"/>
        <v>0</v>
      </c>
      <c r="R17" s="19" t="str">
        <f ca="1">IF(A17="","",IF(COUNTIF(_TradeIds,A17)=0,"违规：交易编号不存在",IF(OR(B17="",B17&lt;1,B17&gt;5,B17&lt;&gt;INT(B17)),"违规：加仓序号须为1到5的整数",IF(COUNTIFS($A$2:$A$1001,A17,$B$2:$B$1001,B17)&gt;1,"违规：同一交易的加仓序号重复",IF(OR(D17="",E17="",F17=""),"计划不完整：请填写加仓价、新止损价和风险预算",IF(OR(D17&lt;=0,E17&lt;=0,F17&lt;=0,D17&lt;=E17),"违规：加仓价必须高于新止损价，金额须大于0",IF(AND(B17&gt;1,COUNTIFS($A$2:$A$1001,A17,$B$2:$B$1001,B17-1,$G$2:$G$1001,"&gt;0")=0),"违规：须先完成上一次加仓",IF(AND(B17&gt;1,E17&lt;SUMIFS($E$2:$E$1001,$A$2:$A$1001,A17,$B$2:$B$1001,B17-1)),"违规：新止损价不得低于上一次",IF(AND(B17&gt;1,F17&gt;SUMIFS($F$2:$F$1001,$A$2:$A$1001,A17,$B$2:$B$1001,B17-1)),"违规：风险预算须逐次不增加",IF(OR(_LockStatus="已锁仓",_LockStatus="解锁信息不完整"),"违规：锁仓期间禁止加仓",IF(G17="","计划可执行：建议股数见N列",IF(OR(G17&lt;=0,G17&lt;&gt;INT(G17),MOD(G17,100)&lt;&gt;0),"违规：实际股数须为100股整数倍",IF(G17&gt;N17,"违规：实际股数超过风险或金字塔上限",IF(AND(B17&gt;1,G17&gt;SUMIFS($G$2:$G$1001,$A$2:$A$1001,A17,$B$2:$B$1001,B17-1)),"违规：加仓股数须逐次不增加",IF(Q17&gt;F17,"违规：止损风险超过本次预算","通过")))))))))))))))</f>
        <v>通过</v>
      </c>
    </row>
    <row r="18" ht="17" spans="1:18">
      <c r="A18" s="13">
        <v>10</v>
      </c>
      <c r="B18" s="14">
        <v>1</v>
      </c>
      <c r="C18" s="15">
        <v>43599</v>
      </c>
      <c r="D18" s="16">
        <v>9.39</v>
      </c>
      <c r="E18" s="16">
        <v>9</v>
      </c>
      <c r="F18" s="16">
        <v>1</v>
      </c>
      <c r="G18" s="14">
        <v>2000</v>
      </c>
      <c r="H18" s="17">
        <f t="shared" si="0"/>
        <v>18780</v>
      </c>
      <c r="I18" s="18">
        <f>IF(OR(A18="",B18=""),"",IFERROR(LOOKUP(2,1/(单次交易!$A$2:$A$201=A18),单次交易!$H$2:$H$201),0)+SUMIFS($G$2:$G$1001,$A$2:$A$1001,A18,$B$2:$B$1001,"&lt;"&amp;B18))</f>
        <v>2000</v>
      </c>
      <c r="J18" s="17">
        <f>IF(OR(A18="",B18=""),"",IFERROR(LOOKUP(2,1/(单次交易!$A$2:$A$201=A18),单次交易!$E$2:$E$201)*LOOKUP(2,1/(单次交易!$A$2:$A$201=A18),单次交易!$H$2:$H$201),0)+SUMIFS($H$2:$H$1001,$A$2:$A$1001,A18,$B$2:$B$1001,"&lt;"&amp;B18))</f>
        <v>18140</v>
      </c>
      <c r="K18" s="17">
        <f t="shared" si="1"/>
        <v>0</v>
      </c>
      <c r="L18" s="18">
        <f t="shared" si="2"/>
        <v>0</v>
      </c>
      <c r="M18" s="18">
        <f t="shared" si="3"/>
        <v>0</v>
      </c>
      <c r="N18" s="18">
        <f t="shared" si="4"/>
        <v>0</v>
      </c>
      <c r="O18" s="18">
        <f t="shared" si="5"/>
        <v>4000</v>
      </c>
      <c r="P18" s="17">
        <f t="shared" si="6"/>
        <v>9.23</v>
      </c>
      <c r="Q18" s="17">
        <f t="shared" si="7"/>
        <v>920</v>
      </c>
      <c r="R18" s="19" t="str">
        <f ca="1">IF(A18="","",IF(COUNTIF(_TradeIds,A18)=0,"违规：交易编号不存在",IF(OR(B18="",B18&lt;1,B18&gt;5,B18&lt;&gt;INT(B18)),"违规：加仓序号须为1到5的整数",IF(COUNTIFS($A$2:$A$1001,A18,$B$2:$B$1001,B18)&gt;1,"违规：同一交易的加仓序号重复",IF(OR(D18="",E18="",F18=""),"计划不完整：请填写加仓价、新止损价和风险预算",IF(OR(D18&lt;=0,E18&lt;=0,F18&lt;=0,D18&lt;=E18),"违规：加仓价必须高于新止损价，金额须大于0",IF(AND(B18&gt;1,COUNTIFS($A$2:$A$1001,A18,$B$2:$B$1001,B18-1,$G$2:$G$1001,"&gt;0")=0),"违规：须先完成上一次加仓",IF(AND(B18&gt;1,E18&lt;SUMIFS($E$2:$E$1001,$A$2:$A$1001,A18,$B$2:$B$1001,B18-1)),"违规：新止损价不得低于上一次",IF(AND(B18&gt;1,F18&gt;SUMIFS($F$2:$F$1001,$A$2:$A$1001,A18,$B$2:$B$1001,B18-1)),"违规：风险预算须逐次不增加",IF(OR(_LockStatus="已锁仓",_LockStatus="解锁信息不完整"),"违规：锁仓期间禁止加仓",IF(G18="","计划可执行：建议股数见N列",IF(OR(G18&lt;=0,G18&lt;&gt;INT(G18),MOD(G18,100)&lt;&gt;0),"违规：实际股数须为100股整数倍",IF(G18&gt;N18,"违规：实际股数超过风险或金字塔上限",IF(AND(B18&gt;1,G18&gt;SUMIFS($G$2:$G$1001,$A$2:$A$1001,A18,$B$2:$B$1001,B18-1)),"违规：加仓股数须逐次不增加",IF(Q18&gt;F18,"违规：止损风险超过本次预算","通过")))))))))))))))</f>
        <v>违规：实际股数超过风险或金字塔上限</v>
      </c>
    </row>
    <row r="19" ht="17" spans="1:18">
      <c r="A19" s="13">
        <v>11</v>
      </c>
      <c r="B19" s="14">
        <v>1</v>
      </c>
      <c r="C19" s="15">
        <v>43635</v>
      </c>
      <c r="D19" s="16">
        <v>9.12</v>
      </c>
      <c r="E19" s="16">
        <v>9</v>
      </c>
      <c r="F19" s="16">
        <v>1</v>
      </c>
      <c r="G19" s="14">
        <v>3000</v>
      </c>
      <c r="H19" s="17">
        <f t="shared" si="0"/>
        <v>27360</v>
      </c>
      <c r="I19" s="18">
        <f>IF(OR(A19="",B19=""),"",IFERROR(LOOKUP(2,1/(单次交易!$A$2:$A$201=A19),单次交易!$H$2:$H$201),0)+SUMIFS($G$2:$G$1001,$A$2:$A$1001,A19,$B$2:$B$1001,"&lt;"&amp;B19))</f>
        <v>4000</v>
      </c>
      <c r="J19" s="17">
        <f>IF(OR(A19="",B19=""),"",IFERROR(LOOKUP(2,1/(单次交易!$A$2:$A$201=A19),单次交易!$E$2:$E$201)*LOOKUP(2,1/(单次交易!$A$2:$A$201=A19),单次交易!$H$2:$H$201),0)+SUMIFS($H$2:$H$1001,$A$2:$A$1001,A19,$B$2:$B$1001,"&lt;"&amp;B19))</f>
        <v>35680</v>
      </c>
      <c r="K19" s="17">
        <f t="shared" si="1"/>
        <v>320</v>
      </c>
      <c r="L19" s="18">
        <f t="shared" si="2"/>
        <v>2600</v>
      </c>
      <c r="M19" s="18">
        <f t="shared" si="3"/>
        <v>2600</v>
      </c>
      <c r="N19" s="18">
        <f t="shared" si="4"/>
        <v>2600</v>
      </c>
      <c r="O19" s="18">
        <f t="shared" si="5"/>
        <v>7000</v>
      </c>
      <c r="P19" s="17">
        <f t="shared" si="6"/>
        <v>9.00571428571429</v>
      </c>
      <c r="Q19" s="17">
        <f t="shared" si="7"/>
        <v>40</v>
      </c>
      <c r="R19" s="19" t="str">
        <f ca="1">IF(A19="","",IF(COUNTIF(_TradeIds,A19)=0,"违规：交易编号不存在",IF(OR(B19="",B19&lt;1,B19&gt;5,B19&lt;&gt;INT(B19)),"违规：加仓序号须为1到5的整数",IF(COUNTIFS($A$2:$A$1001,A19,$B$2:$B$1001,B19)&gt;1,"违规：同一交易的加仓序号重复",IF(OR(D19="",E19="",F19=""),"计划不完整：请填写加仓价、新止损价和风险预算",IF(OR(D19&lt;=0,E19&lt;=0,F19&lt;=0,D19&lt;=E19),"违规：加仓价必须高于新止损价，金额须大于0",IF(AND(B19&gt;1,COUNTIFS($A$2:$A$1001,A19,$B$2:$B$1001,B19-1,$G$2:$G$1001,"&gt;0")=0),"违规：须先完成上一次加仓",IF(AND(B19&gt;1,E19&lt;SUMIFS($E$2:$E$1001,$A$2:$A$1001,A19,$B$2:$B$1001,B19-1)),"违规：新止损价不得低于上一次",IF(AND(B19&gt;1,F19&gt;SUMIFS($F$2:$F$1001,$A$2:$A$1001,A19,$B$2:$B$1001,B19-1)),"违规：风险预算须逐次不增加",IF(OR(_LockStatus="已锁仓",_LockStatus="解锁信息不完整"),"违规：锁仓期间禁止加仓",IF(G19="","计划可执行：建议股数见N列",IF(OR(G19&lt;=0,G19&lt;&gt;INT(G19),MOD(G19,100)&lt;&gt;0),"违规：实际股数须为100股整数倍",IF(G19&gt;N19,"违规：实际股数超过风险或金字塔上限",IF(AND(B19&gt;1,G19&gt;SUMIFS($G$2:$G$1001,$A$2:$A$1001,A19,$B$2:$B$1001,B19-1)),"违规：加仓股数须逐次不增加",IF(Q19&gt;F19,"违规：止损风险超过本次预算","通过")))))))))))))))</f>
        <v>违规：实际股数超过风险或金字塔上限</v>
      </c>
    </row>
    <row r="20" ht="17" spans="1:18">
      <c r="A20" s="13">
        <v>11</v>
      </c>
      <c r="B20" s="14">
        <v>2</v>
      </c>
      <c r="C20" s="15">
        <v>43644</v>
      </c>
      <c r="D20" s="16">
        <v>8.84</v>
      </c>
      <c r="E20" s="16">
        <v>8.5</v>
      </c>
      <c r="F20" s="16">
        <v>1</v>
      </c>
      <c r="G20" s="14">
        <v>3000</v>
      </c>
      <c r="H20" s="17">
        <f t="shared" si="0"/>
        <v>26520</v>
      </c>
      <c r="I20" s="18">
        <f>IF(OR(A20="",B20=""),"",IFERROR(LOOKUP(2,1/(单次交易!$A$2:$A$201=A20),单次交易!$H$2:$H$201),0)+SUMIFS($G$2:$G$1001,$A$2:$A$1001,A20,$B$2:$B$1001,"&lt;"&amp;B20))</f>
        <v>7000</v>
      </c>
      <c r="J20" s="17">
        <f>IF(OR(A20="",B20=""),"",IFERROR(LOOKUP(2,1/(单次交易!$A$2:$A$201=A20),单次交易!$E$2:$E$201)*LOOKUP(2,1/(单次交易!$A$2:$A$201=A20),单次交易!$H$2:$H$201),0)+SUMIFS($H$2:$H$1001,$A$2:$A$1001,A20,$B$2:$B$1001,"&lt;"&amp;B20))</f>
        <v>63040</v>
      </c>
      <c r="K20" s="17">
        <f t="shared" si="1"/>
        <v>0</v>
      </c>
      <c r="L20" s="18">
        <f t="shared" si="2"/>
        <v>0</v>
      </c>
      <c r="M20" s="18">
        <f t="shared" si="3"/>
        <v>3000</v>
      </c>
      <c r="N20" s="18">
        <f t="shared" si="4"/>
        <v>0</v>
      </c>
      <c r="O20" s="18">
        <f t="shared" si="5"/>
        <v>10000</v>
      </c>
      <c r="P20" s="17">
        <f t="shared" si="6"/>
        <v>8.956</v>
      </c>
      <c r="Q20" s="17">
        <f t="shared" si="7"/>
        <v>4560</v>
      </c>
      <c r="R20" s="19" t="str">
        <f ca="1">IF(A20="","",IF(COUNTIF(_TradeIds,A20)=0,"违规：交易编号不存在",IF(OR(B20="",B20&lt;1,B20&gt;5,B20&lt;&gt;INT(B20)),"违规：加仓序号须为1到5的整数",IF(COUNTIFS($A$2:$A$1001,A20,$B$2:$B$1001,B20)&gt;1,"违规：同一交易的加仓序号重复",IF(OR(D20="",E20="",F20=""),"计划不完整：请填写加仓价、新止损价和风险预算",IF(OR(D20&lt;=0,E20&lt;=0,F20&lt;=0,D20&lt;=E20),"违规：加仓价必须高于新止损价，金额须大于0",IF(AND(B20&gt;1,COUNTIFS($A$2:$A$1001,A20,$B$2:$B$1001,B20-1,$G$2:$G$1001,"&gt;0")=0),"违规：须先完成上一次加仓",IF(AND(B20&gt;1,E20&lt;SUMIFS($E$2:$E$1001,$A$2:$A$1001,A20,$B$2:$B$1001,B20-1)),"违规：新止损价不得低于上一次",IF(AND(B20&gt;1,F20&gt;SUMIFS($F$2:$F$1001,$A$2:$A$1001,A20,$B$2:$B$1001,B20-1)),"违规：风险预算须逐次不增加",IF(OR(_LockStatus="已锁仓",_LockStatus="解锁信息不完整"),"违规：锁仓期间禁止加仓",IF(G20="","计划可执行：建议股数见N列",IF(OR(G20&lt;=0,G20&lt;&gt;INT(G20),MOD(G20,100)&lt;&gt;0),"违规：实际股数须为100股整数倍",IF(G20&gt;N20,"违规：实际股数超过风险或金字塔上限",IF(AND(B20&gt;1,G20&gt;SUMIFS($G$2:$G$1001,$A$2:$A$1001,A20,$B$2:$B$1001,B20-1)),"违规：加仓股数须逐次不增加",IF(Q20&gt;F20,"违规：止损风险超过本次预算","通过")))))))))))))))</f>
        <v>违规：新止损价不得低于上一次</v>
      </c>
    </row>
    <row r="21" ht="17" spans="1:18">
      <c r="A21" s="13">
        <v>11</v>
      </c>
      <c r="B21" s="14">
        <v>3</v>
      </c>
      <c r="C21" s="15">
        <v>43651</v>
      </c>
      <c r="D21" s="16">
        <v>10.27</v>
      </c>
      <c r="E21" s="16">
        <v>9.5</v>
      </c>
      <c r="F21" s="16">
        <v>1</v>
      </c>
      <c r="G21" s="14">
        <v>2000</v>
      </c>
      <c r="H21" s="17">
        <f t="shared" si="0"/>
        <v>20540</v>
      </c>
      <c r="I21" s="18">
        <f>IF(OR(A21="",B21=""),"",IFERROR(LOOKUP(2,1/(单次交易!$A$2:$A$201=A21),单次交易!$H$2:$H$201),0)+SUMIFS($G$2:$G$1001,$A$2:$A$1001,A21,$B$2:$B$1001,"&lt;"&amp;B21))</f>
        <v>10000</v>
      </c>
      <c r="J21" s="17">
        <f>IF(OR(A21="",B21=""),"",IFERROR(LOOKUP(2,1/(单次交易!$A$2:$A$201=A21),单次交易!$E$2:$E$201)*LOOKUP(2,1/(单次交易!$A$2:$A$201=A21),单次交易!$H$2:$H$201),0)+SUMIFS($H$2:$H$1001,$A$2:$A$1001,A21,$B$2:$B$1001,"&lt;"&amp;B21))</f>
        <v>89560</v>
      </c>
      <c r="K21" s="17">
        <f t="shared" si="1"/>
        <v>5440</v>
      </c>
      <c r="L21" s="18">
        <f t="shared" si="2"/>
        <v>7000</v>
      </c>
      <c r="M21" s="18">
        <f t="shared" si="3"/>
        <v>3000</v>
      </c>
      <c r="N21" s="18">
        <f t="shared" si="4"/>
        <v>3000</v>
      </c>
      <c r="O21" s="18">
        <f t="shared" si="5"/>
        <v>12000</v>
      </c>
      <c r="P21" s="17">
        <f t="shared" si="6"/>
        <v>9.175</v>
      </c>
      <c r="Q21" s="17">
        <f t="shared" si="7"/>
        <v>0</v>
      </c>
      <c r="R21" s="19" t="str">
        <f ca="1">IF(A21="","",IF(COUNTIF(_TradeIds,A21)=0,"违规：交易编号不存在",IF(OR(B21="",B21&lt;1,B21&gt;5,B21&lt;&gt;INT(B21)),"违规：加仓序号须为1到5的整数",IF(COUNTIFS($A$2:$A$1001,A21,$B$2:$B$1001,B21)&gt;1,"违规：同一交易的加仓序号重复",IF(OR(D21="",E21="",F21=""),"计划不完整：请填写加仓价、新止损价和风险预算",IF(OR(D21&lt;=0,E21&lt;=0,F21&lt;=0,D21&lt;=E21),"违规：加仓价必须高于新止损价，金额须大于0",IF(AND(B21&gt;1,COUNTIFS($A$2:$A$1001,A21,$B$2:$B$1001,B21-1,$G$2:$G$1001,"&gt;0")=0),"违规：须先完成上一次加仓",IF(AND(B21&gt;1,E21&lt;SUMIFS($E$2:$E$1001,$A$2:$A$1001,A21,$B$2:$B$1001,B21-1)),"违规：新止损价不得低于上一次",IF(AND(B21&gt;1,F21&gt;SUMIFS($F$2:$F$1001,$A$2:$A$1001,A21,$B$2:$B$1001,B21-1)),"违规：风险预算须逐次不增加",IF(OR(_LockStatus="已锁仓",_LockStatus="解锁信息不完整"),"违规：锁仓期间禁止加仓",IF(G21="","计划可执行：建议股数见N列",IF(OR(G21&lt;=0,G21&lt;&gt;INT(G21),MOD(G21,100)&lt;&gt;0),"违规：实际股数须为100股整数倍",IF(G21&gt;N21,"违规：实际股数超过风险或金字塔上限",IF(AND(B21&gt;1,G21&gt;SUMIFS($G$2:$G$1001,$A$2:$A$1001,A21,$B$2:$B$1001,B21-1)),"违规：加仓股数须逐次不增加",IF(Q21&gt;F21,"违规：止损风险超过本次预算","通过")))))))))))))))</f>
        <v>通过</v>
      </c>
    </row>
    <row r="22" ht="17" spans="1:18">
      <c r="A22" s="13">
        <v>11</v>
      </c>
      <c r="B22" s="14">
        <v>4</v>
      </c>
      <c r="C22" s="15">
        <v>43661</v>
      </c>
      <c r="D22" s="16">
        <v>9.84</v>
      </c>
      <c r="E22" s="16">
        <v>9.5</v>
      </c>
      <c r="F22" s="16">
        <v>1</v>
      </c>
      <c r="G22" s="14">
        <v>3000</v>
      </c>
      <c r="H22" s="17">
        <f t="shared" si="0"/>
        <v>29520</v>
      </c>
      <c r="I22" s="18">
        <f>IF(OR(A22="",B22=""),"",IFERROR(LOOKUP(2,1/(单次交易!$A$2:$A$201=A22),单次交易!$H$2:$H$201),0)+SUMIFS($G$2:$G$1001,$A$2:$A$1001,A22,$B$2:$B$1001,"&lt;"&amp;B22))</f>
        <v>12000</v>
      </c>
      <c r="J22" s="17">
        <f>IF(OR(A22="",B22=""),"",IFERROR(LOOKUP(2,1/(单次交易!$A$2:$A$201=A22),单次交易!$E$2:$E$201)*LOOKUP(2,1/(单次交易!$A$2:$A$201=A22),单次交易!$H$2:$H$201),0)+SUMIFS($H$2:$H$1001,$A$2:$A$1001,A22,$B$2:$B$1001,"&lt;"&amp;B22))</f>
        <v>110100</v>
      </c>
      <c r="K22" s="17">
        <f t="shared" si="1"/>
        <v>3900</v>
      </c>
      <c r="L22" s="18">
        <f t="shared" si="2"/>
        <v>11400</v>
      </c>
      <c r="M22" s="18">
        <f t="shared" si="3"/>
        <v>2000</v>
      </c>
      <c r="N22" s="18">
        <f t="shared" si="4"/>
        <v>2000</v>
      </c>
      <c r="O22" s="18">
        <f t="shared" si="5"/>
        <v>15000</v>
      </c>
      <c r="P22" s="17">
        <f t="shared" si="6"/>
        <v>9.308</v>
      </c>
      <c r="Q22" s="17">
        <f t="shared" si="7"/>
        <v>0</v>
      </c>
      <c r="R22" s="19" t="str">
        <f ca="1">IF(A22="","",IF(COUNTIF(_TradeIds,A22)=0,"违规：交易编号不存在",IF(OR(B22="",B22&lt;1,B22&gt;5,B22&lt;&gt;INT(B22)),"违规：加仓序号须为1到5的整数",IF(COUNTIFS($A$2:$A$1001,A22,$B$2:$B$1001,B22)&gt;1,"违规：同一交易的加仓序号重复",IF(OR(D22="",E22="",F22=""),"计划不完整：请填写加仓价、新止损价和风险预算",IF(OR(D22&lt;=0,E22&lt;=0,F22&lt;=0,D22&lt;=E22),"违规：加仓价必须高于新止损价，金额须大于0",IF(AND(B22&gt;1,COUNTIFS($A$2:$A$1001,A22,$B$2:$B$1001,B22-1,$G$2:$G$1001,"&gt;0")=0),"违规：须先完成上一次加仓",IF(AND(B22&gt;1,E22&lt;SUMIFS($E$2:$E$1001,$A$2:$A$1001,A22,$B$2:$B$1001,B22-1)),"违规：新止损价不得低于上一次",IF(AND(B22&gt;1,F22&gt;SUMIFS($F$2:$F$1001,$A$2:$A$1001,A22,$B$2:$B$1001,B22-1)),"违规：风险预算须逐次不增加",IF(OR(_LockStatus="已锁仓",_LockStatus="解锁信息不完整"),"违规：锁仓期间禁止加仓",IF(G22="","计划可执行：建议股数见N列",IF(OR(G22&lt;=0,G22&lt;&gt;INT(G22),MOD(G22,100)&lt;&gt;0),"违规：实际股数须为100股整数倍",IF(G22&gt;N22,"违规：实际股数超过风险或金字塔上限",IF(AND(B22&gt;1,G22&gt;SUMIFS($G$2:$G$1001,$A$2:$A$1001,A22,$B$2:$B$1001,B22-1)),"违规：加仓股数须逐次不增加",IF(Q22&gt;F22,"违规：止损风险超过本次预算","通过")))))))))))))))</f>
        <v>违规：实际股数超过风险或金字塔上限</v>
      </c>
    </row>
    <row r="23" ht="17" spans="1:18">
      <c r="A23" s="13">
        <v>13</v>
      </c>
      <c r="B23" s="14">
        <v>1</v>
      </c>
      <c r="C23" s="15">
        <v>43805</v>
      </c>
      <c r="D23" s="16">
        <v>11.45</v>
      </c>
      <c r="E23" s="16">
        <v>11</v>
      </c>
      <c r="F23" s="16">
        <v>1</v>
      </c>
      <c r="G23" s="14">
        <v>3000</v>
      </c>
      <c r="H23" s="17">
        <f t="shared" si="0"/>
        <v>34350</v>
      </c>
      <c r="I23" s="18">
        <f>IF(OR(A23="",B23=""),"",IFERROR(LOOKUP(2,1/(单次交易!$A$2:$A$201=A23),单次交易!$H$2:$H$201),0)+SUMIFS($G$2:$G$1001,$A$2:$A$1001,A23,$B$2:$B$1001,"&lt;"&amp;B23))</f>
        <v>7900</v>
      </c>
      <c r="J23" s="17">
        <f>IF(OR(A23="",B23=""),"",IFERROR(LOOKUP(2,1/(单次交易!$A$2:$A$201=A23),单次交易!$E$2:$E$201)*LOOKUP(2,1/(单次交易!$A$2:$A$201=A23),单次交易!$H$2:$H$201),0)+SUMIFS($H$2:$H$1001,$A$2:$A$1001,A23,$B$2:$B$1001,"&lt;"&amp;B23))</f>
        <v>90455</v>
      </c>
      <c r="K23" s="17">
        <f t="shared" si="1"/>
        <v>0</v>
      </c>
      <c r="L23" s="18">
        <f t="shared" si="2"/>
        <v>0</v>
      </c>
      <c r="M23" s="18">
        <f t="shared" si="3"/>
        <v>0</v>
      </c>
      <c r="N23" s="18">
        <f t="shared" si="4"/>
        <v>0</v>
      </c>
      <c r="O23" s="18">
        <f t="shared" si="5"/>
        <v>10900</v>
      </c>
      <c r="P23" s="17">
        <f t="shared" si="6"/>
        <v>11.45</v>
      </c>
      <c r="Q23" s="17">
        <f t="shared" si="7"/>
        <v>4905</v>
      </c>
      <c r="R23" s="19" t="str">
        <f ca="1">IF(A23="","",IF(COUNTIF(_TradeIds,A23)=0,"违规：交易编号不存在",IF(OR(B23="",B23&lt;1,B23&gt;5,B23&lt;&gt;INT(B23)),"违规：加仓序号须为1到5的整数",IF(COUNTIFS($A$2:$A$1001,A23,$B$2:$B$1001,B23)&gt;1,"违规：同一交易的加仓序号重复",IF(OR(D23="",E23="",F23=""),"计划不完整：请填写加仓价、新止损价和风险预算",IF(OR(D23&lt;=0,E23&lt;=0,F23&lt;=0,D23&lt;=E23),"违规：加仓价必须高于新止损价，金额须大于0",IF(AND(B23&gt;1,COUNTIFS($A$2:$A$1001,A23,$B$2:$B$1001,B23-1,$G$2:$G$1001,"&gt;0")=0),"违规：须先完成上一次加仓",IF(AND(B23&gt;1,E23&lt;SUMIFS($E$2:$E$1001,$A$2:$A$1001,A23,$B$2:$B$1001,B23-1)),"违规：新止损价不得低于上一次",IF(AND(B23&gt;1,F23&gt;SUMIFS($F$2:$F$1001,$A$2:$A$1001,A23,$B$2:$B$1001,B23-1)),"违规：风险预算须逐次不增加",IF(OR(_LockStatus="已锁仓",_LockStatus="解锁信息不完整"),"违规：锁仓期间禁止加仓",IF(G23="","计划可执行：建议股数见N列",IF(OR(G23&lt;=0,G23&lt;&gt;INT(G23),MOD(G23,100)&lt;&gt;0),"违规：实际股数须为100股整数倍",IF(G23&gt;N23,"违规：实际股数超过风险或金字塔上限",IF(AND(B23&gt;1,G23&gt;SUMIFS($G$2:$G$1001,$A$2:$A$1001,A23,$B$2:$B$1001,B23-1)),"违规：加仓股数须逐次不增加",IF(Q23&gt;F23,"违规：止损风险超过本次预算","通过")))))))))))))))</f>
        <v>违规：实际股数超过风险或金字塔上限</v>
      </c>
    </row>
    <row r="24" ht="17" spans="1:18">
      <c r="A24" s="13">
        <v>13</v>
      </c>
      <c r="B24" s="14">
        <v>2</v>
      </c>
      <c r="C24" s="15">
        <v>43812</v>
      </c>
      <c r="D24" s="16">
        <v>11.64</v>
      </c>
      <c r="E24" s="16">
        <v>11</v>
      </c>
      <c r="F24" s="16">
        <v>1</v>
      </c>
      <c r="G24" s="14">
        <v>1000</v>
      </c>
      <c r="H24" s="17">
        <f t="shared" si="0"/>
        <v>11640</v>
      </c>
      <c r="I24" s="18">
        <f>IF(OR(A24="",B24=""),"",IFERROR(LOOKUP(2,1/(单次交易!$A$2:$A$201=A24),单次交易!$H$2:$H$201),0)+SUMIFS($G$2:$G$1001,$A$2:$A$1001,A24,$B$2:$B$1001,"&lt;"&amp;B24))</f>
        <v>10900</v>
      </c>
      <c r="J24" s="17">
        <f>IF(OR(A24="",B24=""),"",IFERROR(LOOKUP(2,1/(单次交易!$A$2:$A$201=A24),单次交易!$E$2:$E$201)*LOOKUP(2,1/(单次交易!$A$2:$A$201=A24),单次交易!$H$2:$H$201),0)+SUMIFS($H$2:$H$1001,$A$2:$A$1001,A24,$B$2:$B$1001,"&lt;"&amp;B24))</f>
        <v>124805</v>
      </c>
      <c r="K24" s="17">
        <f t="shared" si="1"/>
        <v>0</v>
      </c>
      <c r="L24" s="18">
        <f t="shared" si="2"/>
        <v>0</v>
      </c>
      <c r="M24" s="18">
        <f t="shared" si="3"/>
        <v>3000</v>
      </c>
      <c r="N24" s="18">
        <f t="shared" si="4"/>
        <v>0</v>
      </c>
      <c r="O24" s="18">
        <f t="shared" si="5"/>
        <v>11900</v>
      </c>
      <c r="P24" s="17">
        <f t="shared" si="6"/>
        <v>11.4659663865546</v>
      </c>
      <c r="Q24" s="17">
        <f t="shared" si="7"/>
        <v>5545</v>
      </c>
      <c r="R24" s="19" t="str">
        <f ca="1">IF(A24="","",IF(COUNTIF(_TradeIds,A24)=0,"违规：交易编号不存在",IF(OR(B24="",B24&lt;1,B24&gt;5,B24&lt;&gt;INT(B24)),"违规：加仓序号须为1到5的整数",IF(COUNTIFS($A$2:$A$1001,A24,$B$2:$B$1001,B24)&gt;1,"违规：同一交易的加仓序号重复",IF(OR(D24="",E24="",F24=""),"计划不完整：请填写加仓价、新止损价和风险预算",IF(OR(D24&lt;=0,E24&lt;=0,F24&lt;=0,D24&lt;=E24),"违规：加仓价必须高于新止损价，金额须大于0",IF(AND(B24&gt;1,COUNTIFS($A$2:$A$1001,A24,$B$2:$B$1001,B24-1,$G$2:$G$1001,"&gt;0")=0),"违规：须先完成上一次加仓",IF(AND(B24&gt;1,E24&lt;SUMIFS($E$2:$E$1001,$A$2:$A$1001,A24,$B$2:$B$1001,B24-1)),"违规：新止损价不得低于上一次",IF(AND(B24&gt;1,F24&gt;SUMIFS($F$2:$F$1001,$A$2:$A$1001,A24,$B$2:$B$1001,B24-1)),"违规：风险预算须逐次不增加",IF(OR(_LockStatus="已锁仓",_LockStatus="解锁信息不完整"),"违规：锁仓期间禁止加仓",IF(G24="","计划可执行：建议股数见N列",IF(OR(G24&lt;=0,G24&lt;&gt;INT(G24),MOD(G24,100)&lt;&gt;0),"违规：实际股数须为100股整数倍",IF(G24&gt;N24,"违规：实际股数超过风险或金字塔上限",IF(AND(B24&gt;1,G24&gt;SUMIFS($G$2:$G$1001,$A$2:$A$1001,A24,$B$2:$B$1001,B24-1)),"违规：加仓股数须逐次不增加",IF(Q24&gt;F24,"违规：止损风险超过本次预算","通过")))))))))))))))</f>
        <v>违规：实际股数超过风险或金字塔上限</v>
      </c>
    </row>
    <row r="25" ht="17" spans="1:18">
      <c r="A25" s="13">
        <v>13</v>
      </c>
      <c r="B25" s="14">
        <v>3</v>
      </c>
      <c r="C25" s="15">
        <v>43830</v>
      </c>
      <c r="D25" s="16">
        <v>12.09</v>
      </c>
      <c r="E25" s="16">
        <v>11.5</v>
      </c>
      <c r="F25" s="16">
        <v>1</v>
      </c>
      <c r="G25" s="14">
        <v>3000</v>
      </c>
      <c r="H25" s="17">
        <f t="shared" si="0"/>
        <v>36270</v>
      </c>
      <c r="I25" s="18">
        <f>IF(OR(A25="",B25=""),"",IFERROR(LOOKUP(2,1/(单次交易!$A$2:$A$201=A25),单次交易!$H$2:$H$201),0)+SUMIFS($G$2:$G$1001,$A$2:$A$1001,A25,$B$2:$B$1001,"&lt;"&amp;B25))</f>
        <v>11900</v>
      </c>
      <c r="J25" s="17">
        <f>IF(OR(A25="",B25=""),"",IFERROR(LOOKUP(2,1/(单次交易!$A$2:$A$201=A25),单次交易!$E$2:$E$201)*LOOKUP(2,1/(单次交易!$A$2:$A$201=A25),单次交易!$H$2:$H$201),0)+SUMIFS($H$2:$H$1001,$A$2:$A$1001,A25,$B$2:$B$1001,"&lt;"&amp;B25))</f>
        <v>136445</v>
      </c>
      <c r="K25" s="17">
        <f t="shared" si="1"/>
        <v>405</v>
      </c>
      <c r="L25" s="18">
        <f t="shared" si="2"/>
        <v>600</v>
      </c>
      <c r="M25" s="18">
        <f t="shared" si="3"/>
        <v>1000</v>
      </c>
      <c r="N25" s="18">
        <f t="shared" si="4"/>
        <v>600</v>
      </c>
      <c r="O25" s="18">
        <f t="shared" si="5"/>
        <v>14900</v>
      </c>
      <c r="P25" s="17">
        <f t="shared" si="6"/>
        <v>11.591610738255</v>
      </c>
      <c r="Q25" s="17">
        <f t="shared" si="7"/>
        <v>1365</v>
      </c>
      <c r="R25" s="19" t="str">
        <f ca="1">IF(A25="","",IF(COUNTIF(_TradeIds,A25)=0,"违规：交易编号不存在",IF(OR(B25="",B25&lt;1,B25&gt;5,B25&lt;&gt;INT(B25)),"违规：加仓序号须为1到5的整数",IF(COUNTIFS($A$2:$A$1001,A25,$B$2:$B$1001,B25)&gt;1,"违规：同一交易的加仓序号重复",IF(OR(D25="",E25="",F25=""),"计划不完整：请填写加仓价、新止损价和风险预算",IF(OR(D25&lt;=0,E25&lt;=0,F25&lt;=0,D25&lt;=E25),"违规：加仓价必须高于新止损价，金额须大于0",IF(AND(B25&gt;1,COUNTIFS($A$2:$A$1001,A25,$B$2:$B$1001,B25-1,$G$2:$G$1001,"&gt;0")=0),"违规：须先完成上一次加仓",IF(AND(B25&gt;1,E25&lt;SUMIFS($E$2:$E$1001,$A$2:$A$1001,A25,$B$2:$B$1001,B25-1)),"违规：新止损价不得低于上一次",IF(AND(B25&gt;1,F25&gt;SUMIFS($F$2:$F$1001,$A$2:$A$1001,A25,$B$2:$B$1001,B25-1)),"违规：风险预算须逐次不增加",IF(OR(_LockStatus="已锁仓",_LockStatus="解锁信息不完整"),"违规：锁仓期间禁止加仓",IF(G25="","计划可执行：建议股数见N列",IF(OR(G25&lt;=0,G25&lt;&gt;INT(G25),MOD(G25,100)&lt;&gt;0),"违规：实际股数须为100股整数倍",IF(G25&gt;N25,"违规：实际股数超过风险或金字塔上限",IF(AND(B25&gt;1,G25&gt;SUMIFS($G$2:$G$1001,$A$2:$A$1001,A25,$B$2:$B$1001,B25-1)),"违规：加仓股数须逐次不增加",IF(Q25&gt;F25,"违规：止损风险超过本次预算","通过")))))))))))))))</f>
        <v>违规：实际股数超过风险或金字塔上限</v>
      </c>
    </row>
    <row r="26" ht="17" spans="1:18">
      <c r="A26" s="13">
        <v>14</v>
      </c>
      <c r="B26" s="14">
        <v>1</v>
      </c>
      <c r="C26" s="15">
        <v>43917</v>
      </c>
      <c r="D26" s="16">
        <v>13.85</v>
      </c>
      <c r="E26" s="16">
        <v>13</v>
      </c>
      <c r="F26" s="16">
        <v>1</v>
      </c>
      <c r="G26" s="14">
        <v>2000</v>
      </c>
      <c r="H26" s="17">
        <f t="shared" si="0"/>
        <v>27700</v>
      </c>
      <c r="I26" s="18">
        <f>IF(OR(A26="",B26=""),"",IFERROR(LOOKUP(2,1/(单次交易!$A$2:$A$201=A26),单次交易!$H$2:$H$201),0)+SUMIFS($G$2:$G$1001,$A$2:$A$1001,A26,$B$2:$B$1001,"&lt;"&amp;B26))</f>
        <v>2000</v>
      </c>
      <c r="J26" s="17">
        <f>IF(OR(A26="",B26=""),"",IFERROR(LOOKUP(2,1/(单次交易!$A$2:$A$201=A26),单次交易!$E$2:$E$201)*LOOKUP(2,1/(单次交易!$A$2:$A$201=A26),单次交易!$H$2:$H$201),0)+SUMIFS($H$2:$H$1001,$A$2:$A$1001,A26,$B$2:$B$1001,"&lt;"&amp;B26))</f>
        <v>27260</v>
      </c>
      <c r="K26" s="17">
        <f t="shared" si="1"/>
        <v>0</v>
      </c>
      <c r="L26" s="18">
        <f t="shared" si="2"/>
        <v>0</v>
      </c>
      <c r="M26" s="18">
        <f t="shared" si="3"/>
        <v>0</v>
      </c>
      <c r="N26" s="18">
        <f t="shared" si="4"/>
        <v>0</v>
      </c>
      <c r="O26" s="18">
        <f t="shared" si="5"/>
        <v>4000</v>
      </c>
      <c r="P26" s="17">
        <f t="shared" si="6"/>
        <v>13.74</v>
      </c>
      <c r="Q26" s="17">
        <f t="shared" si="7"/>
        <v>2960</v>
      </c>
      <c r="R26" s="19" t="str">
        <f ca="1">IF(A26="","",IF(COUNTIF(_TradeIds,A26)=0,"违规：交易编号不存在",IF(OR(B26="",B26&lt;1,B26&gt;5,B26&lt;&gt;INT(B26)),"违规：加仓序号须为1到5的整数",IF(COUNTIFS($A$2:$A$1001,A26,$B$2:$B$1001,B26)&gt;1,"违规：同一交易的加仓序号重复",IF(OR(D26="",E26="",F26=""),"计划不完整：请填写加仓价、新止损价和风险预算",IF(OR(D26&lt;=0,E26&lt;=0,F26&lt;=0,D26&lt;=E26),"违规：加仓价必须高于新止损价，金额须大于0",IF(AND(B26&gt;1,COUNTIFS($A$2:$A$1001,A26,$B$2:$B$1001,B26-1,$G$2:$G$1001,"&gt;0")=0),"违规：须先完成上一次加仓",IF(AND(B26&gt;1,E26&lt;SUMIFS($E$2:$E$1001,$A$2:$A$1001,A26,$B$2:$B$1001,B26-1)),"违规：新止损价不得低于上一次",IF(AND(B26&gt;1,F26&gt;SUMIFS($F$2:$F$1001,$A$2:$A$1001,A26,$B$2:$B$1001,B26-1)),"违规：风险预算须逐次不增加",IF(OR(_LockStatus="已锁仓",_LockStatus="解锁信息不完整"),"违规：锁仓期间禁止加仓",IF(G26="","计划可执行：建议股数见N列",IF(OR(G26&lt;=0,G26&lt;&gt;INT(G26),MOD(G26,100)&lt;&gt;0),"违规：实际股数须为100股整数倍",IF(G26&gt;N26,"违规：实际股数超过风险或金字塔上限",IF(AND(B26&gt;1,G26&gt;SUMIFS($G$2:$G$1001,$A$2:$A$1001,A26,$B$2:$B$1001,B26-1)),"违规：加仓股数须逐次不增加",IF(Q26&gt;F26,"违规：止损风险超过本次预算","通过")))))))))))))))</f>
        <v>违规：实际股数超过风险或金字塔上限</v>
      </c>
    </row>
    <row r="27" ht="17" spans="1:18">
      <c r="A27" s="13">
        <v>14</v>
      </c>
      <c r="B27" s="14">
        <v>2</v>
      </c>
      <c r="C27" s="15">
        <v>43921</v>
      </c>
      <c r="D27" s="16">
        <v>14.89</v>
      </c>
      <c r="E27" s="16">
        <v>13.5</v>
      </c>
      <c r="F27" s="16">
        <v>1</v>
      </c>
      <c r="G27" s="14">
        <v>2000</v>
      </c>
      <c r="H27" s="17">
        <f t="shared" si="0"/>
        <v>29780</v>
      </c>
      <c r="I27" s="18">
        <f>IF(OR(A27="",B27=""),"",IFERROR(LOOKUP(2,1/(单次交易!$A$2:$A$201=A27),单次交易!$H$2:$H$201),0)+SUMIFS($G$2:$G$1001,$A$2:$A$1001,A27,$B$2:$B$1001,"&lt;"&amp;B27))</f>
        <v>4000</v>
      </c>
      <c r="J27" s="17">
        <f>IF(OR(A27="",B27=""),"",IFERROR(LOOKUP(2,1/(单次交易!$A$2:$A$201=A27),单次交易!$E$2:$E$201)*LOOKUP(2,1/(单次交易!$A$2:$A$201=A27),单次交易!$H$2:$H$201),0)+SUMIFS($H$2:$H$1001,$A$2:$A$1001,A27,$B$2:$B$1001,"&lt;"&amp;B27))</f>
        <v>54960</v>
      </c>
      <c r="K27" s="17">
        <f t="shared" si="1"/>
        <v>0</v>
      </c>
      <c r="L27" s="18">
        <f t="shared" si="2"/>
        <v>0</v>
      </c>
      <c r="M27" s="18">
        <f t="shared" si="3"/>
        <v>2000</v>
      </c>
      <c r="N27" s="18">
        <f t="shared" si="4"/>
        <v>0</v>
      </c>
      <c r="O27" s="18">
        <f t="shared" si="5"/>
        <v>6000</v>
      </c>
      <c r="P27" s="17">
        <f t="shared" si="6"/>
        <v>14.1233333333333</v>
      </c>
      <c r="Q27" s="17">
        <f t="shared" si="7"/>
        <v>3740</v>
      </c>
      <c r="R27" s="19" t="str">
        <f ca="1">IF(A27="","",IF(COUNTIF(_TradeIds,A27)=0,"违规：交易编号不存在",IF(OR(B27="",B27&lt;1,B27&gt;5,B27&lt;&gt;INT(B27)),"违规：加仓序号须为1到5的整数",IF(COUNTIFS($A$2:$A$1001,A27,$B$2:$B$1001,B27)&gt;1,"违规：同一交易的加仓序号重复",IF(OR(D27="",E27="",F27=""),"计划不完整：请填写加仓价、新止损价和风险预算",IF(OR(D27&lt;=0,E27&lt;=0,F27&lt;=0,D27&lt;=E27),"违规：加仓价必须高于新止损价，金额须大于0",IF(AND(B27&gt;1,COUNTIFS($A$2:$A$1001,A27,$B$2:$B$1001,B27-1,$G$2:$G$1001,"&gt;0")=0),"违规：须先完成上一次加仓",IF(AND(B27&gt;1,E27&lt;SUMIFS($E$2:$E$1001,$A$2:$A$1001,A27,$B$2:$B$1001,B27-1)),"违规：新止损价不得低于上一次",IF(AND(B27&gt;1,F27&gt;SUMIFS($F$2:$F$1001,$A$2:$A$1001,A27,$B$2:$B$1001,B27-1)),"违规：风险预算须逐次不增加",IF(OR(_LockStatus="已锁仓",_LockStatus="解锁信息不完整"),"违规：锁仓期间禁止加仓",IF(G27="","计划可执行：建议股数见N列",IF(OR(G27&lt;=0,G27&lt;&gt;INT(G27),MOD(G27,100)&lt;&gt;0),"违规：实际股数须为100股整数倍",IF(G27&gt;N27,"违规：实际股数超过风险或金字塔上限",IF(AND(B27&gt;1,G27&gt;SUMIFS($G$2:$G$1001,$A$2:$A$1001,A27,$B$2:$B$1001,B27-1)),"违规：加仓股数须逐次不增加",IF(Q27&gt;F27,"违规：止损风险超过本次预算","通过")))))))))))))))</f>
        <v>违规：实际股数超过风险或金字塔上限</v>
      </c>
    </row>
    <row r="28" ht="17" spans="1:18">
      <c r="A28" s="13">
        <v>14</v>
      </c>
      <c r="B28" s="14">
        <v>3</v>
      </c>
      <c r="C28" s="15">
        <v>43924</v>
      </c>
      <c r="D28" s="16">
        <v>14.74</v>
      </c>
      <c r="E28" s="16">
        <v>13.5</v>
      </c>
      <c r="F28" s="16">
        <v>1</v>
      </c>
      <c r="G28" s="14">
        <v>2000</v>
      </c>
      <c r="H28" s="17">
        <f t="shared" si="0"/>
        <v>29480</v>
      </c>
      <c r="I28" s="18">
        <f>IF(OR(A28="",B28=""),"",IFERROR(LOOKUP(2,1/(单次交易!$A$2:$A$201=A28),单次交易!$H$2:$H$201),0)+SUMIFS($G$2:$G$1001,$A$2:$A$1001,A28,$B$2:$B$1001,"&lt;"&amp;B28))</f>
        <v>6000</v>
      </c>
      <c r="J28" s="17">
        <f>IF(OR(A28="",B28=""),"",IFERROR(LOOKUP(2,1/(单次交易!$A$2:$A$201=A28),单次交易!$E$2:$E$201)*LOOKUP(2,1/(单次交易!$A$2:$A$201=A28),单次交易!$H$2:$H$201),0)+SUMIFS($H$2:$H$1001,$A$2:$A$1001,A28,$B$2:$B$1001,"&lt;"&amp;B28))</f>
        <v>84740</v>
      </c>
      <c r="K28" s="17">
        <f t="shared" si="1"/>
        <v>0</v>
      </c>
      <c r="L28" s="18">
        <f t="shared" si="2"/>
        <v>0</v>
      </c>
      <c r="M28" s="18">
        <f t="shared" si="3"/>
        <v>2000</v>
      </c>
      <c r="N28" s="18">
        <f t="shared" si="4"/>
        <v>0</v>
      </c>
      <c r="O28" s="18">
        <f t="shared" si="5"/>
        <v>8000</v>
      </c>
      <c r="P28" s="17">
        <f t="shared" si="6"/>
        <v>14.2775</v>
      </c>
      <c r="Q28" s="17">
        <f t="shared" si="7"/>
        <v>6220</v>
      </c>
      <c r="R28" s="19" t="str">
        <f ca="1">IF(A28="","",IF(COUNTIF(_TradeIds,A28)=0,"违规：交易编号不存在",IF(OR(B28="",B28&lt;1,B28&gt;5,B28&lt;&gt;INT(B28)),"违规：加仓序号须为1到5的整数",IF(COUNTIFS($A$2:$A$1001,A28,$B$2:$B$1001,B28)&gt;1,"违规：同一交易的加仓序号重复",IF(OR(D28="",E28="",F28=""),"计划不完整：请填写加仓价、新止损价和风险预算",IF(OR(D28&lt;=0,E28&lt;=0,F28&lt;=0,D28&lt;=E28),"违规：加仓价必须高于新止损价，金额须大于0",IF(AND(B28&gt;1,COUNTIFS($A$2:$A$1001,A28,$B$2:$B$1001,B28-1,$G$2:$G$1001,"&gt;0")=0),"违规：须先完成上一次加仓",IF(AND(B28&gt;1,E28&lt;SUMIFS($E$2:$E$1001,$A$2:$A$1001,A28,$B$2:$B$1001,B28-1)),"违规：新止损价不得低于上一次",IF(AND(B28&gt;1,F28&gt;SUMIFS($F$2:$F$1001,$A$2:$A$1001,A28,$B$2:$B$1001,B28-1)),"违规：风险预算须逐次不增加",IF(OR(_LockStatus="已锁仓",_LockStatus="解锁信息不完整"),"违规：锁仓期间禁止加仓",IF(G28="","计划可执行：建议股数见N列",IF(OR(G28&lt;=0,G28&lt;&gt;INT(G28),MOD(G28,100)&lt;&gt;0),"违规：实际股数须为100股整数倍",IF(G28&gt;N28,"违规：实际股数超过风险或金字塔上限",IF(AND(B28&gt;1,G28&gt;SUMIFS($G$2:$G$1001,$A$2:$A$1001,A28,$B$2:$B$1001,B28-1)),"违规：加仓股数须逐次不增加",IF(Q28&gt;F28,"违规：止损风险超过本次预算","通过")))))))))))))))</f>
        <v>违规：实际股数超过风险或金字塔上限</v>
      </c>
    </row>
    <row r="29" ht="17" spans="1:18">
      <c r="A29" s="13">
        <v>14</v>
      </c>
      <c r="B29" s="14">
        <v>4</v>
      </c>
      <c r="C29" s="15">
        <v>43931</v>
      </c>
      <c r="D29" s="16">
        <v>15.09</v>
      </c>
      <c r="E29" s="16">
        <v>14.5</v>
      </c>
      <c r="F29" s="16">
        <v>1</v>
      </c>
      <c r="G29" s="14">
        <v>2000</v>
      </c>
      <c r="H29" s="17">
        <f t="shared" si="0"/>
        <v>30180</v>
      </c>
      <c r="I29" s="18">
        <f>IF(OR(A29="",B29=""),"",IFERROR(LOOKUP(2,1/(单次交易!$A$2:$A$201=A29),单次交易!$H$2:$H$201),0)+SUMIFS($G$2:$G$1001,$A$2:$A$1001,A29,$B$2:$B$1001,"&lt;"&amp;B29))</f>
        <v>8000</v>
      </c>
      <c r="J29" s="17">
        <f>IF(OR(A29="",B29=""),"",IFERROR(LOOKUP(2,1/(单次交易!$A$2:$A$201=A29),单次交易!$E$2:$E$201)*LOOKUP(2,1/(单次交易!$A$2:$A$201=A29),单次交易!$H$2:$H$201),0)+SUMIFS($H$2:$H$1001,$A$2:$A$1001,A29,$B$2:$B$1001,"&lt;"&amp;B29))</f>
        <v>114220</v>
      </c>
      <c r="K29" s="17">
        <f t="shared" si="1"/>
        <v>1780</v>
      </c>
      <c r="L29" s="18">
        <f t="shared" si="2"/>
        <v>3000</v>
      </c>
      <c r="M29" s="18">
        <f t="shared" si="3"/>
        <v>2000</v>
      </c>
      <c r="N29" s="18">
        <f t="shared" si="4"/>
        <v>2000</v>
      </c>
      <c r="O29" s="18">
        <f t="shared" si="5"/>
        <v>10000</v>
      </c>
      <c r="P29" s="17">
        <f t="shared" si="6"/>
        <v>14.44</v>
      </c>
      <c r="Q29" s="17">
        <f t="shared" si="7"/>
        <v>0</v>
      </c>
      <c r="R29" s="19" t="str">
        <f ca="1">IF(A29="","",IF(COUNTIF(_TradeIds,A29)=0,"违规：交易编号不存在",IF(OR(B29="",B29&lt;1,B29&gt;5,B29&lt;&gt;INT(B29)),"违规：加仓序号须为1到5的整数",IF(COUNTIFS($A$2:$A$1001,A29,$B$2:$B$1001,B29)&gt;1,"违规：同一交易的加仓序号重复",IF(OR(D29="",E29="",F29=""),"计划不完整：请填写加仓价、新止损价和风险预算",IF(OR(D29&lt;=0,E29&lt;=0,F29&lt;=0,D29&lt;=E29),"违规：加仓价必须高于新止损价，金额须大于0",IF(AND(B29&gt;1,COUNTIFS($A$2:$A$1001,A29,$B$2:$B$1001,B29-1,$G$2:$G$1001,"&gt;0")=0),"违规：须先完成上一次加仓",IF(AND(B29&gt;1,E29&lt;SUMIFS($E$2:$E$1001,$A$2:$A$1001,A29,$B$2:$B$1001,B29-1)),"违规：新止损价不得低于上一次",IF(AND(B29&gt;1,F29&gt;SUMIFS($F$2:$F$1001,$A$2:$A$1001,A29,$B$2:$B$1001,B29-1)),"违规：风险预算须逐次不增加",IF(OR(_LockStatus="已锁仓",_LockStatus="解锁信息不完整"),"违规：锁仓期间禁止加仓",IF(G29="","计划可执行：建议股数见N列",IF(OR(G29&lt;=0,G29&lt;&gt;INT(G29),MOD(G29,100)&lt;&gt;0),"违规：实际股数须为100股整数倍",IF(G29&gt;N29,"违规：实际股数超过风险或金字塔上限",IF(AND(B29&gt;1,G29&gt;SUMIFS($G$2:$G$1001,$A$2:$A$1001,A29,$B$2:$B$1001,B29-1)),"违规：加仓股数须逐次不增加",IF(Q29&gt;F29,"违规：止损风险超过本次预算","通过")))))))))))))))</f>
        <v>通过</v>
      </c>
    </row>
    <row r="30" ht="17" spans="1:18">
      <c r="A30" s="13">
        <v>15</v>
      </c>
      <c r="B30" s="14">
        <v>1</v>
      </c>
      <c r="C30" s="15">
        <v>43999</v>
      </c>
      <c r="D30" s="16">
        <v>15.93</v>
      </c>
      <c r="E30" s="16">
        <v>15</v>
      </c>
      <c r="F30" s="16">
        <v>1</v>
      </c>
      <c r="G30" s="14">
        <v>2000</v>
      </c>
      <c r="H30" s="17">
        <f t="shared" si="0"/>
        <v>31860</v>
      </c>
      <c r="I30" s="18">
        <f>IF(OR(A30="",B30=""),"",IFERROR(LOOKUP(2,1/(单次交易!$A$2:$A$201=A30),单次交易!$H$2:$H$201),0)+SUMIFS($G$2:$G$1001,$A$2:$A$1001,A30,$B$2:$B$1001,"&lt;"&amp;B30))</f>
        <v>5000</v>
      </c>
      <c r="J30" s="17">
        <f>IF(OR(A30="",B30=""),"",IFERROR(LOOKUP(2,1/(单次交易!$A$2:$A$201=A30),单次交易!$E$2:$E$201)*LOOKUP(2,1/(单次交易!$A$2:$A$201=A30),单次交易!$H$2:$H$201),0)+SUMIFS($H$2:$H$1001,$A$2:$A$1001,A30,$B$2:$B$1001,"&lt;"&amp;B30))</f>
        <v>74200</v>
      </c>
      <c r="K30" s="17">
        <f t="shared" si="1"/>
        <v>800</v>
      </c>
      <c r="L30" s="18">
        <f t="shared" si="2"/>
        <v>800</v>
      </c>
      <c r="M30" s="18">
        <f t="shared" si="3"/>
        <v>800</v>
      </c>
      <c r="N30" s="18">
        <f t="shared" si="4"/>
        <v>800</v>
      </c>
      <c r="O30" s="18">
        <f t="shared" si="5"/>
        <v>7000</v>
      </c>
      <c r="P30" s="17">
        <f t="shared" si="6"/>
        <v>15.1514285714286</v>
      </c>
      <c r="Q30" s="17">
        <f t="shared" si="7"/>
        <v>1060</v>
      </c>
      <c r="R30" s="19" t="str">
        <f ca="1">IF(A30="","",IF(COUNTIF(_TradeIds,A30)=0,"违规：交易编号不存在",IF(OR(B30="",B30&lt;1,B30&gt;5,B30&lt;&gt;INT(B30)),"违规：加仓序号须为1到5的整数",IF(COUNTIFS($A$2:$A$1001,A30,$B$2:$B$1001,B30)&gt;1,"违规：同一交易的加仓序号重复",IF(OR(D30="",E30="",F30=""),"计划不完整：请填写加仓价、新止损价和风险预算",IF(OR(D30&lt;=0,E30&lt;=0,F30&lt;=0,D30&lt;=E30),"违规：加仓价必须高于新止损价，金额须大于0",IF(AND(B30&gt;1,COUNTIFS($A$2:$A$1001,A30,$B$2:$B$1001,B30-1,$G$2:$G$1001,"&gt;0")=0),"违规：须先完成上一次加仓",IF(AND(B30&gt;1,E30&lt;SUMIFS($E$2:$E$1001,$A$2:$A$1001,A30,$B$2:$B$1001,B30-1)),"违规：新止损价不得低于上一次",IF(AND(B30&gt;1,F30&gt;SUMIFS($F$2:$F$1001,$A$2:$A$1001,A30,$B$2:$B$1001,B30-1)),"违规：风险预算须逐次不增加",IF(OR(_LockStatus="已锁仓",_LockStatus="解锁信息不完整"),"违规：锁仓期间禁止加仓",IF(G30="","计划可执行：建议股数见N列",IF(OR(G30&lt;=0,G30&lt;&gt;INT(G30),MOD(G30,100)&lt;&gt;0),"违规：实际股数须为100股整数倍",IF(G30&gt;N30,"违规：实际股数超过风险或金字塔上限",IF(AND(B30&gt;1,G30&gt;SUMIFS($G$2:$G$1001,$A$2:$A$1001,A30,$B$2:$B$1001,B30-1)),"违规：加仓股数须逐次不增加",IF(Q30&gt;F30,"违规：止损风险超过本次预算","通过")))))))))))))))</f>
        <v>违规：实际股数超过风险或金字塔上限</v>
      </c>
    </row>
    <row r="31" ht="17" spans="1:18">
      <c r="A31" s="13">
        <v>15</v>
      </c>
      <c r="B31" s="14">
        <v>2</v>
      </c>
      <c r="C31" s="15">
        <v>44005</v>
      </c>
      <c r="D31" s="16">
        <v>15.43</v>
      </c>
      <c r="E31" s="16">
        <v>15</v>
      </c>
      <c r="F31" s="16">
        <v>1</v>
      </c>
      <c r="G31" s="14">
        <v>2000</v>
      </c>
      <c r="H31" s="17">
        <f t="shared" si="0"/>
        <v>30860</v>
      </c>
      <c r="I31" s="18">
        <f>IF(OR(A31="",B31=""),"",IFERROR(LOOKUP(2,1/(单次交易!$A$2:$A$201=A31),单次交易!$H$2:$H$201),0)+SUMIFS($G$2:$G$1001,$A$2:$A$1001,A31,$B$2:$B$1001,"&lt;"&amp;B31))</f>
        <v>7000</v>
      </c>
      <c r="J31" s="17">
        <f>IF(OR(A31="",B31=""),"",IFERROR(LOOKUP(2,1/(单次交易!$A$2:$A$201=A31),单次交易!$E$2:$E$201)*LOOKUP(2,1/(单次交易!$A$2:$A$201=A31),单次交易!$H$2:$H$201),0)+SUMIFS($H$2:$H$1001,$A$2:$A$1001,A31,$B$2:$B$1001,"&lt;"&amp;B31))</f>
        <v>106060</v>
      </c>
      <c r="K31" s="17">
        <f t="shared" si="1"/>
        <v>0</v>
      </c>
      <c r="L31" s="18">
        <f t="shared" si="2"/>
        <v>0</v>
      </c>
      <c r="M31" s="18">
        <f t="shared" si="3"/>
        <v>2000</v>
      </c>
      <c r="N31" s="18">
        <f t="shared" si="4"/>
        <v>0</v>
      </c>
      <c r="O31" s="18">
        <f t="shared" si="5"/>
        <v>9000</v>
      </c>
      <c r="P31" s="17">
        <f t="shared" si="6"/>
        <v>15.2133333333333</v>
      </c>
      <c r="Q31" s="17">
        <f t="shared" si="7"/>
        <v>1920</v>
      </c>
      <c r="R31" s="19" t="str">
        <f ca="1">IF(A31="","",IF(COUNTIF(_TradeIds,A31)=0,"违规：交易编号不存在",IF(OR(B31="",B31&lt;1,B31&gt;5,B31&lt;&gt;INT(B31)),"违规：加仓序号须为1到5的整数",IF(COUNTIFS($A$2:$A$1001,A31,$B$2:$B$1001,B31)&gt;1,"违规：同一交易的加仓序号重复",IF(OR(D31="",E31="",F31=""),"计划不完整：请填写加仓价、新止损价和风险预算",IF(OR(D31&lt;=0,E31&lt;=0,F31&lt;=0,D31&lt;=E31),"违规：加仓价必须高于新止损价，金额须大于0",IF(AND(B31&gt;1,COUNTIFS($A$2:$A$1001,A31,$B$2:$B$1001,B31-1,$G$2:$G$1001,"&gt;0")=0),"违规：须先完成上一次加仓",IF(AND(B31&gt;1,E31&lt;SUMIFS($E$2:$E$1001,$A$2:$A$1001,A31,$B$2:$B$1001,B31-1)),"违规：新止损价不得低于上一次",IF(AND(B31&gt;1,F31&gt;SUMIFS($F$2:$F$1001,$A$2:$A$1001,A31,$B$2:$B$1001,B31-1)),"违规：风险预算须逐次不增加",IF(OR(_LockStatus="已锁仓",_LockStatus="解锁信息不完整"),"违规：锁仓期间禁止加仓",IF(G31="","计划可执行：建议股数见N列",IF(OR(G31&lt;=0,G31&lt;&gt;INT(G31),MOD(G31,100)&lt;&gt;0),"违规：实际股数须为100股整数倍",IF(G31&gt;N31,"违规：实际股数超过风险或金字塔上限",IF(AND(B31&gt;1,G31&gt;SUMIFS($G$2:$G$1001,$A$2:$A$1001,A31,$B$2:$B$1001,B31-1)),"违规：加仓股数须逐次不增加",IF(Q31&gt;F31,"违规：止损风险超过本次预算","通过")))))))))))))))</f>
        <v>违规：实际股数超过风险或金字塔上限</v>
      </c>
    </row>
    <row r="32" ht="17" spans="1:18">
      <c r="A32" s="13">
        <v>15</v>
      </c>
      <c r="B32" s="14">
        <v>3</v>
      </c>
      <c r="C32" s="15">
        <v>44012</v>
      </c>
      <c r="D32" s="16">
        <v>16.49</v>
      </c>
      <c r="E32" s="16">
        <v>16</v>
      </c>
      <c r="F32" s="16">
        <v>1</v>
      </c>
      <c r="G32" s="14">
        <v>2000</v>
      </c>
      <c r="H32" s="17">
        <f t="shared" si="0"/>
        <v>32980</v>
      </c>
      <c r="I32" s="18">
        <f>IF(OR(A32="",B32=""),"",IFERROR(LOOKUP(2,1/(单次交易!$A$2:$A$201=A32),单次交易!$H$2:$H$201),0)+SUMIFS($G$2:$G$1001,$A$2:$A$1001,A32,$B$2:$B$1001,"&lt;"&amp;B32))</f>
        <v>9000</v>
      </c>
      <c r="J32" s="17">
        <f>IF(OR(A32="",B32=""),"",IFERROR(LOOKUP(2,1/(单次交易!$A$2:$A$201=A32),单次交易!$E$2:$E$201)*LOOKUP(2,1/(单次交易!$A$2:$A$201=A32),单次交易!$H$2:$H$201),0)+SUMIFS($H$2:$H$1001,$A$2:$A$1001,A32,$B$2:$B$1001,"&lt;"&amp;B32))</f>
        <v>136920</v>
      </c>
      <c r="K32" s="17">
        <f t="shared" si="1"/>
        <v>7080</v>
      </c>
      <c r="L32" s="18">
        <f t="shared" si="2"/>
        <v>14400</v>
      </c>
      <c r="M32" s="18">
        <f t="shared" si="3"/>
        <v>2000</v>
      </c>
      <c r="N32" s="18">
        <f t="shared" si="4"/>
        <v>2000</v>
      </c>
      <c r="O32" s="18">
        <f t="shared" si="5"/>
        <v>11000</v>
      </c>
      <c r="P32" s="17">
        <f t="shared" si="6"/>
        <v>15.4454545454545</v>
      </c>
      <c r="Q32" s="17">
        <f t="shared" si="7"/>
        <v>0</v>
      </c>
      <c r="R32" s="19" t="str">
        <f ca="1">IF(A32="","",IF(COUNTIF(_TradeIds,A32)=0,"违规：交易编号不存在",IF(OR(B32="",B32&lt;1,B32&gt;5,B32&lt;&gt;INT(B32)),"违规：加仓序号须为1到5的整数",IF(COUNTIFS($A$2:$A$1001,A32,$B$2:$B$1001,B32)&gt;1,"违规：同一交易的加仓序号重复",IF(OR(D32="",E32="",F32=""),"计划不完整：请填写加仓价、新止损价和风险预算",IF(OR(D32&lt;=0,E32&lt;=0,F32&lt;=0,D32&lt;=E32),"违规：加仓价必须高于新止损价，金额须大于0",IF(AND(B32&gt;1,COUNTIFS($A$2:$A$1001,A32,$B$2:$B$1001,B32-1,$G$2:$G$1001,"&gt;0")=0),"违规：须先完成上一次加仓",IF(AND(B32&gt;1,E32&lt;SUMIFS($E$2:$E$1001,$A$2:$A$1001,A32,$B$2:$B$1001,B32-1)),"违规：新止损价不得低于上一次",IF(AND(B32&gt;1,F32&gt;SUMIFS($F$2:$F$1001,$A$2:$A$1001,A32,$B$2:$B$1001,B32-1)),"违规：风险预算须逐次不增加",IF(OR(_LockStatus="已锁仓",_LockStatus="解锁信息不完整"),"违规：锁仓期间禁止加仓",IF(G32="","计划可执行：建议股数见N列",IF(OR(G32&lt;=0,G32&lt;&gt;INT(G32),MOD(G32,100)&lt;&gt;0),"违规：实际股数须为100股整数倍",IF(G32&gt;N32,"违规：实际股数超过风险或金字塔上限",IF(AND(B32&gt;1,G32&gt;SUMIFS($G$2:$G$1001,$A$2:$A$1001,A32,$B$2:$B$1001,B32-1)),"违规：加仓股数须逐次不增加",IF(Q32&gt;F32,"违规：止损风险超过本次预算","通过")))))))))))))))</f>
        <v>通过</v>
      </c>
    </row>
    <row r="33" ht="17" spans="1:18">
      <c r="A33" s="13">
        <v>15</v>
      </c>
      <c r="B33" s="14">
        <v>4</v>
      </c>
      <c r="C33" s="15">
        <v>44021</v>
      </c>
      <c r="D33" s="16">
        <v>16.98</v>
      </c>
      <c r="E33" s="16">
        <v>16.5</v>
      </c>
      <c r="F33" s="16">
        <v>1</v>
      </c>
      <c r="G33" s="14">
        <v>2000</v>
      </c>
      <c r="H33" s="17">
        <f t="shared" si="0"/>
        <v>33960</v>
      </c>
      <c r="I33" s="18">
        <f>IF(OR(A33="",B33=""),"",IFERROR(LOOKUP(2,1/(单次交易!$A$2:$A$201=A33),单次交易!$H$2:$H$201),0)+SUMIFS($G$2:$G$1001,$A$2:$A$1001,A33,$B$2:$B$1001,"&lt;"&amp;B33))</f>
        <v>11000</v>
      </c>
      <c r="J33" s="17">
        <f>IF(OR(A33="",B33=""),"",IFERROR(LOOKUP(2,1/(单次交易!$A$2:$A$201=A33),单次交易!$E$2:$E$201)*LOOKUP(2,1/(单次交易!$A$2:$A$201=A33),单次交易!$H$2:$H$201),0)+SUMIFS($H$2:$H$1001,$A$2:$A$1001,A33,$B$2:$B$1001,"&lt;"&amp;B33))</f>
        <v>169900</v>
      </c>
      <c r="K33" s="17">
        <f t="shared" si="1"/>
        <v>11600</v>
      </c>
      <c r="L33" s="18">
        <f t="shared" si="2"/>
        <v>24100</v>
      </c>
      <c r="M33" s="18">
        <f t="shared" si="3"/>
        <v>2000</v>
      </c>
      <c r="N33" s="18">
        <f t="shared" si="4"/>
        <v>2000</v>
      </c>
      <c r="O33" s="18">
        <f t="shared" si="5"/>
        <v>13000</v>
      </c>
      <c r="P33" s="17">
        <f t="shared" si="6"/>
        <v>15.6815384615385</v>
      </c>
      <c r="Q33" s="17">
        <f t="shared" si="7"/>
        <v>0</v>
      </c>
      <c r="R33" s="19" t="str">
        <f ca="1">IF(A33="","",IF(COUNTIF(_TradeIds,A33)=0,"违规：交易编号不存在",IF(OR(B33="",B33&lt;1,B33&gt;5,B33&lt;&gt;INT(B33)),"违规：加仓序号须为1到5的整数",IF(COUNTIFS($A$2:$A$1001,A33,$B$2:$B$1001,B33)&gt;1,"违规：同一交易的加仓序号重复",IF(OR(D33="",E33="",F33=""),"计划不完整：请填写加仓价、新止损价和风险预算",IF(OR(D33&lt;=0,E33&lt;=0,F33&lt;=0,D33&lt;=E33),"违规：加仓价必须高于新止损价，金额须大于0",IF(AND(B33&gt;1,COUNTIFS($A$2:$A$1001,A33,$B$2:$B$1001,B33-1,$G$2:$G$1001,"&gt;0")=0),"违规：须先完成上一次加仓",IF(AND(B33&gt;1,E33&lt;SUMIFS($E$2:$E$1001,$A$2:$A$1001,A33,$B$2:$B$1001,B33-1)),"违规：新止损价不得低于上一次",IF(AND(B33&gt;1,F33&gt;SUMIFS($F$2:$F$1001,$A$2:$A$1001,A33,$B$2:$B$1001,B33-1)),"违规：风险预算须逐次不增加",IF(OR(_LockStatus="已锁仓",_LockStatus="解锁信息不完整"),"违规：锁仓期间禁止加仓",IF(G33="","计划可执行：建议股数见N列",IF(OR(G33&lt;=0,G33&lt;&gt;INT(G33),MOD(G33,100)&lt;&gt;0),"违规：实际股数须为100股整数倍",IF(G33&gt;N33,"违规：实际股数超过风险或金字塔上限",IF(AND(B33&gt;1,G33&gt;SUMIFS($G$2:$G$1001,$A$2:$A$1001,A33,$B$2:$B$1001,B33-1)),"违规：加仓股数须逐次不增加",IF(Q33&gt;F33,"违规：止损风险超过本次预算","通过")))))))))))))))</f>
        <v>通过</v>
      </c>
    </row>
    <row r="34" ht="17" spans="1:18">
      <c r="A34" s="13">
        <v>16</v>
      </c>
      <c r="B34" s="14">
        <v>1</v>
      </c>
      <c r="C34" s="15">
        <v>44067</v>
      </c>
      <c r="D34" s="16">
        <v>19.16</v>
      </c>
      <c r="E34" s="16">
        <v>18.5</v>
      </c>
      <c r="F34" s="16">
        <v>1</v>
      </c>
      <c r="G34" s="14">
        <v>2000</v>
      </c>
      <c r="H34" s="17">
        <f t="shared" si="0"/>
        <v>38320</v>
      </c>
      <c r="I34" s="18">
        <f>IF(OR(A34="",B34=""),"",IFERROR(LOOKUP(2,1/(单次交易!$A$2:$A$201=A34),单次交易!$H$2:$H$201),0)+SUMIFS($G$2:$G$1001,$A$2:$A$1001,A34,$B$2:$B$1001,"&lt;"&amp;B34))</f>
        <v>6300</v>
      </c>
      <c r="J34" s="17">
        <f>IF(OR(A34="",B34=""),"",IFERROR(LOOKUP(2,1/(单次交易!$A$2:$A$201=A34),单次交易!$E$2:$E$201)*LOOKUP(2,1/(单次交易!$A$2:$A$201=A34),单次交易!$H$2:$H$201),0)+SUMIFS($H$2:$H$1001,$A$2:$A$1001,A34,$B$2:$B$1001,"&lt;"&amp;B34))</f>
        <v>108486</v>
      </c>
      <c r="K34" s="17">
        <f t="shared" si="1"/>
        <v>8064</v>
      </c>
      <c r="L34" s="18">
        <f t="shared" si="2"/>
        <v>12200</v>
      </c>
      <c r="M34" s="18">
        <f t="shared" si="3"/>
        <v>12200</v>
      </c>
      <c r="N34" s="18">
        <f t="shared" si="4"/>
        <v>12200</v>
      </c>
      <c r="O34" s="18">
        <f t="shared" si="5"/>
        <v>8300</v>
      </c>
      <c r="P34" s="17">
        <f t="shared" si="6"/>
        <v>17.6874698795181</v>
      </c>
      <c r="Q34" s="17">
        <f t="shared" si="7"/>
        <v>0</v>
      </c>
      <c r="R34" s="19" t="str">
        <f ca="1">IF(A34="","",IF(COUNTIF(_TradeIds,A34)=0,"违规：交易编号不存在",IF(OR(B34="",B34&lt;1,B34&gt;5,B34&lt;&gt;INT(B34)),"违规：加仓序号须为1到5的整数",IF(COUNTIFS($A$2:$A$1001,A34,$B$2:$B$1001,B34)&gt;1,"违规：同一交易的加仓序号重复",IF(OR(D34="",E34="",F34=""),"计划不完整：请填写加仓价、新止损价和风险预算",IF(OR(D34&lt;=0,E34&lt;=0,F34&lt;=0,D34&lt;=E34),"违规：加仓价必须高于新止损价，金额须大于0",IF(AND(B34&gt;1,COUNTIFS($A$2:$A$1001,A34,$B$2:$B$1001,B34-1,$G$2:$G$1001,"&gt;0")=0),"违规：须先完成上一次加仓",IF(AND(B34&gt;1,E34&lt;SUMIFS($E$2:$E$1001,$A$2:$A$1001,A34,$B$2:$B$1001,B34-1)),"违规：新止损价不得低于上一次",IF(AND(B34&gt;1,F34&gt;SUMIFS($F$2:$F$1001,$A$2:$A$1001,A34,$B$2:$B$1001,B34-1)),"违规：风险预算须逐次不增加",IF(OR(_LockStatus="已锁仓",_LockStatus="解锁信息不完整"),"违规：锁仓期间禁止加仓",IF(G34="","计划可执行：建议股数见N列",IF(OR(G34&lt;=0,G34&lt;&gt;INT(G34),MOD(G34,100)&lt;&gt;0),"违规：实际股数须为100股整数倍",IF(G34&gt;N34,"违规：实际股数超过风险或金字塔上限",IF(AND(B34&gt;1,G34&gt;SUMIFS($G$2:$G$1001,$A$2:$A$1001,A34,$B$2:$B$1001,B34-1)),"违规：加仓股数须逐次不增加",IF(Q34&gt;F34,"违规：止损风险超过本次预算","通过")))))))))))))))</f>
        <v>通过</v>
      </c>
    </row>
    <row r="35" ht="17" spans="1:18">
      <c r="A35" s="13">
        <v>16</v>
      </c>
      <c r="B35" s="14">
        <v>2</v>
      </c>
      <c r="C35" s="15">
        <v>44071</v>
      </c>
      <c r="D35" s="16">
        <v>18.95</v>
      </c>
      <c r="E35" s="16">
        <v>18.5</v>
      </c>
      <c r="F35" s="16">
        <v>1</v>
      </c>
      <c r="G35" s="14">
        <v>2000</v>
      </c>
      <c r="H35" s="17">
        <f t="shared" si="0"/>
        <v>37900</v>
      </c>
      <c r="I35" s="18">
        <f>IF(OR(A35="",B35=""),"",IFERROR(LOOKUP(2,1/(单次交易!$A$2:$A$201=A35),单次交易!$H$2:$H$201),0)+SUMIFS($G$2:$G$1001,$A$2:$A$1001,A35,$B$2:$B$1001,"&lt;"&amp;B35))</f>
        <v>8300</v>
      </c>
      <c r="J35" s="17">
        <f>IF(OR(A35="",B35=""),"",IFERROR(LOOKUP(2,1/(单次交易!$A$2:$A$201=A35),单次交易!$E$2:$E$201)*LOOKUP(2,1/(单次交易!$A$2:$A$201=A35),单次交易!$H$2:$H$201),0)+SUMIFS($H$2:$H$1001,$A$2:$A$1001,A35,$B$2:$B$1001,"&lt;"&amp;B35))</f>
        <v>146806</v>
      </c>
      <c r="K35" s="17">
        <f t="shared" si="1"/>
        <v>6744</v>
      </c>
      <c r="L35" s="18">
        <f t="shared" si="2"/>
        <v>14900</v>
      </c>
      <c r="M35" s="18">
        <f t="shared" si="3"/>
        <v>2000</v>
      </c>
      <c r="N35" s="18">
        <f t="shared" si="4"/>
        <v>2000</v>
      </c>
      <c r="O35" s="18">
        <f t="shared" si="5"/>
        <v>10300</v>
      </c>
      <c r="P35" s="17">
        <f t="shared" si="6"/>
        <v>17.9326213592233</v>
      </c>
      <c r="Q35" s="17">
        <f t="shared" si="7"/>
        <v>0</v>
      </c>
      <c r="R35" s="19" t="str">
        <f ca="1">IF(A35="","",IF(COUNTIF(_TradeIds,A35)=0,"违规：交易编号不存在",IF(OR(B35="",B35&lt;1,B35&gt;5,B35&lt;&gt;INT(B35)),"违规：加仓序号须为1到5的整数",IF(COUNTIFS($A$2:$A$1001,A35,$B$2:$B$1001,B35)&gt;1,"违规：同一交易的加仓序号重复",IF(OR(D35="",E35="",F35=""),"计划不完整：请填写加仓价、新止损价和风险预算",IF(OR(D35&lt;=0,E35&lt;=0,F35&lt;=0,D35&lt;=E35),"违规：加仓价必须高于新止损价，金额须大于0",IF(AND(B35&gt;1,COUNTIFS($A$2:$A$1001,A35,$B$2:$B$1001,B35-1,$G$2:$G$1001,"&gt;0")=0),"违规：须先完成上一次加仓",IF(AND(B35&gt;1,E35&lt;SUMIFS($E$2:$E$1001,$A$2:$A$1001,A35,$B$2:$B$1001,B35-1)),"违规：新止损价不得低于上一次",IF(AND(B35&gt;1,F35&gt;SUMIFS($F$2:$F$1001,$A$2:$A$1001,A35,$B$2:$B$1001,B35-1)),"违规：风险预算须逐次不增加",IF(OR(_LockStatus="已锁仓",_LockStatus="解锁信息不完整"),"违规：锁仓期间禁止加仓",IF(G35="","计划可执行：建议股数见N列",IF(OR(G35&lt;=0,G35&lt;&gt;INT(G35),MOD(G35,100)&lt;&gt;0),"违规：实际股数须为100股整数倍",IF(G35&gt;N35,"违规：实际股数超过风险或金字塔上限",IF(AND(B35&gt;1,G35&gt;SUMIFS($G$2:$G$1001,$A$2:$A$1001,A35,$B$2:$B$1001,B35-1)),"违规：加仓股数须逐次不增加",IF(Q35&gt;F35,"违规：止损风险超过本次预算","通过")))))))))))))))</f>
        <v>通过</v>
      </c>
    </row>
    <row r="36" ht="17" spans="1:18">
      <c r="A36" s="13">
        <v>16</v>
      </c>
      <c r="B36" s="14">
        <v>3</v>
      </c>
      <c r="C36" s="15">
        <v>44075</v>
      </c>
      <c r="D36" s="16">
        <v>20.23</v>
      </c>
      <c r="E36" s="16">
        <v>19.5</v>
      </c>
      <c r="F36" s="16">
        <v>1</v>
      </c>
      <c r="G36" s="14">
        <v>2000</v>
      </c>
      <c r="H36" s="17">
        <f t="shared" si="0"/>
        <v>40460</v>
      </c>
      <c r="I36" s="18">
        <f>IF(OR(A36="",B36=""),"",IFERROR(LOOKUP(2,1/(单次交易!$A$2:$A$201=A36),单次交易!$H$2:$H$201),0)+SUMIFS($G$2:$G$1001,$A$2:$A$1001,A36,$B$2:$B$1001,"&lt;"&amp;B36))</f>
        <v>10300</v>
      </c>
      <c r="J36" s="17">
        <f>IF(OR(A36="",B36=""),"",IFERROR(LOOKUP(2,1/(单次交易!$A$2:$A$201=A36),单次交易!$E$2:$E$201)*LOOKUP(2,1/(单次交易!$A$2:$A$201=A36),单次交易!$H$2:$H$201),0)+SUMIFS($H$2:$H$1001,$A$2:$A$1001,A36,$B$2:$B$1001,"&lt;"&amp;B36))</f>
        <v>184706</v>
      </c>
      <c r="K36" s="17">
        <f t="shared" si="1"/>
        <v>16144</v>
      </c>
      <c r="L36" s="18">
        <f t="shared" si="2"/>
        <v>22100</v>
      </c>
      <c r="M36" s="18">
        <f t="shared" si="3"/>
        <v>2000</v>
      </c>
      <c r="N36" s="18">
        <f t="shared" si="4"/>
        <v>2000</v>
      </c>
      <c r="O36" s="18">
        <f t="shared" si="5"/>
        <v>12300</v>
      </c>
      <c r="P36" s="17">
        <f t="shared" si="6"/>
        <v>18.3061788617886</v>
      </c>
      <c r="Q36" s="17">
        <f t="shared" si="7"/>
        <v>0</v>
      </c>
      <c r="R36" s="19" t="str">
        <f ca="1">IF(A36="","",IF(COUNTIF(_TradeIds,A36)=0,"违规：交易编号不存在",IF(OR(B36="",B36&lt;1,B36&gt;5,B36&lt;&gt;INT(B36)),"违规：加仓序号须为1到5的整数",IF(COUNTIFS($A$2:$A$1001,A36,$B$2:$B$1001,B36)&gt;1,"违规：同一交易的加仓序号重复",IF(OR(D36="",E36="",F36=""),"计划不完整：请填写加仓价、新止损价和风险预算",IF(OR(D36&lt;=0,E36&lt;=0,F36&lt;=0,D36&lt;=E36),"违规：加仓价必须高于新止损价，金额须大于0",IF(AND(B36&gt;1,COUNTIFS($A$2:$A$1001,A36,$B$2:$B$1001,B36-1,$G$2:$G$1001,"&gt;0")=0),"违规：须先完成上一次加仓",IF(AND(B36&gt;1,E36&lt;SUMIFS($E$2:$E$1001,$A$2:$A$1001,A36,$B$2:$B$1001,B36-1)),"违规：新止损价不得低于上一次",IF(AND(B36&gt;1,F36&gt;SUMIFS($F$2:$F$1001,$A$2:$A$1001,A36,$B$2:$B$1001,B36-1)),"违规：风险预算须逐次不增加",IF(OR(_LockStatus="已锁仓",_LockStatus="解锁信息不完整"),"违规：锁仓期间禁止加仓",IF(G36="","计划可执行：建议股数见N列",IF(OR(G36&lt;=0,G36&lt;&gt;INT(G36),MOD(G36,100)&lt;&gt;0),"违规：实际股数须为100股整数倍",IF(G36&gt;N36,"违规：实际股数超过风险或金字塔上限",IF(AND(B36&gt;1,G36&gt;SUMIFS($G$2:$G$1001,$A$2:$A$1001,A36,$B$2:$B$1001,B36-1)),"违规：加仓股数须逐次不增加",IF(Q36&gt;F36,"违规：止损风险超过本次预算","通过")))))))))))))))</f>
        <v>通过</v>
      </c>
    </row>
    <row r="37" ht="17" spans="1:18">
      <c r="A37" s="13">
        <v>17</v>
      </c>
      <c r="B37" s="14">
        <v>1</v>
      </c>
      <c r="C37" s="15">
        <v>44144</v>
      </c>
      <c r="D37" s="16">
        <v>17.2</v>
      </c>
      <c r="E37" s="16">
        <v>16.5</v>
      </c>
      <c r="F37" s="16">
        <v>1</v>
      </c>
      <c r="G37" s="14">
        <v>2000</v>
      </c>
      <c r="H37" s="17">
        <f t="shared" si="0"/>
        <v>34400</v>
      </c>
      <c r="I37" s="18">
        <f>IF(OR(A37="",B37=""),"",IFERROR(LOOKUP(2,1/(单次交易!$A$2:$A$201=A37),单次交易!$H$2:$H$201),0)+SUMIFS($G$2:$G$1001,$A$2:$A$1001,A37,$B$2:$B$1001,"&lt;"&amp;B37))</f>
        <v>4900</v>
      </c>
      <c r="J37" s="17">
        <f>IF(OR(A37="",B37=""),"",IFERROR(LOOKUP(2,1/(单次交易!$A$2:$A$201=A37),单次交易!$E$2:$E$201)*LOOKUP(2,1/(单次交易!$A$2:$A$201=A37),单次交易!$H$2:$H$201),0)+SUMIFS($H$2:$H$1001,$A$2:$A$1001,A37,$B$2:$B$1001,"&lt;"&amp;B37))</f>
        <v>80115</v>
      </c>
      <c r="K37" s="17">
        <f t="shared" si="1"/>
        <v>735</v>
      </c>
      <c r="L37" s="18">
        <f t="shared" si="2"/>
        <v>1000</v>
      </c>
      <c r="M37" s="18">
        <f t="shared" si="3"/>
        <v>1000</v>
      </c>
      <c r="N37" s="18">
        <f t="shared" si="4"/>
        <v>1000</v>
      </c>
      <c r="O37" s="18">
        <f t="shared" si="5"/>
        <v>6900</v>
      </c>
      <c r="P37" s="17">
        <f t="shared" si="6"/>
        <v>16.5963768115942</v>
      </c>
      <c r="Q37" s="17">
        <f t="shared" si="7"/>
        <v>665</v>
      </c>
      <c r="R37" s="19" t="str">
        <f ca="1">IF(A37="","",IF(COUNTIF(_TradeIds,A37)=0,"违规：交易编号不存在",IF(OR(B37="",B37&lt;1,B37&gt;5,B37&lt;&gt;INT(B37)),"违规：加仓序号须为1到5的整数",IF(COUNTIFS($A$2:$A$1001,A37,$B$2:$B$1001,B37)&gt;1,"违规：同一交易的加仓序号重复",IF(OR(D37="",E37="",F37=""),"计划不完整：请填写加仓价、新止损价和风险预算",IF(OR(D37&lt;=0,E37&lt;=0,F37&lt;=0,D37&lt;=E37),"违规：加仓价必须高于新止损价，金额须大于0",IF(AND(B37&gt;1,COUNTIFS($A$2:$A$1001,A37,$B$2:$B$1001,B37-1,$G$2:$G$1001,"&gt;0")=0),"违规：须先完成上一次加仓",IF(AND(B37&gt;1,E37&lt;SUMIFS($E$2:$E$1001,$A$2:$A$1001,A37,$B$2:$B$1001,B37-1)),"违规：新止损价不得低于上一次",IF(AND(B37&gt;1,F37&gt;SUMIFS($F$2:$F$1001,$A$2:$A$1001,A37,$B$2:$B$1001,B37-1)),"违规：风险预算须逐次不增加",IF(OR(_LockStatus="已锁仓",_LockStatus="解锁信息不完整"),"违规：锁仓期间禁止加仓",IF(G37="","计划可执行：建议股数见N列",IF(OR(G37&lt;=0,G37&lt;&gt;INT(G37),MOD(G37,100)&lt;&gt;0),"违规：实际股数须为100股整数倍",IF(G37&gt;N37,"违规：实际股数超过风险或金字塔上限",IF(AND(B37&gt;1,G37&gt;SUMIFS($G$2:$G$1001,$A$2:$A$1001,A37,$B$2:$B$1001,B37-1)),"违规：加仓股数须逐次不增加",IF(Q37&gt;F37,"违规：止损风险超过本次预算","通过")))))))))))))))</f>
        <v>违规：实际股数超过风险或金字塔上限</v>
      </c>
    </row>
    <row r="38" ht="17" spans="1:18">
      <c r="A38" s="13">
        <v>17</v>
      </c>
      <c r="B38" s="14">
        <v>2</v>
      </c>
      <c r="C38" s="15">
        <v>44147</v>
      </c>
      <c r="D38" s="16">
        <v>18.11</v>
      </c>
      <c r="E38" s="16">
        <v>17.2</v>
      </c>
      <c r="F38" s="16">
        <v>1</v>
      </c>
      <c r="G38" s="14">
        <v>2000</v>
      </c>
      <c r="H38" s="17">
        <f t="shared" si="0"/>
        <v>36220</v>
      </c>
      <c r="I38" s="18">
        <f>IF(OR(A38="",B38=""),"",IFERROR(LOOKUP(2,1/(单次交易!$A$2:$A$201=A38),单次交易!$H$2:$H$201),0)+SUMIFS($G$2:$G$1001,$A$2:$A$1001,A38,$B$2:$B$1001,"&lt;"&amp;B38))</f>
        <v>6900</v>
      </c>
      <c r="J38" s="17">
        <f>IF(OR(A38="",B38=""),"",IFERROR(LOOKUP(2,1/(单次交易!$A$2:$A$201=A38),单次交易!$E$2:$E$201)*LOOKUP(2,1/(单次交易!$A$2:$A$201=A38),单次交易!$H$2:$H$201),0)+SUMIFS($H$2:$H$1001,$A$2:$A$1001,A38,$B$2:$B$1001,"&lt;"&amp;B38))</f>
        <v>114515</v>
      </c>
      <c r="K38" s="17">
        <f t="shared" si="1"/>
        <v>4165</v>
      </c>
      <c r="L38" s="18">
        <f t="shared" si="2"/>
        <v>4500</v>
      </c>
      <c r="M38" s="18">
        <f t="shared" si="3"/>
        <v>2000</v>
      </c>
      <c r="N38" s="18">
        <f t="shared" si="4"/>
        <v>2000</v>
      </c>
      <c r="O38" s="18">
        <f t="shared" si="5"/>
        <v>8900</v>
      </c>
      <c r="P38" s="17">
        <f t="shared" si="6"/>
        <v>16.9365168539326</v>
      </c>
      <c r="Q38" s="17">
        <f t="shared" si="7"/>
        <v>0</v>
      </c>
      <c r="R38" s="19" t="str">
        <f ca="1">IF(A38="","",IF(COUNTIF(_TradeIds,A38)=0,"违规：交易编号不存在",IF(OR(B38="",B38&lt;1,B38&gt;5,B38&lt;&gt;INT(B38)),"违规：加仓序号须为1到5的整数",IF(COUNTIFS($A$2:$A$1001,A38,$B$2:$B$1001,B38)&gt;1,"违规：同一交易的加仓序号重复",IF(OR(D38="",E38="",F38=""),"计划不完整：请填写加仓价、新止损价和风险预算",IF(OR(D38&lt;=0,E38&lt;=0,F38&lt;=0,D38&lt;=E38),"违规：加仓价必须高于新止损价，金额须大于0",IF(AND(B38&gt;1,COUNTIFS($A$2:$A$1001,A38,$B$2:$B$1001,B38-1,$G$2:$G$1001,"&gt;0")=0),"违规：须先完成上一次加仓",IF(AND(B38&gt;1,E38&lt;SUMIFS($E$2:$E$1001,$A$2:$A$1001,A38,$B$2:$B$1001,B38-1)),"违规：新止损价不得低于上一次",IF(AND(B38&gt;1,F38&gt;SUMIFS($F$2:$F$1001,$A$2:$A$1001,A38,$B$2:$B$1001,B38-1)),"违规：风险预算须逐次不增加",IF(OR(_LockStatus="已锁仓",_LockStatus="解锁信息不完整"),"违规：锁仓期间禁止加仓",IF(G38="","计划可执行：建议股数见N列",IF(OR(G38&lt;=0,G38&lt;&gt;INT(G38),MOD(G38,100)&lt;&gt;0),"违规：实际股数须为100股整数倍",IF(G38&gt;N38,"违规：实际股数超过风险或金字塔上限",IF(AND(B38&gt;1,G38&gt;SUMIFS($G$2:$G$1001,$A$2:$A$1001,A38,$B$2:$B$1001,B38-1)),"违规：加仓股数须逐次不增加",IF(Q38&gt;F38,"违规：止损风险超过本次预算","通过")))))))))))))))</f>
        <v>通过</v>
      </c>
    </row>
    <row r="39" ht="17" spans="1:18">
      <c r="A39" s="13">
        <v>17</v>
      </c>
      <c r="B39" s="14">
        <v>3</v>
      </c>
      <c r="C39" s="15">
        <v>44151</v>
      </c>
      <c r="D39" s="16">
        <v>19.16</v>
      </c>
      <c r="E39" s="16">
        <v>18.2</v>
      </c>
      <c r="F39" s="16">
        <v>1</v>
      </c>
      <c r="G39" s="14">
        <v>2000</v>
      </c>
      <c r="H39" s="17">
        <f t="shared" si="0"/>
        <v>38320</v>
      </c>
      <c r="I39" s="18">
        <f>IF(OR(A39="",B39=""),"",IFERROR(LOOKUP(2,1/(单次交易!$A$2:$A$201=A39),单次交易!$H$2:$H$201),0)+SUMIFS($G$2:$G$1001,$A$2:$A$1001,A39,$B$2:$B$1001,"&lt;"&amp;B39))</f>
        <v>8900</v>
      </c>
      <c r="J39" s="17">
        <f>IF(OR(A39="",B39=""),"",IFERROR(LOOKUP(2,1/(单次交易!$A$2:$A$201=A39),单次交易!$E$2:$E$201)*LOOKUP(2,1/(单次交易!$A$2:$A$201=A39),单次交易!$H$2:$H$201),0)+SUMIFS($H$2:$H$1001,$A$2:$A$1001,A39,$B$2:$B$1001,"&lt;"&amp;B39))</f>
        <v>150735</v>
      </c>
      <c r="K39" s="17">
        <f t="shared" si="1"/>
        <v>11245</v>
      </c>
      <c r="L39" s="18">
        <f t="shared" si="2"/>
        <v>11700</v>
      </c>
      <c r="M39" s="18">
        <f t="shared" si="3"/>
        <v>2000</v>
      </c>
      <c r="N39" s="18">
        <f t="shared" si="4"/>
        <v>2000</v>
      </c>
      <c r="O39" s="18">
        <f t="shared" si="5"/>
        <v>10900</v>
      </c>
      <c r="P39" s="17">
        <f t="shared" si="6"/>
        <v>17.344495412844</v>
      </c>
      <c r="Q39" s="17">
        <f t="shared" si="7"/>
        <v>0</v>
      </c>
      <c r="R39" s="19" t="str">
        <f ca="1">IF(A39="","",IF(COUNTIF(_TradeIds,A39)=0,"违规：交易编号不存在",IF(OR(B39="",B39&lt;1,B39&gt;5,B39&lt;&gt;INT(B39)),"违规：加仓序号须为1到5的整数",IF(COUNTIFS($A$2:$A$1001,A39,$B$2:$B$1001,B39)&gt;1,"违规：同一交易的加仓序号重复",IF(OR(D39="",E39="",F39=""),"计划不完整：请填写加仓价、新止损价和风险预算",IF(OR(D39&lt;=0,E39&lt;=0,F39&lt;=0,D39&lt;=E39),"违规：加仓价必须高于新止损价，金额须大于0",IF(AND(B39&gt;1,COUNTIFS($A$2:$A$1001,A39,$B$2:$B$1001,B39-1,$G$2:$G$1001,"&gt;0")=0),"违规：须先完成上一次加仓",IF(AND(B39&gt;1,E39&lt;SUMIFS($E$2:$E$1001,$A$2:$A$1001,A39,$B$2:$B$1001,B39-1)),"违规：新止损价不得低于上一次",IF(AND(B39&gt;1,F39&gt;SUMIFS($F$2:$F$1001,$A$2:$A$1001,A39,$B$2:$B$1001,B39-1)),"违规：风险预算须逐次不增加",IF(OR(_LockStatus="已锁仓",_LockStatus="解锁信息不完整"),"违规：锁仓期间禁止加仓",IF(G39="","计划可执行：建议股数见N列",IF(OR(G39&lt;=0,G39&lt;&gt;INT(G39),MOD(G39,100)&lt;&gt;0),"违规：实际股数须为100股整数倍",IF(G39&gt;N39,"违规：实际股数超过风险或金字塔上限",IF(AND(B39&gt;1,G39&gt;SUMIFS($G$2:$G$1001,$A$2:$A$1001,A39,$B$2:$B$1001,B39-1)),"违规：加仓股数须逐次不增加",IF(Q39&gt;F39,"违规：止损风险超过本次预算","通过")))))))))))))))</f>
        <v>通过</v>
      </c>
    </row>
    <row r="40" ht="17" spans="1:18">
      <c r="A40" s="13">
        <v>17</v>
      </c>
      <c r="B40" s="14">
        <v>4</v>
      </c>
      <c r="C40" s="15">
        <v>44155</v>
      </c>
      <c r="D40" s="16">
        <v>19.41</v>
      </c>
      <c r="E40" s="16">
        <v>18.4</v>
      </c>
      <c r="F40" s="16">
        <v>1</v>
      </c>
      <c r="G40" s="14">
        <v>600</v>
      </c>
      <c r="H40" s="17">
        <f t="shared" si="0"/>
        <v>11646</v>
      </c>
      <c r="I40" s="18">
        <f>IF(OR(A40="",B40=""),"",IFERROR(LOOKUP(2,1/(单次交易!$A$2:$A$201=A40),单次交易!$H$2:$H$201),0)+SUMIFS($G$2:$G$1001,$A$2:$A$1001,A40,$B$2:$B$1001,"&lt;"&amp;B40))</f>
        <v>10900</v>
      </c>
      <c r="J40" s="17">
        <f>IF(OR(A40="",B40=""),"",IFERROR(LOOKUP(2,1/(单次交易!$A$2:$A$201=A40),单次交易!$E$2:$E$201)*LOOKUP(2,1/(单次交易!$A$2:$A$201=A40),单次交易!$H$2:$H$201),0)+SUMIFS($H$2:$H$1001,$A$2:$A$1001,A40,$B$2:$B$1001,"&lt;"&amp;B40))</f>
        <v>189055</v>
      </c>
      <c r="K40" s="17">
        <f t="shared" si="1"/>
        <v>11505</v>
      </c>
      <c r="L40" s="18">
        <f t="shared" si="2"/>
        <v>11300</v>
      </c>
      <c r="M40" s="18">
        <f t="shared" si="3"/>
        <v>2000</v>
      </c>
      <c r="N40" s="18">
        <f t="shared" si="4"/>
        <v>2000</v>
      </c>
      <c r="O40" s="18">
        <f t="shared" si="5"/>
        <v>11500</v>
      </c>
      <c r="P40" s="17">
        <f t="shared" si="6"/>
        <v>17.4522608695652</v>
      </c>
      <c r="Q40" s="17">
        <f t="shared" si="7"/>
        <v>0</v>
      </c>
      <c r="R40" s="19" t="str">
        <f ca="1">IF(A40="","",IF(COUNTIF(_TradeIds,A40)=0,"违规：交易编号不存在",IF(OR(B40="",B40&lt;1,B40&gt;5,B40&lt;&gt;INT(B40)),"违规：加仓序号须为1到5的整数",IF(COUNTIFS($A$2:$A$1001,A40,$B$2:$B$1001,B40)&gt;1,"违规：同一交易的加仓序号重复",IF(OR(D40="",E40="",F40=""),"计划不完整：请填写加仓价、新止损价和风险预算",IF(OR(D40&lt;=0,E40&lt;=0,F40&lt;=0,D40&lt;=E40),"违规：加仓价必须高于新止损价，金额须大于0",IF(AND(B40&gt;1,COUNTIFS($A$2:$A$1001,A40,$B$2:$B$1001,B40-1,$G$2:$G$1001,"&gt;0")=0),"违规：须先完成上一次加仓",IF(AND(B40&gt;1,E40&lt;SUMIFS($E$2:$E$1001,$A$2:$A$1001,A40,$B$2:$B$1001,B40-1)),"违规：新止损价不得低于上一次",IF(AND(B40&gt;1,F40&gt;SUMIFS($F$2:$F$1001,$A$2:$A$1001,A40,$B$2:$B$1001,B40-1)),"违规：风险预算须逐次不增加",IF(OR(_LockStatus="已锁仓",_LockStatus="解锁信息不完整"),"违规：锁仓期间禁止加仓",IF(G40="","计划可执行：建议股数见N列",IF(OR(G40&lt;=0,G40&lt;&gt;INT(G40),MOD(G40,100)&lt;&gt;0),"违规：实际股数须为100股整数倍",IF(G40&gt;N40,"违规：实际股数超过风险或金字塔上限",IF(AND(B40&gt;1,G40&gt;SUMIFS($G$2:$G$1001,$A$2:$A$1001,A40,$B$2:$B$1001,B40-1)),"违规：加仓股数须逐次不增加",IF(Q40&gt;F40,"违规：止损风险超过本次预算","通过")))))))))))))))</f>
        <v>通过</v>
      </c>
    </row>
    <row r="41" ht="17" spans="1:18">
      <c r="A41" s="13">
        <v>19</v>
      </c>
      <c r="B41" s="14">
        <v>1</v>
      </c>
      <c r="C41" s="15">
        <v>44196</v>
      </c>
      <c r="D41" s="16">
        <v>23.57</v>
      </c>
      <c r="E41" s="16">
        <v>20</v>
      </c>
      <c r="F41" s="16">
        <v>1</v>
      </c>
      <c r="G41" s="14">
        <v>2000</v>
      </c>
      <c r="H41" s="17">
        <f t="shared" si="0"/>
        <v>47140</v>
      </c>
      <c r="I41" s="18">
        <f>IF(OR(A41="",B41=""),"",IFERROR(LOOKUP(2,1/(单次交易!$A$2:$A$201=A41),单次交易!$H$2:$H$201),0)+SUMIFS($G$2:$G$1001,$A$2:$A$1001,A41,$B$2:$B$1001,"&lt;"&amp;B41))</f>
        <v>8500</v>
      </c>
      <c r="J41" s="17">
        <f>IF(OR(A41="",B41=""),"",IFERROR(LOOKUP(2,1/(单次交易!$A$2:$A$201=A41),单次交易!$E$2:$E$201)*LOOKUP(2,1/(单次交易!$A$2:$A$201=A41),单次交易!$H$2:$H$201),0)+SUMIFS($H$2:$H$1001,$A$2:$A$1001,A41,$B$2:$B$1001,"&lt;"&amp;B41))</f>
        <v>161415</v>
      </c>
      <c r="K41" s="17">
        <f t="shared" si="1"/>
        <v>8585</v>
      </c>
      <c r="L41" s="18">
        <f t="shared" si="2"/>
        <v>2400</v>
      </c>
      <c r="M41" s="18">
        <f t="shared" si="3"/>
        <v>2400</v>
      </c>
      <c r="N41" s="18">
        <f t="shared" si="4"/>
        <v>2400</v>
      </c>
      <c r="O41" s="18">
        <f t="shared" si="5"/>
        <v>10500</v>
      </c>
      <c r="P41" s="17">
        <f t="shared" si="6"/>
        <v>19.862380952381</v>
      </c>
      <c r="Q41" s="17">
        <f t="shared" si="7"/>
        <v>0</v>
      </c>
      <c r="R41" s="19" t="str">
        <f ca="1">IF(A41="","",IF(COUNTIF(_TradeIds,A41)=0,"违规：交易编号不存在",IF(OR(B41="",B41&lt;1,B41&gt;5,B41&lt;&gt;INT(B41)),"违规：加仓序号须为1到5的整数",IF(COUNTIFS($A$2:$A$1001,A41,$B$2:$B$1001,B41)&gt;1,"违规：同一交易的加仓序号重复",IF(OR(D41="",E41="",F41=""),"计划不完整：请填写加仓价、新止损价和风险预算",IF(OR(D41&lt;=0,E41&lt;=0,F41&lt;=0,D41&lt;=E41),"违规：加仓价必须高于新止损价，金额须大于0",IF(AND(B41&gt;1,COUNTIFS($A$2:$A$1001,A41,$B$2:$B$1001,B41-1,$G$2:$G$1001,"&gt;0")=0),"违规：须先完成上一次加仓",IF(AND(B41&gt;1,E41&lt;SUMIFS($E$2:$E$1001,$A$2:$A$1001,A41,$B$2:$B$1001,B41-1)),"违规：新止损价不得低于上一次",IF(AND(B41&gt;1,F41&gt;SUMIFS($F$2:$F$1001,$A$2:$A$1001,A41,$B$2:$B$1001,B41-1)),"违规：风险预算须逐次不增加",IF(OR(_LockStatus="已锁仓",_LockStatus="解锁信息不完整"),"违规：锁仓期间禁止加仓",IF(G41="","计划可执行：建议股数见N列",IF(OR(G41&lt;=0,G41&lt;&gt;INT(G41),MOD(G41,100)&lt;&gt;0),"违规：实际股数须为100股整数倍",IF(G41&gt;N41,"违规：实际股数超过风险或金字塔上限",IF(AND(B41&gt;1,G41&gt;SUMIFS($G$2:$G$1001,$A$2:$A$1001,A41,$B$2:$B$1001,B41-1)),"违规：加仓股数须逐次不增加",IF(Q41&gt;F41,"违规：止损风险超过本次预算","通过")))))))))))))))</f>
        <v>通过</v>
      </c>
    </row>
    <row r="42" ht="17" spans="1:18">
      <c r="A42" s="13">
        <v>20</v>
      </c>
      <c r="B42" s="14">
        <v>1</v>
      </c>
      <c r="C42" s="15">
        <v>44357</v>
      </c>
      <c r="D42" s="16">
        <v>22.89</v>
      </c>
      <c r="E42" s="16">
        <v>22</v>
      </c>
      <c r="F42" s="16">
        <v>1</v>
      </c>
      <c r="G42" s="14">
        <v>2000</v>
      </c>
      <c r="H42" s="17">
        <f t="shared" si="0"/>
        <v>45780</v>
      </c>
      <c r="I42" s="18">
        <f>IF(OR(A42="",B42=""),"",IFERROR(LOOKUP(2,1/(单次交易!$A$2:$A$201=A42),单次交易!$H$2:$H$201),0)+SUMIFS($G$2:$G$1001,$A$2:$A$1001,A42,$B$2:$B$1001,"&lt;"&amp;B42))</f>
        <v>6700</v>
      </c>
      <c r="J42" s="17">
        <f>IF(OR(A42="",B42=""),"",IFERROR(LOOKUP(2,1/(单次交易!$A$2:$A$201=A42),单次交易!$E$2:$E$201)*LOOKUP(2,1/(单次交易!$A$2:$A$201=A42),单次交易!$H$2:$H$201),0)+SUMIFS($H$2:$H$1001,$A$2:$A$1001,A42,$B$2:$B$1001,"&lt;"&amp;B42))</f>
        <v>165825</v>
      </c>
      <c r="K42" s="17">
        <f t="shared" si="1"/>
        <v>0</v>
      </c>
      <c r="L42" s="18">
        <f t="shared" si="2"/>
        <v>0</v>
      </c>
      <c r="M42" s="18">
        <f t="shared" si="3"/>
        <v>0</v>
      </c>
      <c r="N42" s="18">
        <f t="shared" si="4"/>
        <v>0</v>
      </c>
      <c r="O42" s="18">
        <f t="shared" si="5"/>
        <v>8700</v>
      </c>
      <c r="P42" s="17">
        <f t="shared" si="6"/>
        <v>24.3224137931034</v>
      </c>
      <c r="Q42" s="17">
        <f t="shared" si="7"/>
        <v>20205</v>
      </c>
      <c r="R42" s="19" t="str">
        <f ca="1">IF(A42="","",IF(COUNTIF(_TradeIds,A42)=0,"违规：交易编号不存在",IF(OR(B42="",B42&lt;1,B42&gt;5,B42&lt;&gt;INT(B42)),"违规：加仓序号须为1到5的整数",IF(COUNTIFS($A$2:$A$1001,A42,$B$2:$B$1001,B42)&gt;1,"违规：同一交易的加仓序号重复",IF(OR(D42="",E42="",F42=""),"计划不完整：请填写加仓价、新止损价和风险预算",IF(OR(D42&lt;=0,E42&lt;=0,F42&lt;=0,D42&lt;=E42),"违规：加仓价必须高于新止损价，金额须大于0",IF(AND(B42&gt;1,COUNTIFS($A$2:$A$1001,A42,$B$2:$B$1001,B42-1,$G$2:$G$1001,"&gt;0")=0),"违规：须先完成上一次加仓",IF(AND(B42&gt;1,E42&lt;SUMIFS($E$2:$E$1001,$A$2:$A$1001,A42,$B$2:$B$1001,B42-1)),"违规：新止损价不得低于上一次",IF(AND(B42&gt;1,F42&gt;SUMIFS($F$2:$F$1001,$A$2:$A$1001,A42,$B$2:$B$1001,B42-1)),"违规：风险预算须逐次不增加",IF(OR(_LockStatus="已锁仓",_LockStatus="解锁信息不完整"),"违规：锁仓期间禁止加仓",IF(G42="","计划可执行：建议股数见N列",IF(OR(G42&lt;=0,G42&lt;&gt;INT(G42),MOD(G42,100)&lt;&gt;0),"违规：实际股数须为100股整数倍",IF(G42&gt;N42,"违规：实际股数超过风险或金字塔上限",IF(AND(B42&gt;1,G42&gt;SUMIFS($G$2:$G$1001,$A$2:$A$1001,A42,$B$2:$B$1001,B42-1)),"违规：加仓股数须逐次不增加",IF(Q42&gt;F42,"违规：止损风险超过本次预算","通过")))))))))))))))</f>
        <v>违规：实际股数超过风险或金字塔上限</v>
      </c>
    </row>
    <row r="43" ht="17" spans="1:18">
      <c r="A43" s="13">
        <v>21</v>
      </c>
      <c r="B43" s="14">
        <v>1</v>
      </c>
      <c r="C43" s="15">
        <v>44376</v>
      </c>
      <c r="D43" s="16">
        <v>20.58</v>
      </c>
      <c r="E43" s="16">
        <v>20</v>
      </c>
      <c r="F43" s="16">
        <v>1</v>
      </c>
      <c r="G43" s="14">
        <v>2000</v>
      </c>
      <c r="H43" s="17">
        <f t="shared" si="0"/>
        <v>41160</v>
      </c>
      <c r="I43" s="18">
        <f>IF(OR(A43="",B43=""),"",IFERROR(LOOKUP(2,1/(单次交易!$A$2:$A$201=A43),单次交易!$H$2:$H$201),0)+SUMIFS($G$2:$G$1001,$A$2:$A$1001,A43,$B$2:$B$1001,"&lt;"&amp;B43))</f>
        <v>3000</v>
      </c>
      <c r="J43" s="17">
        <f>IF(OR(A43="",B43=""),"",IFERROR(LOOKUP(2,1/(单次交易!$A$2:$A$201=A43),单次交易!$E$2:$E$201)*LOOKUP(2,1/(单次交易!$A$2:$A$201=A43),单次交易!$H$2:$H$201),0)+SUMIFS($H$2:$H$1001,$A$2:$A$1001,A43,$B$2:$B$1001,"&lt;"&amp;B43))</f>
        <v>63180</v>
      </c>
      <c r="K43" s="17">
        <f t="shared" si="1"/>
        <v>0</v>
      </c>
      <c r="L43" s="18">
        <f t="shared" si="2"/>
        <v>0</v>
      </c>
      <c r="M43" s="18">
        <f t="shared" si="3"/>
        <v>0</v>
      </c>
      <c r="N43" s="18">
        <f t="shared" si="4"/>
        <v>0</v>
      </c>
      <c r="O43" s="18">
        <f t="shared" si="5"/>
        <v>5000</v>
      </c>
      <c r="P43" s="17">
        <f t="shared" si="6"/>
        <v>20.868</v>
      </c>
      <c r="Q43" s="17">
        <f t="shared" si="7"/>
        <v>4340</v>
      </c>
      <c r="R43" s="19" t="str">
        <f ca="1">IF(A43="","",IF(COUNTIF(_TradeIds,A43)=0,"违规：交易编号不存在",IF(OR(B43="",B43&lt;1,B43&gt;5,B43&lt;&gt;INT(B43)),"违规：加仓序号须为1到5的整数",IF(COUNTIFS($A$2:$A$1001,A43,$B$2:$B$1001,B43)&gt;1,"违规：同一交易的加仓序号重复",IF(OR(D43="",E43="",F43=""),"计划不完整：请填写加仓价、新止损价和风险预算",IF(OR(D43&lt;=0,E43&lt;=0,F43&lt;=0,D43&lt;=E43),"违规：加仓价必须高于新止损价，金额须大于0",IF(AND(B43&gt;1,COUNTIFS($A$2:$A$1001,A43,$B$2:$B$1001,B43-1,$G$2:$G$1001,"&gt;0")=0),"违规：须先完成上一次加仓",IF(AND(B43&gt;1,E43&lt;SUMIFS($E$2:$E$1001,$A$2:$A$1001,A43,$B$2:$B$1001,B43-1)),"违规：新止损价不得低于上一次",IF(AND(B43&gt;1,F43&gt;SUMIFS($F$2:$F$1001,$A$2:$A$1001,A43,$B$2:$B$1001,B43-1)),"违规：风险预算须逐次不增加",IF(OR(_LockStatus="已锁仓",_LockStatus="解锁信息不完整"),"违规：锁仓期间禁止加仓",IF(G43="","计划可执行：建议股数见N列",IF(OR(G43&lt;=0,G43&lt;&gt;INT(G43),MOD(G43,100)&lt;&gt;0),"违规：实际股数须为100股整数倍",IF(G43&gt;N43,"违规：实际股数超过风险或金字塔上限",IF(AND(B43&gt;1,G43&gt;SUMIFS($G$2:$G$1001,$A$2:$A$1001,A43,$B$2:$B$1001,B43-1)),"违规：加仓股数须逐次不增加",IF(Q43&gt;F43,"违规：止损风险超过本次预算","通过")))))))))))))))</f>
        <v>违规：实际股数超过风险或金字塔上限</v>
      </c>
    </row>
    <row r="44" ht="17" spans="1:18">
      <c r="A44" s="13">
        <v>21</v>
      </c>
      <c r="B44" s="14">
        <v>2</v>
      </c>
      <c r="C44" s="15">
        <v>44392</v>
      </c>
      <c r="D44" s="16">
        <v>20.18</v>
      </c>
      <c r="E44" s="16">
        <v>20</v>
      </c>
      <c r="F44" s="16">
        <v>1</v>
      </c>
      <c r="G44" s="14">
        <v>2000</v>
      </c>
      <c r="H44" s="17">
        <f t="shared" si="0"/>
        <v>40360</v>
      </c>
      <c r="I44" s="18">
        <f>IF(OR(A44="",B44=""),"",IFERROR(LOOKUP(2,1/(单次交易!$A$2:$A$201=A44),单次交易!$H$2:$H$201),0)+SUMIFS($G$2:$G$1001,$A$2:$A$1001,A44,$B$2:$B$1001,"&lt;"&amp;B44))</f>
        <v>5000</v>
      </c>
      <c r="J44" s="17">
        <f>IF(OR(A44="",B44=""),"",IFERROR(LOOKUP(2,1/(单次交易!$A$2:$A$201=A44),单次交易!$E$2:$E$201)*LOOKUP(2,1/(单次交易!$A$2:$A$201=A44),单次交易!$H$2:$H$201),0)+SUMIFS($H$2:$H$1001,$A$2:$A$1001,A44,$B$2:$B$1001,"&lt;"&amp;B44))</f>
        <v>104340</v>
      </c>
      <c r="K44" s="17">
        <f t="shared" si="1"/>
        <v>0</v>
      </c>
      <c r="L44" s="18">
        <f t="shared" si="2"/>
        <v>0</v>
      </c>
      <c r="M44" s="18">
        <f t="shared" si="3"/>
        <v>2000</v>
      </c>
      <c r="N44" s="18">
        <f t="shared" si="4"/>
        <v>0</v>
      </c>
      <c r="O44" s="18">
        <f t="shared" si="5"/>
        <v>7000</v>
      </c>
      <c r="P44" s="17">
        <f t="shared" si="6"/>
        <v>20.6714285714286</v>
      </c>
      <c r="Q44" s="17">
        <f t="shared" si="7"/>
        <v>4700</v>
      </c>
      <c r="R44" s="19" t="str">
        <f ca="1">IF(A44="","",IF(COUNTIF(_TradeIds,A44)=0,"违规：交易编号不存在",IF(OR(B44="",B44&lt;1,B44&gt;5,B44&lt;&gt;INT(B44)),"违规：加仓序号须为1到5的整数",IF(COUNTIFS($A$2:$A$1001,A44,$B$2:$B$1001,B44)&gt;1,"违规：同一交易的加仓序号重复",IF(OR(D44="",E44="",F44=""),"计划不完整：请填写加仓价、新止损价和风险预算",IF(OR(D44&lt;=0,E44&lt;=0,F44&lt;=0,D44&lt;=E44),"违规：加仓价必须高于新止损价，金额须大于0",IF(AND(B44&gt;1,COUNTIFS($A$2:$A$1001,A44,$B$2:$B$1001,B44-1,$G$2:$G$1001,"&gt;0")=0),"违规：须先完成上一次加仓",IF(AND(B44&gt;1,E44&lt;SUMIFS($E$2:$E$1001,$A$2:$A$1001,A44,$B$2:$B$1001,B44-1)),"违规：新止损价不得低于上一次",IF(AND(B44&gt;1,F44&gt;SUMIFS($F$2:$F$1001,$A$2:$A$1001,A44,$B$2:$B$1001,B44-1)),"违规：风险预算须逐次不增加",IF(OR(_LockStatus="已锁仓",_LockStatus="解锁信息不完整"),"违规：锁仓期间禁止加仓",IF(G44="","计划可执行：建议股数见N列",IF(OR(G44&lt;=0,G44&lt;&gt;INT(G44),MOD(G44,100)&lt;&gt;0),"违规：实际股数须为100股整数倍",IF(G44&gt;N44,"违规：实际股数超过风险或金字塔上限",IF(AND(B44&gt;1,G44&gt;SUMIFS($G$2:$G$1001,$A$2:$A$1001,A44,$B$2:$B$1001,B44-1)),"违规：加仓股数须逐次不增加",IF(Q44&gt;F44,"违规：止损风险超过本次预算","通过")))))))))))))))</f>
        <v>违规：实际股数超过风险或金字塔上限</v>
      </c>
    </row>
    <row r="45" ht="17" spans="1:18">
      <c r="A45" s="13">
        <v>21</v>
      </c>
      <c r="B45" s="14">
        <v>3</v>
      </c>
      <c r="C45" s="15">
        <v>44424</v>
      </c>
      <c r="D45" s="16">
        <v>20.63</v>
      </c>
      <c r="E45" s="16">
        <v>20</v>
      </c>
      <c r="F45" s="16">
        <v>1</v>
      </c>
      <c r="G45" s="14">
        <v>2000</v>
      </c>
      <c r="H45" s="17">
        <f t="shared" si="0"/>
        <v>41260</v>
      </c>
      <c r="I45" s="18">
        <f>IF(OR(A45="",B45=""),"",IFERROR(LOOKUP(2,1/(单次交易!$A$2:$A$201=A45),单次交易!$H$2:$H$201),0)+SUMIFS($G$2:$G$1001,$A$2:$A$1001,A45,$B$2:$B$1001,"&lt;"&amp;B45))</f>
        <v>7000</v>
      </c>
      <c r="J45" s="17">
        <f>IF(OR(A45="",B45=""),"",IFERROR(LOOKUP(2,1/(单次交易!$A$2:$A$201=A45),单次交易!$E$2:$E$201)*LOOKUP(2,1/(单次交易!$A$2:$A$201=A45),单次交易!$H$2:$H$201),0)+SUMIFS($H$2:$H$1001,$A$2:$A$1001,A45,$B$2:$B$1001,"&lt;"&amp;B45))</f>
        <v>144700</v>
      </c>
      <c r="K45" s="17">
        <f t="shared" si="1"/>
        <v>0</v>
      </c>
      <c r="L45" s="18">
        <f t="shared" si="2"/>
        <v>0</v>
      </c>
      <c r="M45" s="18">
        <f t="shared" si="3"/>
        <v>2000</v>
      </c>
      <c r="N45" s="18">
        <f t="shared" si="4"/>
        <v>0</v>
      </c>
      <c r="O45" s="18">
        <f t="shared" si="5"/>
        <v>9000</v>
      </c>
      <c r="P45" s="17">
        <f t="shared" si="6"/>
        <v>20.6622222222222</v>
      </c>
      <c r="Q45" s="17">
        <f t="shared" si="7"/>
        <v>5960</v>
      </c>
      <c r="R45" s="19" t="str">
        <f ca="1">IF(A45="","",IF(COUNTIF(_TradeIds,A45)=0,"违规：交易编号不存在",IF(OR(B45="",B45&lt;1,B45&gt;5,B45&lt;&gt;INT(B45)),"违规：加仓序号须为1到5的整数",IF(COUNTIFS($A$2:$A$1001,A45,$B$2:$B$1001,B45)&gt;1,"违规：同一交易的加仓序号重复",IF(OR(D45="",E45="",F45=""),"计划不完整：请填写加仓价、新止损价和风险预算",IF(OR(D45&lt;=0,E45&lt;=0,F45&lt;=0,D45&lt;=E45),"违规：加仓价必须高于新止损价，金额须大于0",IF(AND(B45&gt;1,COUNTIFS($A$2:$A$1001,A45,$B$2:$B$1001,B45-1,$G$2:$G$1001,"&gt;0")=0),"违规：须先完成上一次加仓",IF(AND(B45&gt;1,E45&lt;SUMIFS($E$2:$E$1001,$A$2:$A$1001,A45,$B$2:$B$1001,B45-1)),"违规：新止损价不得低于上一次",IF(AND(B45&gt;1,F45&gt;SUMIFS($F$2:$F$1001,$A$2:$A$1001,A45,$B$2:$B$1001,B45-1)),"违规：风险预算须逐次不增加",IF(OR(_LockStatus="已锁仓",_LockStatus="解锁信息不完整"),"违规：锁仓期间禁止加仓",IF(G45="","计划可执行：建议股数见N列",IF(OR(G45&lt;=0,G45&lt;&gt;INT(G45),MOD(G45,100)&lt;&gt;0),"违规：实际股数须为100股整数倍",IF(G45&gt;N45,"违规：实际股数超过风险或金字塔上限",IF(AND(B45&gt;1,G45&gt;SUMIFS($G$2:$G$1001,$A$2:$A$1001,A45,$B$2:$B$1001,B45-1)),"违规：加仓股数须逐次不增加",IF(Q45&gt;F45,"违规：止损风险超过本次预算","通过")))))))))))))))</f>
        <v>违规：实际股数超过风险或金字塔上限</v>
      </c>
    </row>
    <row r="46" ht="17" spans="1:18">
      <c r="A46" s="13">
        <v>21</v>
      </c>
      <c r="B46" s="14">
        <v>4</v>
      </c>
      <c r="C46" s="15">
        <v>44426</v>
      </c>
      <c r="D46" s="16">
        <v>19.89</v>
      </c>
      <c r="E46" s="16">
        <v>19.5</v>
      </c>
      <c r="F46" s="16">
        <v>1</v>
      </c>
      <c r="G46" s="14">
        <v>1500</v>
      </c>
      <c r="H46" s="17">
        <f t="shared" si="0"/>
        <v>29835</v>
      </c>
      <c r="I46" s="18">
        <f>IF(OR(A46="",B46=""),"",IFERROR(LOOKUP(2,1/(单次交易!$A$2:$A$201=A46),单次交易!$H$2:$H$201),0)+SUMIFS($G$2:$G$1001,$A$2:$A$1001,A46,$B$2:$B$1001,"&lt;"&amp;B46))</f>
        <v>9000</v>
      </c>
      <c r="J46" s="17">
        <f>IF(OR(A46="",B46=""),"",IFERROR(LOOKUP(2,1/(单次交易!$A$2:$A$201=A46),单次交易!$E$2:$E$201)*LOOKUP(2,1/(单次交易!$A$2:$A$201=A46),单次交易!$H$2:$H$201),0)+SUMIFS($H$2:$H$1001,$A$2:$A$1001,A46,$B$2:$B$1001,"&lt;"&amp;B46))</f>
        <v>185960</v>
      </c>
      <c r="K46" s="17">
        <f t="shared" si="1"/>
        <v>0</v>
      </c>
      <c r="L46" s="18">
        <f t="shared" si="2"/>
        <v>0</v>
      </c>
      <c r="M46" s="18">
        <f t="shared" si="3"/>
        <v>2000</v>
      </c>
      <c r="N46" s="18">
        <f t="shared" si="4"/>
        <v>0</v>
      </c>
      <c r="O46" s="18">
        <f t="shared" si="5"/>
        <v>10500</v>
      </c>
      <c r="P46" s="17">
        <f t="shared" si="6"/>
        <v>20.5519047619048</v>
      </c>
      <c r="Q46" s="17">
        <f t="shared" si="7"/>
        <v>11045</v>
      </c>
      <c r="R46" s="19" t="str">
        <f ca="1">IF(A46="","",IF(COUNTIF(_TradeIds,A46)=0,"违规：交易编号不存在",IF(OR(B46="",B46&lt;1,B46&gt;5,B46&lt;&gt;INT(B46)),"违规：加仓序号须为1到5的整数",IF(COUNTIFS($A$2:$A$1001,A46,$B$2:$B$1001,B46)&gt;1,"违规：同一交易的加仓序号重复",IF(OR(D46="",E46="",F46=""),"计划不完整：请填写加仓价、新止损价和风险预算",IF(OR(D46&lt;=0,E46&lt;=0,F46&lt;=0,D46&lt;=E46),"违规：加仓价必须高于新止损价，金额须大于0",IF(AND(B46&gt;1,COUNTIFS($A$2:$A$1001,A46,$B$2:$B$1001,B46-1,$G$2:$G$1001,"&gt;0")=0),"违规：须先完成上一次加仓",IF(AND(B46&gt;1,E46&lt;SUMIFS($E$2:$E$1001,$A$2:$A$1001,A46,$B$2:$B$1001,B46-1)),"违规：新止损价不得低于上一次",IF(AND(B46&gt;1,F46&gt;SUMIFS($F$2:$F$1001,$A$2:$A$1001,A46,$B$2:$B$1001,B46-1)),"违规：风险预算须逐次不增加",IF(OR(_LockStatus="已锁仓",_LockStatus="解锁信息不完整"),"违规：锁仓期间禁止加仓",IF(G46="","计划可执行：建议股数见N列",IF(OR(G46&lt;=0,G46&lt;&gt;INT(G46),MOD(G46,100)&lt;&gt;0),"违规：实际股数须为100股整数倍",IF(G46&gt;N46,"违规：实际股数超过风险或金字塔上限",IF(AND(B46&gt;1,G46&gt;SUMIFS($G$2:$G$1001,$A$2:$A$1001,A46,$B$2:$B$1001,B46-1)),"违规：加仓股数须逐次不增加",IF(Q46&gt;F46,"违规：止损风险超过本次预算","通过")))))))))))))))</f>
        <v>违规：新止损价不得低于上一次</v>
      </c>
    </row>
    <row r="47" ht="17" spans="1:18">
      <c r="A47" s="13">
        <v>22</v>
      </c>
      <c r="B47" s="14">
        <v>1</v>
      </c>
      <c r="C47" s="15">
        <v>44582</v>
      </c>
      <c r="D47" s="16">
        <v>23.72</v>
      </c>
      <c r="E47" s="16">
        <v>22.5</v>
      </c>
      <c r="F47" s="16">
        <v>1</v>
      </c>
      <c r="G47" s="14">
        <v>2000</v>
      </c>
      <c r="H47" s="17">
        <f t="shared" si="0"/>
        <v>47440</v>
      </c>
      <c r="I47" s="18">
        <f>IF(OR(A47="",B47=""),"",IFERROR(LOOKUP(2,1/(单次交易!$A$2:$A$201=A47),单次交易!$H$2:$H$201),0)+SUMIFS($G$2:$G$1001,$A$2:$A$1001,A47,$B$2:$B$1001,"&lt;"&amp;B47))</f>
        <v>2700</v>
      </c>
      <c r="J47" s="17">
        <f>IF(OR(A47="",B47=""),"",IFERROR(LOOKUP(2,1/(单次交易!$A$2:$A$201=A47),单次交易!$E$2:$E$201)*LOOKUP(2,1/(单次交易!$A$2:$A$201=A47),单次交易!$H$2:$H$201),0)+SUMIFS($H$2:$H$1001,$A$2:$A$1001,A47,$B$2:$B$1001,"&lt;"&amp;B47))</f>
        <v>61290</v>
      </c>
      <c r="K47" s="17">
        <f t="shared" si="1"/>
        <v>0</v>
      </c>
      <c r="L47" s="18">
        <f t="shared" si="2"/>
        <v>0</v>
      </c>
      <c r="M47" s="18">
        <f t="shared" si="3"/>
        <v>0</v>
      </c>
      <c r="N47" s="18">
        <f t="shared" si="4"/>
        <v>0</v>
      </c>
      <c r="O47" s="18">
        <f t="shared" si="5"/>
        <v>4700</v>
      </c>
      <c r="P47" s="17">
        <f t="shared" si="6"/>
        <v>23.1340425531915</v>
      </c>
      <c r="Q47" s="17">
        <f t="shared" si="7"/>
        <v>2980</v>
      </c>
      <c r="R47" s="19" t="str">
        <f ca="1">IF(A47="","",IF(COUNTIF(_TradeIds,A47)=0,"违规：交易编号不存在",IF(OR(B47="",B47&lt;1,B47&gt;5,B47&lt;&gt;INT(B47)),"违规：加仓序号须为1到5的整数",IF(COUNTIFS($A$2:$A$1001,A47,$B$2:$B$1001,B47)&gt;1,"违规：同一交易的加仓序号重复",IF(OR(D47="",E47="",F47=""),"计划不完整：请填写加仓价、新止损价和风险预算",IF(OR(D47&lt;=0,E47&lt;=0,F47&lt;=0,D47&lt;=E47),"违规：加仓价必须高于新止损价，金额须大于0",IF(AND(B47&gt;1,COUNTIFS($A$2:$A$1001,A47,$B$2:$B$1001,B47-1,$G$2:$G$1001,"&gt;0")=0),"违规：须先完成上一次加仓",IF(AND(B47&gt;1,E47&lt;SUMIFS($E$2:$E$1001,$A$2:$A$1001,A47,$B$2:$B$1001,B47-1)),"违规：新止损价不得低于上一次",IF(AND(B47&gt;1,F47&gt;SUMIFS($F$2:$F$1001,$A$2:$A$1001,A47,$B$2:$B$1001,B47-1)),"违规：风险预算须逐次不增加",IF(OR(_LockStatus="已锁仓",_LockStatus="解锁信息不完整"),"违规：锁仓期间禁止加仓",IF(G47="","计划可执行：建议股数见N列",IF(OR(G47&lt;=0,G47&lt;&gt;INT(G47),MOD(G47,100)&lt;&gt;0),"违规：实际股数须为100股整数倍",IF(G47&gt;N47,"违规：实际股数超过风险或金字塔上限",IF(AND(B47&gt;1,G47&gt;SUMIFS($G$2:$G$1001,$A$2:$A$1001,A47,$B$2:$B$1001,B47-1)),"违规：加仓股数须逐次不增加",IF(Q47&gt;F47,"违规：止损风险超过本次预算","通过")))))))))))))))</f>
        <v>违规：实际股数超过风险或金字塔上限</v>
      </c>
    </row>
    <row r="48" ht="17" spans="1:18">
      <c r="A48" s="13">
        <v>22</v>
      </c>
      <c r="B48" s="14">
        <v>2</v>
      </c>
      <c r="C48" s="15">
        <v>44599</v>
      </c>
      <c r="D48" s="16">
        <v>22.26</v>
      </c>
      <c r="E48" s="16">
        <v>22</v>
      </c>
      <c r="F48" s="16">
        <v>1</v>
      </c>
      <c r="G48" s="14">
        <v>2000</v>
      </c>
      <c r="H48" s="17">
        <f t="shared" si="0"/>
        <v>44520</v>
      </c>
      <c r="I48" s="18">
        <f>IF(OR(A48="",B48=""),"",IFERROR(LOOKUP(2,1/(单次交易!$A$2:$A$201=A48),单次交易!$H$2:$H$201),0)+SUMIFS($G$2:$G$1001,$A$2:$A$1001,A48,$B$2:$B$1001,"&lt;"&amp;B48))</f>
        <v>4700</v>
      </c>
      <c r="J48" s="17">
        <f>IF(OR(A48="",B48=""),"",IFERROR(LOOKUP(2,1/(单次交易!$A$2:$A$201=A48),单次交易!$E$2:$E$201)*LOOKUP(2,1/(单次交易!$A$2:$A$201=A48),单次交易!$H$2:$H$201),0)+SUMIFS($H$2:$H$1001,$A$2:$A$1001,A48,$B$2:$B$1001,"&lt;"&amp;B48))</f>
        <v>108730</v>
      </c>
      <c r="K48" s="17">
        <f t="shared" si="1"/>
        <v>0</v>
      </c>
      <c r="L48" s="18">
        <f t="shared" si="2"/>
        <v>0</v>
      </c>
      <c r="M48" s="18">
        <f t="shared" si="3"/>
        <v>2000</v>
      </c>
      <c r="N48" s="18">
        <f t="shared" si="4"/>
        <v>0</v>
      </c>
      <c r="O48" s="18">
        <f t="shared" si="5"/>
        <v>6700</v>
      </c>
      <c r="P48" s="17">
        <f t="shared" si="6"/>
        <v>22.8731343283582</v>
      </c>
      <c r="Q48" s="17">
        <f t="shared" si="7"/>
        <v>5850</v>
      </c>
      <c r="R48" s="19" t="str">
        <f ca="1">IF(A48="","",IF(COUNTIF(_TradeIds,A48)=0,"违规：交易编号不存在",IF(OR(B48="",B48&lt;1,B48&gt;5,B48&lt;&gt;INT(B48)),"违规：加仓序号须为1到5的整数",IF(COUNTIFS($A$2:$A$1001,A48,$B$2:$B$1001,B48)&gt;1,"违规：同一交易的加仓序号重复",IF(OR(D48="",E48="",F48=""),"计划不完整：请填写加仓价、新止损价和风险预算",IF(OR(D48&lt;=0,E48&lt;=0,F48&lt;=0,D48&lt;=E48),"违规：加仓价必须高于新止损价，金额须大于0",IF(AND(B48&gt;1,COUNTIFS($A$2:$A$1001,A48,$B$2:$B$1001,B48-1,$G$2:$G$1001,"&gt;0")=0),"违规：须先完成上一次加仓",IF(AND(B48&gt;1,E48&lt;SUMIFS($E$2:$E$1001,$A$2:$A$1001,A48,$B$2:$B$1001,B48-1)),"违规：新止损价不得低于上一次",IF(AND(B48&gt;1,F48&gt;SUMIFS($F$2:$F$1001,$A$2:$A$1001,A48,$B$2:$B$1001,B48-1)),"违规：风险预算须逐次不增加",IF(OR(_LockStatus="已锁仓",_LockStatus="解锁信息不完整"),"违规：锁仓期间禁止加仓",IF(G48="","计划可执行：建议股数见N列",IF(OR(G48&lt;=0,G48&lt;&gt;INT(G48),MOD(G48,100)&lt;&gt;0),"违规：实际股数须为100股整数倍",IF(G48&gt;N48,"违规：实际股数超过风险或金字塔上限",IF(AND(B48&gt;1,G48&gt;SUMIFS($G$2:$G$1001,$A$2:$A$1001,A48,$B$2:$B$1001,B48-1)),"违规：加仓股数须逐次不增加",IF(Q48&gt;F48,"违规：止损风险超过本次预算","通过")))))))))))))))</f>
        <v>违规：新止损价不得低于上一次</v>
      </c>
    </row>
    <row r="49" ht="17" spans="1:18">
      <c r="A49" s="13">
        <v>22</v>
      </c>
      <c r="B49" s="14">
        <v>3</v>
      </c>
      <c r="C49" s="15">
        <v>44613</v>
      </c>
      <c r="D49" s="16">
        <v>24.96</v>
      </c>
      <c r="E49" s="16">
        <v>24</v>
      </c>
      <c r="F49" s="16">
        <v>1</v>
      </c>
      <c r="G49" s="14">
        <v>2000</v>
      </c>
      <c r="H49" s="17">
        <f t="shared" si="0"/>
        <v>49920</v>
      </c>
      <c r="I49" s="18">
        <f>IF(OR(A49="",B49=""),"",IFERROR(LOOKUP(2,1/(单次交易!$A$2:$A$201=A49),单次交易!$H$2:$H$201),0)+SUMIFS($G$2:$G$1001,$A$2:$A$1001,A49,$B$2:$B$1001,"&lt;"&amp;B49))</f>
        <v>6700</v>
      </c>
      <c r="J49" s="17">
        <f>IF(OR(A49="",B49=""),"",IFERROR(LOOKUP(2,1/(单次交易!$A$2:$A$201=A49),单次交易!$E$2:$E$201)*LOOKUP(2,1/(单次交易!$A$2:$A$201=A49),单次交易!$H$2:$H$201),0)+SUMIFS($H$2:$H$1001,$A$2:$A$1001,A49,$B$2:$B$1001,"&lt;"&amp;B49))</f>
        <v>153250</v>
      </c>
      <c r="K49" s="17">
        <f t="shared" si="1"/>
        <v>7550</v>
      </c>
      <c r="L49" s="18">
        <f t="shared" si="2"/>
        <v>7800</v>
      </c>
      <c r="M49" s="18">
        <f t="shared" si="3"/>
        <v>2000</v>
      </c>
      <c r="N49" s="18">
        <f t="shared" si="4"/>
        <v>2000</v>
      </c>
      <c r="O49" s="18">
        <f t="shared" si="5"/>
        <v>8700</v>
      </c>
      <c r="P49" s="17">
        <f t="shared" si="6"/>
        <v>23.3528735632184</v>
      </c>
      <c r="Q49" s="17">
        <f t="shared" si="7"/>
        <v>0</v>
      </c>
      <c r="R49" s="19" t="str">
        <f ca="1">IF(A49="","",IF(COUNTIF(_TradeIds,A49)=0,"违规：交易编号不存在",IF(OR(B49="",B49&lt;1,B49&gt;5,B49&lt;&gt;INT(B49)),"违规：加仓序号须为1到5的整数",IF(COUNTIFS($A$2:$A$1001,A49,$B$2:$B$1001,B49)&gt;1,"违规：同一交易的加仓序号重复",IF(OR(D49="",E49="",F49=""),"计划不完整：请填写加仓价、新止损价和风险预算",IF(OR(D49&lt;=0,E49&lt;=0,F49&lt;=0,D49&lt;=E49),"违规：加仓价必须高于新止损价，金额须大于0",IF(AND(B49&gt;1,COUNTIFS($A$2:$A$1001,A49,$B$2:$B$1001,B49-1,$G$2:$G$1001,"&gt;0")=0),"违规：须先完成上一次加仓",IF(AND(B49&gt;1,E49&lt;SUMIFS($E$2:$E$1001,$A$2:$A$1001,A49,$B$2:$B$1001,B49-1)),"违规：新止损价不得低于上一次",IF(AND(B49&gt;1,F49&gt;SUMIFS($F$2:$F$1001,$A$2:$A$1001,A49,$B$2:$B$1001,B49-1)),"违规：风险预算须逐次不增加",IF(OR(_LockStatus="已锁仓",_LockStatus="解锁信息不完整"),"违规：锁仓期间禁止加仓",IF(G49="","计划可执行：建议股数见N列",IF(OR(G49&lt;=0,G49&lt;&gt;INT(G49),MOD(G49,100)&lt;&gt;0),"违规：实际股数须为100股整数倍",IF(G49&gt;N49,"违规：实际股数超过风险或金字塔上限",IF(AND(B49&gt;1,G49&gt;SUMIFS($G$2:$G$1001,$A$2:$A$1001,A49,$B$2:$B$1001,B49-1)),"违规：加仓股数须逐次不增加",IF(Q49&gt;F49,"违规：止损风险超过本次预算","通过")))))))))))))))</f>
        <v>通过</v>
      </c>
    </row>
    <row r="50" ht="17" spans="1:18">
      <c r="A50" s="13">
        <v>23</v>
      </c>
      <c r="B50" s="14">
        <v>1</v>
      </c>
      <c r="C50" s="15">
        <v>44636</v>
      </c>
      <c r="D50" s="16">
        <v>24.93</v>
      </c>
      <c r="E50" s="16">
        <v>23</v>
      </c>
      <c r="F50" s="16">
        <v>1</v>
      </c>
      <c r="G50" s="14">
        <v>2000</v>
      </c>
      <c r="H50" s="17">
        <f t="shared" si="0"/>
        <v>49860</v>
      </c>
      <c r="I50" s="18">
        <f>IF(OR(A50="",B50=""),"",IFERROR(LOOKUP(2,1/(单次交易!$A$2:$A$201=A50),单次交易!$H$2:$H$201),0)+SUMIFS($G$2:$G$1001,$A$2:$A$1001,A50,$B$2:$B$1001,"&lt;"&amp;B50))</f>
        <v>2700</v>
      </c>
      <c r="J50" s="17">
        <f>IF(OR(A50="",B50=""),"",IFERROR(LOOKUP(2,1/(单次交易!$A$2:$A$201=A50),单次交易!$E$2:$E$201)*LOOKUP(2,1/(单次交易!$A$2:$A$201=A50),单次交易!$H$2:$H$201),0)+SUMIFS($H$2:$H$1001,$A$2:$A$1001,A50,$B$2:$B$1001,"&lt;"&amp;B50))</f>
        <v>72279</v>
      </c>
      <c r="K50" s="17">
        <f t="shared" si="1"/>
        <v>0</v>
      </c>
      <c r="L50" s="18">
        <f t="shared" si="2"/>
        <v>0</v>
      </c>
      <c r="M50" s="18">
        <f t="shared" si="3"/>
        <v>0</v>
      </c>
      <c r="N50" s="18">
        <f t="shared" si="4"/>
        <v>0</v>
      </c>
      <c r="O50" s="18">
        <f t="shared" si="5"/>
        <v>4700</v>
      </c>
      <c r="P50" s="17">
        <f t="shared" si="6"/>
        <v>25.9870212765957</v>
      </c>
      <c r="Q50" s="17">
        <f t="shared" si="7"/>
        <v>14039</v>
      </c>
      <c r="R50" s="19" t="str">
        <f ca="1">IF(A50="","",IF(COUNTIF(_TradeIds,A50)=0,"违规：交易编号不存在",IF(OR(B50="",B50&lt;1,B50&gt;5,B50&lt;&gt;INT(B50)),"违规：加仓序号须为1到5的整数",IF(COUNTIFS($A$2:$A$1001,A50,$B$2:$B$1001,B50)&gt;1,"违规：同一交易的加仓序号重复",IF(OR(D50="",E50="",F50=""),"计划不完整：请填写加仓价、新止损价和风险预算",IF(OR(D50&lt;=0,E50&lt;=0,F50&lt;=0,D50&lt;=E50),"违规：加仓价必须高于新止损价，金额须大于0",IF(AND(B50&gt;1,COUNTIFS($A$2:$A$1001,A50,$B$2:$B$1001,B50-1,$G$2:$G$1001,"&gt;0")=0),"违规：须先完成上一次加仓",IF(AND(B50&gt;1,E50&lt;SUMIFS($E$2:$E$1001,$A$2:$A$1001,A50,$B$2:$B$1001,B50-1)),"违规：新止损价不得低于上一次",IF(AND(B50&gt;1,F50&gt;SUMIFS($F$2:$F$1001,$A$2:$A$1001,A50,$B$2:$B$1001,B50-1)),"违规：风险预算须逐次不增加",IF(OR(_LockStatus="已锁仓",_LockStatus="解锁信息不完整"),"违规：锁仓期间禁止加仓",IF(G50="","计划可执行：建议股数见N列",IF(OR(G50&lt;=0,G50&lt;&gt;INT(G50),MOD(G50,100)&lt;&gt;0),"违规：实际股数须为100股整数倍",IF(G50&gt;N50,"违规：实际股数超过风险或金字塔上限",IF(AND(B50&gt;1,G50&gt;SUMIFS($G$2:$G$1001,$A$2:$A$1001,A50,$B$2:$B$1001,B50-1)),"违规：加仓股数须逐次不增加",IF(Q50&gt;F50,"违规：止损风险超过本次预算","通过")))))))))))))))</f>
        <v>违规：实际股数超过风险或金字塔上限</v>
      </c>
    </row>
    <row r="51" ht="17" spans="1:18">
      <c r="A51" s="13">
        <v>23</v>
      </c>
      <c r="B51" s="14">
        <v>2</v>
      </c>
      <c r="C51" s="15">
        <v>44662</v>
      </c>
      <c r="D51" s="16">
        <v>24.85</v>
      </c>
      <c r="E51" s="16">
        <v>23</v>
      </c>
      <c r="F51" s="16">
        <v>1</v>
      </c>
      <c r="G51" s="14">
        <v>2000</v>
      </c>
      <c r="H51" s="17">
        <f t="shared" si="0"/>
        <v>49700</v>
      </c>
      <c r="I51" s="18">
        <f>IF(OR(A51="",B51=""),"",IFERROR(LOOKUP(2,1/(单次交易!$A$2:$A$201=A51),单次交易!$H$2:$H$201),0)+SUMIFS($G$2:$G$1001,$A$2:$A$1001,A51,$B$2:$B$1001,"&lt;"&amp;B51))</f>
        <v>4700</v>
      </c>
      <c r="J51" s="17">
        <f>IF(OR(A51="",B51=""),"",IFERROR(LOOKUP(2,1/(单次交易!$A$2:$A$201=A51),单次交易!$E$2:$E$201)*LOOKUP(2,1/(单次交易!$A$2:$A$201=A51),单次交易!$H$2:$H$201),0)+SUMIFS($H$2:$H$1001,$A$2:$A$1001,A51,$B$2:$B$1001,"&lt;"&amp;B51))</f>
        <v>122139</v>
      </c>
      <c r="K51" s="17">
        <f t="shared" si="1"/>
        <v>0</v>
      </c>
      <c r="L51" s="18">
        <f t="shared" si="2"/>
        <v>0</v>
      </c>
      <c r="M51" s="18">
        <f t="shared" si="3"/>
        <v>2000</v>
      </c>
      <c r="N51" s="18">
        <f t="shared" si="4"/>
        <v>0</v>
      </c>
      <c r="O51" s="18">
        <f t="shared" si="5"/>
        <v>6700</v>
      </c>
      <c r="P51" s="17">
        <f t="shared" si="6"/>
        <v>25.6476119402985</v>
      </c>
      <c r="Q51" s="17">
        <f t="shared" si="7"/>
        <v>17739</v>
      </c>
      <c r="R51" s="19" t="str">
        <f ca="1">IF(A51="","",IF(COUNTIF(_TradeIds,A51)=0,"违规：交易编号不存在",IF(OR(B51="",B51&lt;1,B51&gt;5,B51&lt;&gt;INT(B51)),"违规：加仓序号须为1到5的整数",IF(COUNTIFS($A$2:$A$1001,A51,$B$2:$B$1001,B51)&gt;1,"违规：同一交易的加仓序号重复",IF(OR(D51="",E51="",F51=""),"计划不完整：请填写加仓价、新止损价和风险预算",IF(OR(D51&lt;=0,E51&lt;=0,F51&lt;=0,D51&lt;=E51),"违规：加仓价必须高于新止损价，金额须大于0",IF(AND(B51&gt;1,COUNTIFS($A$2:$A$1001,A51,$B$2:$B$1001,B51-1,$G$2:$G$1001,"&gt;0")=0),"违规：须先完成上一次加仓",IF(AND(B51&gt;1,E51&lt;SUMIFS($E$2:$E$1001,$A$2:$A$1001,A51,$B$2:$B$1001,B51-1)),"违规：新止损价不得低于上一次",IF(AND(B51&gt;1,F51&gt;SUMIFS($F$2:$F$1001,$A$2:$A$1001,A51,$B$2:$B$1001,B51-1)),"违规：风险预算须逐次不增加",IF(OR(_LockStatus="已锁仓",_LockStatus="解锁信息不完整"),"违规：锁仓期间禁止加仓",IF(G51="","计划可执行：建议股数见N列",IF(OR(G51&lt;=0,G51&lt;&gt;INT(G51),MOD(G51,100)&lt;&gt;0),"违规：实际股数须为100股整数倍",IF(G51&gt;N51,"违规：实际股数超过风险或金字塔上限",IF(AND(B51&gt;1,G51&gt;SUMIFS($G$2:$G$1001,$A$2:$A$1001,A51,$B$2:$B$1001,B51-1)),"违规：加仓股数须逐次不增加",IF(Q51&gt;F51,"违规：止损风险超过本次预算","通过")))))))))))))))</f>
        <v>违规：实际股数超过风险或金字塔上限</v>
      </c>
    </row>
    <row r="52" ht="17" spans="1:18">
      <c r="A52" s="13">
        <v>24</v>
      </c>
      <c r="B52" s="14">
        <v>1</v>
      </c>
      <c r="C52" s="15">
        <v>44722</v>
      </c>
      <c r="D52" s="16">
        <v>19.8</v>
      </c>
      <c r="E52" s="16">
        <v>19</v>
      </c>
      <c r="F52" s="16">
        <v>1</v>
      </c>
      <c r="G52" s="14">
        <v>2000</v>
      </c>
      <c r="H52" s="17">
        <f t="shared" si="0"/>
        <v>39600</v>
      </c>
      <c r="I52" s="18">
        <f>IF(OR(A52="",B52=""),"",IFERROR(LOOKUP(2,1/(单次交易!$A$2:$A$201=A52),单次交易!$H$2:$H$201),0)+SUMIFS($G$2:$G$1001,$A$2:$A$1001,A52,$B$2:$B$1001,"&lt;"&amp;B52))</f>
        <v>3700</v>
      </c>
      <c r="J52" s="17">
        <f>IF(OR(A52="",B52=""),"",IFERROR(LOOKUP(2,1/(单次交易!$A$2:$A$201=A52),单次交易!$E$2:$E$201)*LOOKUP(2,1/(单次交易!$A$2:$A$201=A52),单次交易!$H$2:$H$201),0)+SUMIFS($H$2:$H$1001,$A$2:$A$1001,A52,$B$2:$B$1001,"&lt;"&amp;B52))</f>
        <v>66230</v>
      </c>
      <c r="K52" s="17">
        <f t="shared" si="1"/>
        <v>4070</v>
      </c>
      <c r="L52" s="18">
        <f t="shared" si="2"/>
        <v>5000</v>
      </c>
      <c r="M52" s="18">
        <f t="shared" si="3"/>
        <v>5000</v>
      </c>
      <c r="N52" s="18">
        <f t="shared" si="4"/>
        <v>5000</v>
      </c>
      <c r="O52" s="18">
        <f t="shared" si="5"/>
        <v>5700</v>
      </c>
      <c r="P52" s="17">
        <f t="shared" si="6"/>
        <v>18.5666666666667</v>
      </c>
      <c r="Q52" s="17">
        <f t="shared" si="7"/>
        <v>0</v>
      </c>
      <c r="R52" s="19" t="str">
        <f ca="1">IF(A52="","",IF(COUNTIF(_TradeIds,A52)=0,"违规：交易编号不存在",IF(OR(B52="",B52&lt;1,B52&gt;5,B52&lt;&gt;INT(B52)),"违规：加仓序号须为1到5的整数",IF(COUNTIFS($A$2:$A$1001,A52,$B$2:$B$1001,B52)&gt;1,"违规：同一交易的加仓序号重复",IF(OR(D52="",E52="",F52=""),"计划不完整：请填写加仓价、新止损价和风险预算",IF(OR(D52&lt;=0,E52&lt;=0,F52&lt;=0,D52&lt;=E52),"违规：加仓价必须高于新止损价，金额须大于0",IF(AND(B52&gt;1,COUNTIFS($A$2:$A$1001,A52,$B$2:$B$1001,B52-1,$G$2:$G$1001,"&gt;0")=0),"违规：须先完成上一次加仓",IF(AND(B52&gt;1,E52&lt;SUMIFS($E$2:$E$1001,$A$2:$A$1001,A52,$B$2:$B$1001,B52-1)),"违规：新止损价不得低于上一次",IF(AND(B52&gt;1,F52&gt;SUMIFS($F$2:$F$1001,$A$2:$A$1001,A52,$B$2:$B$1001,B52-1)),"违规：风险预算须逐次不增加",IF(OR(_LockStatus="已锁仓",_LockStatus="解锁信息不完整"),"违规：锁仓期间禁止加仓",IF(G52="","计划可执行：建议股数见N列",IF(OR(G52&lt;=0,G52&lt;&gt;INT(G52),MOD(G52,100)&lt;&gt;0),"违规：实际股数须为100股整数倍",IF(G52&gt;N52,"违规：实际股数超过风险或金字塔上限",IF(AND(B52&gt;1,G52&gt;SUMIFS($G$2:$G$1001,$A$2:$A$1001,A52,$B$2:$B$1001,B52-1)),"违规：加仓股数须逐次不增加",IF(Q52&gt;F52,"违规：止损风险超过本次预算","通过")))))))))))))))</f>
        <v>通过</v>
      </c>
    </row>
    <row r="53" ht="17" spans="1:18">
      <c r="A53" s="13">
        <v>24</v>
      </c>
      <c r="B53" s="14">
        <v>2</v>
      </c>
      <c r="C53" s="15">
        <v>44740</v>
      </c>
      <c r="D53" s="16">
        <v>20.36</v>
      </c>
      <c r="E53" s="16">
        <v>19.5</v>
      </c>
      <c r="F53" s="16">
        <v>1</v>
      </c>
      <c r="G53" s="14">
        <v>2000</v>
      </c>
      <c r="H53" s="17">
        <f t="shared" si="0"/>
        <v>40720</v>
      </c>
      <c r="I53" s="18">
        <f>IF(OR(A53="",B53=""),"",IFERROR(LOOKUP(2,1/(单次交易!$A$2:$A$201=A53),单次交易!$H$2:$H$201),0)+SUMIFS($G$2:$G$1001,$A$2:$A$1001,A53,$B$2:$B$1001,"&lt;"&amp;B53))</f>
        <v>5700</v>
      </c>
      <c r="J53" s="17">
        <f>IF(OR(A53="",B53=""),"",IFERROR(LOOKUP(2,1/(单次交易!$A$2:$A$201=A53),单次交易!$E$2:$E$201)*LOOKUP(2,1/(单次交易!$A$2:$A$201=A53),单次交易!$H$2:$H$201),0)+SUMIFS($H$2:$H$1001,$A$2:$A$1001,A53,$B$2:$B$1001,"&lt;"&amp;B53))</f>
        <v>105830</v>
      </c>
      <c r="K53" s="17">
        <f t="shared" si="1"/>
        <v>5320</v>
      </c>
      <c r="L53" s="18">
        <f t="shared" si="2"/>
        <v>6100</v>
      </c>
      <c r="M53" s="18">
        <f t="shared" si="3"/>
        <v>2000</v>
      </c>
      <c r="N53" s="18">
        <f t="shared" si="4"/>
        <v>2000</v>
      </c>
      <c r="O53" s="18">
        <f t="shared" si="5"/>
        <v>7700</v>
      </c>
      <c r="P53" s="17">
        <f t="shared" si="6"/>
        <v>19.0324675324675</v>
      </c>
      <c r="Q53" s="17">
        <f t="shared" si="7"/>
        <v>0</v>
      </c>
      <c r="R53" s="19" t="str">
        <f ca="1">IF(A53="","",IF(COUNTIF(_TradeIds,A53)=0,"违规：交易编号不存在",IF(OR(B53="",B53&lt;1,B53&gt;5,B53&lt;&gt;INT(B53)),"违规：加仓序号须为1到5的整数",IF(COUNTIFS($A$2:$A$1001,A53,$B$2:$B$1001,B53)&gt;1,"违规：同一交易的加仓序号重复",IF(OR(D53="",E53="",F53=""),"计划不完整：请填写加仓价、新止损价和风险预算",IF(OR(D53&lt;=0,E53&lt;=0,F53&lt;=0,D53&lt;=E53),"违规：加仓价必须高于新止损价，金额须大于0",IF(AND(B53&gt;1,COUNTIFS($A$2:$A$1001,A53,$B$2:$B$1001,B53-1,$G$2:$G$1001,"&gt;0")=0),"违规：须先完成上一次加仓",IF(AND(B53&gt;1,E53&lt;SUMIFS($E$2:$E$1001,$A$2:$A$1001,A53,$B$2:$B$1001,B53-1)),"违规：新止损价不得低于上一次",IF(AND(B53&gt;1,F53&gt;SUMIFS($F$2:$F$1001,$A$2:$A$1001,A53,$B$2:$B$1001,B53-1)),"违规：风险预算须逐次不增加",IF(OR(_LockStatus="已锁仓",_LockStatus="解锁信息不完整"),"违规：锁仓期间禁止加仓",IF(G53="","计划可执行：建议股数见N列",IF(OR(G53&lt;=0,G53&lt;&gt;INT(G53),MOD(G53,100)&lt;&gt;0),"违规：实际股数须为100股整数倍",IF(G53&gt;N53,"违规：实际股数超过风险或金字塔上限",IF(AND(B53&gt;1,G53&gt;SUMIFS($G$2:$G$1001,$A$2:$A$1001,A53,$B$2:$B$1001,B53-1)),"违规：加仓股数须逐次不增加",IF(Q53&gt;F53,"违规：止损风险超过本次预算","通过")))))))))))))))</f>
        <v>通过</v>
      </c>
    </row>
    <row r="54" ht="17" spans="1:18">
      <c r="A54" s="13">
        <v>24</v>
      </c>
      <c r="B54" s="14">
        <v>3</v>
      </c>
      <c r="C54" s="15">
        <v>44756</v>
      </c>
      <c r="D54" s="16">
        <v>18.3</v>
      </c>
      <c r="E54" s="16">
        <v>18</v>
      </c>
      <c r="F54" s="16">
        <v>1</v>
      </c>
      <c r="G54" s="14">
        <v>2000</v>
      </c>
      <c r="H54" s="17">
        <f t="shared" si="0"/>
        <v>36600</v>
      </c>
      <c r="I54" s="18">
        <f>IF(OR(A54="",B54=""),"",IFERROR(LOOKUP(2,1/(单次交易!$A$2:$A$201=A54),单次交易!$H$2:$H$201),0)+SUMIFS($G$2:$G$1001,$A$2:$A$1001,A54,$B$2:$B$1001,"&lt;"&amp;B54))</f>
        <v>7700</v>
      </c>
      <c r="J54" s="17">
        <f>IF(OR(A54="",B54=""),"",IFERROR(LOOKUP(2,1/(单次交易!$A$2:$A$201=A54),单次交易!$E$2:$E$201)*LOOKUP(2,1/(单次交易!$A$2:$A$201=A54),单次交易!$H$2:$H$201),0)+SUMIFS($H$2:$H$1001,$A$2:$A$1001,A54,$B$2:$B$1001,"&lt;"&amp;B54))</f>
        <v>146550</v>
      </c>
      <c r="K54" s="17">
        <f t="shared" si="1"/>
        <v>0</v>
      </c>
      <c r="L54" s="18">
        <f t="shared" si="2"/>
        <v>0</v>
      </c>
      <c r="M54" s="18">
        <f t="shared" si="3"/>
        <v>2000</v>
      </c>
      <c r="N54" s="18">
        <f t="shared" si="4"/>
        <v>0</v>
      </c>
      <c r="O54" s="18">
        <f t="shared" si="5"/>
        <v>9700</v>
      </c>
      <c r="P54" s="17">
        <f t="shared" si="6"/>
        <v>18.8814432989691</v>
      </c>
      <c r="Q54" s="17">
        <f t="shared" si="7"/>
        <v>8550</v>
      </c>
      <c r="R54" s="19" t="str">
        <f ca="1">IF(A54="","",IF(COUNTIF(_TradeIds,A54)=0,"违规：交易编号不存在",IF(OR(B54="",B54&lt;1,B54&gt;5,B54&lt;&gt;INT(B54)),"违规：加仓序号须为1到5的整数",IF(COUNTIFS($A$2:$A$1001,A54,$B$2:$B$1001,B54)&gt;1,"违规：同一交易的加仓序号重复",IF(OR(D54="",E54="",F54=""),"计划不完整：请填写加仓价、新止损价和风险预算",IF(OR(D54&lt;=0,E54&lt;=0,F54&lt;=0,D54&lt;=E54),"违规：加仓价必须高于新止损价，金额须大于0",IF(AND(B54&gt;1,COUNTIFS($A$2:$A$1001,A54,$B$2:$B$1001,B54-1,$G$2:$G$1001,"&gt;0")=0),"违规：须先完成上一次加仓",IF(AND(B54&gt;1,E54&lt;SUMIFS($E$2:$E$1001,$A$2:$A$1001,A54,$B$2:$B$1001,B54-1)),"违规：新止损价不得低于上一次",IF(AND(B54&gt;1,F54&gt;SUMIFS($F$2:$F$1001,$A$2:$A$1001,A54,$B$2:$B$1001,B54-1)),"违规：风险预算须逐次不增加",IF(OR(_LockStatus="已锁仓",_LockStatus="解锁信息不完整"),"违规：锁仓期间禁止加仓",IF(G54="","计划可执行：建议股数见N列",IF(OR(G54&lt;=0,G54&lt;&gt;INT(G54),MOD(G54,100)&lt;&gt;0),"违规：实际股数须为100股整数倍",IF(G54&gt;N54,"违规：实际股数超过风险或金字塔上限",IF(AND(B54&gt;1,G54&gt;SUMIFS($G$2:$G$1001,$A$2:$A$1001,A54,$B$2:$B$1001,B54-1)),"违规：加仓股数须逐次不增加",IF(Q54&gt;F54,"违规：止损风险超过本次预算","通过")))))))))))))))</f>
        <v>违规：新止损价不得低于上一次</v>
      </c>
    </row>
    <row r="55" ht="17" spans="1:18">
      <c r="A55" s="13">
        <v>24</v>
      </c>
      <c r="B55" s="14">
        <v>4</v>
      </c>
      <c r="C55" s="15">
        <v>44782</v>
      </c>
      <c r="D55" s="16">
        <v>17.34</v>
      </c>
      <c r="E55" s="16">
        <v>17</v>
      </c>
      <c r="F55" s="16">
        <v>1</v>
      </c>
      <c r="G55" s="14">
        <v>1500</v>
      </c>
      <c r="H55" s="17">
        <f t="shared" si="0"/>
        <v>26010</v>
      </c>
      <c r="I55" s="18">
        <f>IF(OR(A55="",B55=""),"",IFERROR(LOOKUP(2,1/(单次交易!$A$2:$A$201=A55),单次交易!$H$2:$H$201),0)+SUMIFS($G$2:$G$1001,$A$2:$A$1001,A55,$B$2:$B$1001,"&lt;"&amp;B55))</f>
        <v>9700</v>
      </c>
      <c r="J55" s="17">
        <f>IF(OR(A55="",B55=""),"",IFERROR(LOOKUP(2,1/(单次交易!$A$2:$A$201=A55),单次交易!$E$2:$E$201)*LOOKUP(2,1/(单次交易!$A$2:$A$201=A55),单次交易!$H$2:$H$201),0)+SUMIFS($H$2:$H$1001,$A$2:$A$1001,A55,$B$2:$B$1001,"&lt;"&amp;B55))</f>
        <v>183150</v>
      </c>
      <c r="K55" s="17">
        <f t="shared" si="1"/>
        <v>0</v>
      </c>
      <c r="L55" s="18">
        <f t="shared" si="2"/>
        <v>0</v>
      </c>
      <c r="M55" s="18">
        <f t="shared" si="3"/>
        <v>2000</v>
      </c>
      <c r="N55" s="18">
        <f t="shared" si="4"/>
        <v>0</v>
      </c>
      <c r="O55" s="18">
        <f t="shared" si="5"/>
        <v>11200</v>
      </c>
      <c r="P55" s="17">
        <f t="shared" si="6"/>
        <v>18.675</v>
      </c>
      <c r="Q55" s="17">
        <f t="shared" si="7"/>
        <v>18760</v>
      </c>
      <c r="R55" s="19" t="str">
        <f ca="1">IF(A55="","",IF(COUNTIF(_TradeIds,A55)=0,"违规：交易编号不存在",IF(OR(B55="",B55&lt;1,B55&gt;5,B55&lt;&gt;INT(B55)),"违规：加仓序号须为1到5的整数",IF(COUNTIFS($A$2:$A$1001,A55,$B$2:$B$1001,B55)&gt;1,"违规：同一交易的加仓序号重复",IF(OR(D55="",E55="",F55=""),"计划不完整：请填写加仓价、新止损价和风险预算",IF(OR(D55&lt;=0,E55&lt;=0,F55&lt;=0,D55&lt;=E55),"违规：加仓价必须高于新止损价，金额须大于0",IF(AND(B55&gt;1,COUNTIFS($A$2:$A$1001,A55,$B$2:$B$1001,B55-1,$G$2:$G$1001,"&gt;0")=0),"违规：须先完成上一次加仓",IF(AND(B55&gt;1,E55&lt;SUMIFS($E$2:$E$1001,$A$2:$A$1001,A55,$B$2:$B$1001,B55-1)),"违规：新止损价不得低于上一次",IF(AND(B55&gt;1,F55&gt;SUMIFS($F$2:$F$1001,$A$2:$A$1001,A55,$B$2:$B$1001,B55-1)),"违规：风险预算须逐次不增加",IF(OR(_LockStatus="已锁仓",_LockStatus="解锁信息不完整"),"违规：锁仓期间禁止加仓",IF(G55="","计划可执行：建议股数见N列",IF(OR(G55&lt;=0,G55&lt;&gt;INT(G55),MOD(G55,100)&lt;&gt;0),"违规：实际股数须为100股整数倍",IF(G55&gt;N55,"违规：实际股数超过风险或金字塔上限",IF(AND(B55&gt;1,G55&gt;SUMIFS($G$2:$G$1001,$A$2:$A$1001,A55,$B$2:$B$1001,B55-1)),"违规：加仓股数须逐次不增加",IF(Q55&gt;F55,"违规：止损风险超过本次预算","通过")))))))))))))))</f>
        <v>违规：新止损价不得低于上一次</v>
      </c>
    </row>
    <row r="56" ht="17" spans="1:18">
      <c r="A56" s="13">
        <v>25</v>
      </c>
      <c r="B56" s="14">
        <v>1</v>
      </c>
      <c r="C56" s="15">
        <v>44820</v>
      </c>
      <c r="D56" s="16">
        <v>19.16</v>
      </c>
      <c r="E56" s="16">
        <v>18</v>
      </c>
      <c r="F56" s="16">
        <v>1</v>
      </c>
      <c r="G56" s="14">
        <v>2000</v>
      </c>
      <c r="H56" s="17">
        <f t="shared" si="0"/>
        <v>38320</v>
      </c>
      <c r="I56" s="18">
        <f>IF(OR(A56="",B56=""),"",IFERROR(LOOKUP(2,1/(单次交易!$A$2:$A$201=A56),单次交易!$H$2:$H$201),0)+SUMIFS($G$2:$G$1001,$A$2:$A$1001,A56,$B$2:$B$1001,"&lt;"&amp;B56))</f>
        <v>2300</v>
      </c>
      <c r="J56" s="17">
        <f>IF(OR(A56="",B56=""),"",IFERROR(LOOKUP(2,1/(单次交易!$A$2:$A$201=A56),单次交易!$E$2:$E$201)*LOOKUP(2,1/(单次交易!$A$2:$A$201=A56),单次交易!$H$2:$H$201),0)+SUMIFS($H$2:$H$1001,$A$2:$A$1001,A56,$B$2:$B$1001,"&lt;"&amp;B56))</f>
        <v>49404</v>
      </c>
      <c r="K56" s="17">
        <f t="shared" si="1"/>
        <v>0</v>
      </c>
      <c r="L56" s="18">
        <f t="shared" si="2"/>
        <v>0</v>
      </c>
      <c r="M56" s="18">
        <f t="shared" si="3"/>
        <v>0</v>
      </c>
      <c r="N56" s="18">
        <f t="shared" si="4"/>
        <v>0</v>
      </c>
      <c r="O56" s="18">
        <f t="shared" si="5"/>
        <v>4300</v>
      </c>
      <c r="P56" s="17">
        <f t="shared" si="6"/>
        <v>20.4009302325581</v>
      </c>
      <c r="Q56" s="17">
        <f t="shared" si="7"/>
        <v>10324</v>
      </c>
      <c r="R56" s="19" t="str">
        <f ca="1">IF(A56="","",IF(COUNTIF(_TradeIds,A56)=0,"违规：交易编号不存在",IF(OR(B56="",B56&lt;1,B56&gt;5,B56&lt;&gt;INT(B56)),"违规：加仓序号须为1到5的整数",IF(COUNTIFS($A$2:$A$1001,A56,$B$2:$B$1001,B56)&gt;1,"违规：同一交易的加仓序号重复",IF(OR(D56="",E56="",F56=""),"计划不完整：请填写加仓价、新止损价和风险预算",IF(OR(D56&lt;=0,E56&lt;=0,F56&lt;=0,D56&lt;=E56),"违规：加仓价必须高于新止损价，金额须大于0",IF(AND(B56&gt;1,COUNTIFS($A$2:$A$1001,A56,$B$2:$B$1001,B56-1,$G$2:$G$1001,"&gt;0")=0),"违规：须先完成上一次加仓",IF(AND(B56&gt;1,E56&lt;SUMIFS($E$2:$E$1001,$A$2:$A$1001,A56,$B$2:$B$1001,B56-1)),"违规：新止损价不得低于上一次",IF(AND(B56&gt;1,F56&gt;SUMIFS($F$2:$F$1001,$A$2:$A$1001,A56,$B$2:$B$1001,B56-1)),"违规：风险预算须逐次不增加",IF(OR(_LockStatus="已锁仓",_LockStatus="解锁信息不完整"),"违规：锁仓期间禁止加仓",IF(G56="","计划可执行：建议股数见N列",IF(OR(G56&lt;=0,G56&lt;&gt;INT(G56),MOD(G56,100)&lt;&gt;0),"违规：实际股数须为100股整数倍",IF(G56&gt;N56,"违规：实际股数超过风险或金字塔上限",IF(AND(B56&gt;1,G56&gt;SUMIFS($G$2:$G$1001,$A$2:$A$1001,A56,$B$2:$B$1001,B56-1)),"违规：加仓股数须逐次不增加",IF(Q56&gt;F56,"违规：止损风险超过本次预算","通过")))))))))))))))</f>
        <v>违规：实际股数超过风险或金字塔上限</v>
      </c>
    </row>
    <row r="57" ht="17" spans="1:18">
      <c r="A57" s="13">
        <v>25</v>
      </c>
      <c r="B57" s="14">
        <v>2</v>
      </c>
      <c r="C57" s="15">
        <v>44846</v>
      </c>
      <c r="D57" s="16">
        <v>18.62</v>
      </c>
      <c r="E57" s="16">
        <v>17</v>
      </c>
      <c r="F57" s="16">
        <v>1</v>
      </c>
      <c r="G57" s="14">
        <v>2000</v>
      </c>
      <c r="H57" s="17">
        <f t="shared" si="0"/>
        <v>37240</v>
      </c>
      <c r="I57" s="18">
        <f>IF(OR(A57="",B57=""),"",IFERROR(LOOKUP(2,1/(单次交易!$A$2:$A$201=A57),单次交易!$H$2:$H$201),0)+SUMIFS($G$2:$G$1001,$A$2:$A$1001,A57,$B$2:$B$1001,"&lt;"&amp;B57))</f>
        <v>4300</v>
      </c>
      <c r="J57" s="17">
        <f>IF(OR(A57="",B57=""),"",IFERROR(LOOKUP(2,1/(单次交易!$A$2:$A$201=A57),单次交易!$E$2:$E$201)*LOOKUP(2,1/(单次交易!$A$2:$A$201=A57),单次交易!$H$2:$H$201),0)+SUMIFS($H$2:$H$1001,$A$2:$A$1001,A57,$B$2:$B$1001,"&lt;"&amp;B57))</f>
        <v>87724</v>
      </c>
      <c r="K57" s="17">
        <f t="shared" si="1"/>
        <v>0</v>
      </c>
      <c r="L57" s="18">
        <f t="shared" si="2"/>
        <v>0</v>
      </c>
      <c r="M57" s="18">
        <f t="shared" si="3"/>
        <v>2000</v>
      </c>
      <c r="N57" s="18">
        <f t="shared" si="4"/>
        <v>0</v>
      </c>
      <c r="O57" s="18">
        <f t="shared" si="5"/>
        <v>6300</v>
      </c>
      <c r="P57" s="17">
        <f t="shared" si="6"/>
        <v>19.8355555555556</v>
      </c>
      <c r="Q57" s="17">
        <f t="shared" si="7"/>
        <v>17864</v>
      </c>
      <c r="R57" s="19" t="str">
        <f ca="1">IF(A57="","",IF(COUNTIF(_TradeIds,A57)=0,"违规：交易编号不存在",IF(OR(B57="",B57&lt;1,B57&gt;5,B57&lt;&gt;INT(B57)),"违规：加仓序号须为1到5的整数",IF(COUNTIFS($A$2:$A$1001,A57,$B$2:$B$1001,B57)&gt;1,"违规：同一交易的加仓序号重复",IF(OR(D57="",E57="",F57=""),"计划不完整：请填写加仓价、新止损价和风险预算",IF(OR(D57&lt;=0,E57&lt;=0,F57&lt;=0,D57&lt;=E57),"违规：加仓价必须高于新止损价，金额须大于0",IF(AND(B57&gt;1,COUNTIFS($A$2:$A$1001,A57,$B$2:$B$1001,B57-1,$G$2:$G$1001,"&gt;0")=0),"违规：须先完成上一次加仓",IF(AND(B57&gt;1,E57&lt;SUMIFS($E$2:$E$1001,$A$2:$A$1001,A57,$B$2:$B$1001,B57-1)),"违规：新止损价不得低于上一次",IF(AND(B57&gt;1,F57&gt;SUMIFS($F$2:$F$1001,$A$2:$A$1001,A57,$B$2:$B$1001,B57-1)),"违规：风险预算须逐次不增加",IF(OR(_LockStatus="已锁仓",_LockStatus="解锁信息不完整"),"违规：锁仓期间禁止加仓",IF(G57="","计划可执行：建议股数见N列",IF(OR(G57&lt;=0,G57&lt;&gt;INT(G57),MOD(G57,100)&lt;&gt;0),"违规：实际股数须为100股整数倍",IF(G57&gt;N57,"违规：实际股数超过风险或金字塔上限",IF(AND(B57&gt;1,G57&gt;SUMIFS($G$2:$G$1001,$A$2:$A$1001,A57,$B$2:$B$1001,B57-1)),"违规：加仓股数须逐次不增加",IF(Q57&gt;F57,"违规：止损风险超过本次预算","通过")))))))))))))))</f>
        <v>违规：新止损价不得低于上一次</v>
      </c>
    </row>
    <row r="58" ht="17" spans="1:18">
      <c r="A58" s="13">
        <v>25</v>
      </c>
      <c r="B58" s="14">
        <v>3</v>
      </c>
      <c r="C58" s="15">
        <v>44854</v>
      </c>
      <c r="D58" s="16">
        <v>17.03</v>
      </c>
      <c r="E58" s="16">
        <v>16.5</v>
      </c>
      <c r="F58" s="16">
        <v>1</v>
      </c>
      <c r="G58" s="14">
        <v>3000</v>
      </c>
      <c r="H58" s="17">
        <f t="shared" si="0"/>
        <v>51090</v>
      </c>
      <c r="I58" s="18">
        <f>IF(OR(A58="",B58=""),"",IFERROR(LOOKUP(2,1/(单次交易!$A$2:$A$201=A58),单次交易!$H$2:$H$201),0)+SUMIFS($G$2:$G$1001,$A$2:$A$1001,A58,$B$2:$B$1001,"&lt;"&amp;B58))</f>
        <v>6300</v>
      </c>
      <c r="J58" s="17">
        <f>IF(OR(A58="",B58=""),"",IFERROR(LOOKUP(2,1/(单次交易!$A$2:$A$201=A58),单次交易!$E$2:$E$201)*LOOKUP(2,1/(单次交易!$A$2:$A$201=A58),单次交易!$H$2:$H$201),0)+SUMIFS($H$2:$H$1001,$A$2:$A$1001,A58,$B$2:$B$1001,"&lt;"&amp;B58))</f>
        <v>124964</v>
      </c>
      <c r="K58" s="17">
        <f t="shared" si="1"/>
        <v>0</v>
      </c>
      <c r="L58" s="18">
        <f t="shared" si="2"/>
        <v>0</v>
      </c>
      <c r="M58" s="18">
        <f t="shared" si="3"/>
        <v>2000</v>
      </c>
      <c r="N58" s="18">
        <f t="shared" si="4"/>
        <v>0</v>
      </c>
      <c r="O58" s="18">
        <f t="shared" si="5"/>
        <v>9300</v>
      </c>
      <c r="P58" s="17">
        <f t="shared" si="6"/>
        <v>18.9305376344086</v>
      </c>
      <c r="Q58" s="17">
        <f t="shared" si="7"/>
        <v>22604</v>
      </c>
      <c r="R58" s="19" t="str">
        <f ca="1">IF(A58="","",IF(COUNTIF(_TradeIds,A58)=0,"违规：交易编号不存在",IF(OR(B58="",B58&lt;1,B58&gt;5,B58&lt;&gt;INT(B58)),"违规：加仓序号须为1到5的整数",IF(COUNTIFS($A$2:$A$1001,A58,$B$2:$B$1001,B58)&gt;1,"违规：同一交易的加仓序号重复",IF(OR(D58="",E58="",F58=""),"计划不完整：请填写加仓价、新止损价和风险预算",IF(OR(D58&lt;=0,E58&lt;=0,F58&lt;=0,D58&lt;=E58),"违规：加仓价必须高于新止损价，金额须大于0",IF(AND(B58&gt;1,COUNTIFS($A$2:$A$1001,A58,$B$2:$B$1001,B58-1,$G$2:$G$1001,"&gt;0")=0),"违规：须先完成上一次加仓",IF(AND(B58&gt;1,E58&lt;SUMIFS($E$2:$E$1001,$A$2:$A$1001,A58,$B$2:$B$1001,B58-1)),"违规：新止损价不得低于上一次",IF(AND(B58&gt;1,F58&gt;SUMIFS($F$2:$F$1001,$A$2:$A$1001,A58,$B$2:$B$1001,B58-1)),"违规：风险预算须逐次不增加",IF(OR(_LockStatus="已锁仓",_LockStatus="解锁信息不完整"),"违规：锁仓期间禁止加仓",IF(G58="","计划可执行：建议股数见N列",IF(OR(G58&lt;=0,G58&lt;&gt;INT(G58),MOD(G58,100)&lt;&gt;0),"违规：实际股数须为100股整数倍",IF(G58&gt;N58,"违规：实际股数超过风险或金字塔上限",IF(AND(B58&gt;1,G58&gt;SUMIFS($G$2:$G$1001,$A$2:$A$1001,A58,$B$2:$B$1001,B58-1)),"违规：加仓股数须逐次不增加",IF(Q58&gt;F58,"违规：止损风险超过本次预算","通过")))))))))))))))</f>
        <v>违规：新止损价不得低于上一次</v>
      </c>
    </row>
    <row r="59" ht="17" spans="1:18">
      <c r="A59" s="13">
        <v>25</v>
      </c>
      <c r="B59" s="14">
        <v>4</v>
      </c>
      <c r="C59" s="15">
        <v>44855</v>
      </c>
      <c r="D59" s="16">
        <v>16.37</v>
      </c>
      <c r="E59" s="16">
        <v>15.12</v>
      </c>
      <c r="F59" s="16">
        <v>1</v>
      </c>
      <c r="G59" s="14">
        <v>3000</v>
      </c>
      <c r="H59" s="17">
        <f t="shared" si="0"/>
        <v>49110</v>
      </c>
      <c r="I59" s="18">
        <f>IF(OR(A59="",B59=""),"",IFERROR(LOOKUP(2,1/(单次交易!$A$2:$A$201=A59),单次交易!$H$2:$H$201),0)+SUMIFS($G$2:$G$1001,$A$2:$A$1001,A59,$B$2:$B$1001,"&lt;"&amp;B59))</f>
        <v>9300</v>
      </c>
      <c r="J59" s="17">
        <f>IF(OR(A59="",B59=""),"",IFERROR(LOOKUP(2,1/(单次交易!$A$2:$A$201=A59),单次交易!$E$2:$E$201)*LOOKUP(2,1/(单次交易!$A$2:$A$201=A59),单次交易!$H$2:$H$201),0)+SUMIFS($H$2:$H$1001,$A$2:$A$1001,A59,$B$2:$B$1001,"&lt;"&amp;B59))</f>
        <v>176054</v>
      </c>
      <c r="K59" s="17">
        <f t="shared" si="1"/>
        <v>0</v>
      </c>
      <c r="L59" s="18">
        <f t="shared" si="2"/>
        <v>0</v>
      </c>
      <c r="M59" s="18">
        <f t="shared" si="3"/>
        <v>3000</v>
      </c>
      <c r="N59" s="18">
        <f t="shared" si="4"/>
        <v>0</v>
      </c>
      <c r="O59" s="18">
        <f t="shared" si="5"/>
        <v>12300</v>
      </c>
      <c r="P59" s="17">
        <f t="shared" si="6"/>
        <v>18.3060162601626</v>
      </c>
      <c r="Q59" s="17">
        <f t="shared" si="7"/>
        <v>39188</v>
      </c>
      <c r="R59" s="19" t="str">
        <f ca="1">IF(A59="","",IF(COUNTIF(_TradeIds,A59)=0,"违规：交易编号不存在",IF(OR(B59="",B59&lt;1,B59&gt;5,B59&lt;&gt;INT(B59)),"违规：加仓序号须为1到5的整数",IF(COUNTIFS($A$2:$A$1001,A59,$B$2:$B$1001,B59)&gt;1,"违规：同一交易的加仓序号重复",IF(OR(D59="",E59="",F59=""),"计划不完整：请填写加仓价、新止损价和风险预算",IF(OR(D59&lt;=0,E59&lt;=0,F59&lt;=0,D59&lt;=E59),"违规：加仓价必须高于新止损价，金额须大于0",IF(AND(B59&gt;1,COUNTIFS($A$2:$A$1001,A59,$B$2:$B$1001,B59-1,$G$2:$G$1001,"&gt;0")=0),"违规：须先完成上一次加仓",IF(AND(B59&gt;1,E59&lt;SUMIFS($E$2:$E$1001,$A$2:$A$1001,A59,$B$2:$B$1001,B59-1)),"违规：新止损价不得低于上一次",IF(AND(B59&gt;1,F59&gt;SUMIFS($F$2:$F$1001,$A$2:$A$1001,A59,$B$2:$B$1001,B59-1)),"违规：风险预算须逐次不增加",IF(OR(_LockStatus="已锁仓",_LockStatus="解锁信息不完整"),"违规：锁仓期间禁止加仓",IF(G59="","计划可执行：建议股数见N列",IF(OR(G59&lt;=0,G59&lt;&gt;INT(G59),MOD(G59,100)&lt;&gt;0),"违规：实际股数须为100股整数倍",IF(G59&gt;N59,"违规：实际股数超过风险或金字塔上限",IF(AND(B59&gt;1,G59&gt;SUMIFS($G$2:$G$1001,$A$2:$A$1001,A59,$B$2:$B$1001,B59-1)),"违规：加仓股数须逐次不增加",IF(Q59&gt;F59,"违规：止损风险超过本次预算","通过")))))))))))))))</f>
        <v>违规：新止损价不得低于上一次</v>
      </c>
    </row>
    <row r="60" ht="17" spans="1:18">
      <c r="A60" s="13">
        <v>26</v>
      </c>
      <c r="B60" s="14">
        <v>1</v>
      </c>
      <c r="C60" s="15">
        <v>45194</v>
      </c>
      <c r="D60" s="16">
        <v>14.48</v>
      </c>
      <c r="E60" s="16">
        <v>14</v>
      </c>
      <c r="F60" s="16">
        <v>1</v>
      </c>
      <c r="G60" s="14">
        <v>5000</v>
      </c>
      <c r="H60" s="17">
        <f t="shared" si="0"/>
        <v>72400</v>
      </c>
      <c r="I60" s="18">
        <f>IF(OR(A60="",B60=""),"",IFERROR(LOOKUP(2,1/(单次交易!$A$2:$A$201=A60),单次交易!$H$2:$H$201),0)+SUMIFS($G$2:$G$1001,$A$2:$A$1001,A60,$B$2:$B$1001,"&lt;"&amp;B60))</f>
        <v>3100</v>
      </c>
      <c r="J60" s="17">
        <f>IF(OR(A60="",B60=""),"",IFERROR(LOOKUP(2,1/(单次交易!$A$2:$A$201=A60),单次交易!$E$2:$E$201)*LOOKUP(2,1/(单次交易!$A$2:$A$201=A60),单次交易!$H$2:$H$201),0)+SUMIFS($H$2:$H$1001,$A$2:$A$1001,A60,$B$2:$B$1001,"&lt;"&amp;B60))</f>
        <v>43989</v>
      </c>
      <c r="K60" s="17">
        <f t="shared" si="1"/>
        <v>0</v>
      </c>
      <c r="L60" s="18">
        <f t="shared" si="2"/>
        <v>0</v>
      </c>
      <c r="M60" s="18">
        <f t="shared" si="3"/>
        <v>0</v>
      </c>
      <c r="N60" s="18">
        <f t="shared" si="4"/>
        <v>0</v>
      </c>
      <c r="O60" s="18">
        <f t="shared" si="5"/>
        <v>8100</v>
      </c>
      <c r="P60" s="17">
        <f t="shared" si="6"/>
        <v>14.369012345679</v>
      </c>
      <c r="Q60" s="17">
        <f t="shared" si="7"/>
        <v>2989</v>
      </c>
      <c r="R60" s="19" t="str">
        <f ca="1">IF(A60="","",IF(COUNTIF(_TradeIds,A60)=0,"违规：交易编号不存在",IF(OR(B60="",B60&lt;1,B60&gt;5,B60&lt;&gt;INT(B60)),"违规：加仓序号须为1到5的整数",IF(COUNTIFS($A$2:$A$1001,A60,$B$2:$B$1001,B60)&gt;1,"违规：同一交易的加仓序号重复",IF(OR(D60="",E60="",F60=""),"计划不完整：请填写加仓价、新止损价和风险预算",IF(OR(D60&lt;=0,E60&lt;=0,F60&lt;=0,D60&lt;=E60),"违规：加仓价必须高于新止损价，金额须大于0",IF(AND(B60&gt;1,COUNTIFS($A$2:$A$1001,A60,$B$2:$B$1001,B60-1,$G$2:$G$1001,"&gt;0")=0),"违规：须先完成上一次加仓",IF(AND(B60&gt;1,E60&lt;SUMIFS($E$2:$E$1001,$A$2:$A$1001,A60,$B$2:$B$1001,B60-1)),"违规：新止损价不得低于上一次",IF(AND(B60&gt;1,F60&gt;SUMIFS($F$2:$F$1001,$A$2:$A$1001,A60,$B$2:$B$1001,B60-1)),"违规：风险预算须逐次不增加",IF(OR(_LockStatus="已锁仓",_LockStatus="解锁信息不完整"),"违规：锁仓期间禁止加仓",IF(G60="","计划可执行：建议股数见N列",IF(OR(G60&lt;=0,G60&lt;&gt;INT(G60),MOD(G60,100)&lt;&gt;0),"违规：实际股数须为100股整数倍",IF(G60&gt;N60,"违规：实际股数超过风险或金字塔上限",IF(AND(B60&gt;1,G60&gt;SUMIFS($G$2:$G$1001,$A$2:$A$1001,A60,$B$2:$B$1001,B60-1)),"违规：加仓股数须逐次不增加",IF(Q60&gt;F60,"违规：止损风险超过本次预算","通过")))))))))))))))</f>
        <v>违规：实际股数超过风险或金字塔上限</v>
      </c>
    </row>
    <row r="61" ht="17" spans="1:18">
      <c r="A61" s="13">
        <v>26</v>
      </c>
      <c r="B61" s="14">
        <v>2</v>
      </c>
      <c r="C61" s="15">
        <v>45210</v>
      </c>
      <c r="D61" s="16">
        <v>14.12</v>
      </c>
      <c r="E61" s="16">
        <v>14</v>
      </c>
      <c r="F61" s="16">
        <v>1</v>
      </c>
      <c r="G61" s="14">
        <v>2000</v>
      </c>
      <c r="H61" s="17">
        <f t="shared" si="0"/>
        <v>28240</v>
      </c>
      <c r="I61" s="18">
        <f>IF(OR(A61="",B61=""),"",IFERROR(LOOKUP(2,1/(单次交易!$A$2:$A$201=A61),单次交易!$H$2:$H$201),0)+SUMIFS($G$2:$G$1001,$A$2:$A$1001,A61,$B$2:$B$1001,"&lt;"&amp;B61))</f>
        <v>8100</v>
      </c>
      <c r="J61" s="17">
        <f>IF(OR(A61="",B61=""),"",IFERROR(LOOKUP(2,1/(单次交易!$A$2:$A$201=A61),单次交易!$E$2:$E$201)*LOOKUP(2,1/(单次交易!$A$2:$A$201=A61),单次交易!$H$2:$H$201),0)+SUMIFS($H$2:$H$1001,$A$2:$A$1001,A61,$B$2:$B$1001,"&lt;"&amp;B61))</f>
        <v>116389</v>
      </c>
      <c r="K61" s="17">
        <f t="shared" si="1"/>
        <v>0</v>
      </c>
      <c r="L61" s="18">
        <f t="shared" si="2"/>
        <v>0</v>
      </c>
      <c r="M61" s="18">
        <f t="shared" si="3"/>
        <v>5000</v>
      </c>
      <c r="N61" s="18">
        <f t="shared" si="4"/>
        <v>0</v>
      </c>
      <c r="O61" s="18">
        <f t="shared" si="5"/>
        <v>10100</v>
      </c>
      <c r="P61" s="17">
        <f t="shared" si="6"/>
        <v>14.319702970297</v>
      </c>
      <c r="Q61" s="17">
        <f t="shared" si="7"/>
        <v>3229</v>
      </c>
      <c r="R61" s="19" t="str">
        <f ca="1">IF(A61="","",IF(COUNTIF(_TradeIds,A61)=0,"违规：交易编号不存在",IF(OR(B61="",B61&lt;1,B61&gt;5,B61&lt;&gt;INT(B61)),"违规：加仓序号须为1到5的整数",IF(COUNTIFS($A$2:$A$1001,A61,$B$2:$B$1001,B61)&gt;1,"违规：同一交易的加仓序号重复",IF(OR(D61="",E61="",F61=""),"计划不完整：请填写加仓价、新止损价和风险预算",IF(OR(D61&lt;=0,E61&lt;=0,F61&lt;=0,D61&lt;=E61),"违规：加仓价必须高于新止损价，金额须大于0",IF(AND(B61&gt;1,COUNTIFS($A$2:$A$1001,A61,$B$2:$B$1001,B61-1,$G$2:$G$1001,"&gt;0")=0),"违规：须先完成上一次加仓",IF(AND(B61&gt;1,E61&lt;SUMIFS($E$2:$E$1001,$A$2:$A$1001,A61,$B$2:$B$1001,B61-1)),"违规：新止损价不得低于上一次",IF(AND(B61&gt;1,F61&gt;SUMIFS($F$2:$F$1001,$A$2:$A$1001,A61,$B$2:$B$1001,B61-1)),"违规：风险预算须逐次不增加",IF(OR(_LockStatus="已锁仓",_LockStatus="解锁信息不完整"),"违规：锁仓期间禁止加仓",IF(G61="","计划可执行：建议股数见N列",IF(OR(G61&lt;=0,G61&lt;&gt;INT(G61),MOD(G61,100)&lt;&gt;0),"违规：实际股数须为100股整数倍",IF(G61&gt;N61,"违规：实际股数超过风险或金字塔上限",IF(AND(B61&gt;1,G61&gt;SUMIFS($G$2:$G$1001,$A$2:$A$1001,A61,$B$2:$B$1001,B61-1)),"违规：加仓股数须逐次不增加",IF(Q61&gt;F61,"违规：止损风险超过本次预算","通过")))))))))))))))</f>
        <v>违规：实际股数超过风险或金字塔上限</v>
      </c>
    </row>
    <row r="62" ht="17" spans="1:18">
      <c r="A62" s="13">
        <v>26</v>
      </c>
      <c r="B62" s="14">
        <v>3</v>
      </c>
      <c r="C62" s="15">
        <v>45219</v>
      </c>
      <c r="D62" s="16">
        <v>13.32</v>
      </c>
      <c r="E62" s="16">
        <v>13</v>
      </c>
      <c r="F62" s="16">
        <v>1</v>
      </c>
      <c r="G62" s="14">
        <v>3000</v>
      </c>
      <c r="H62" s="17">
        <f t="shared" si="0"/>
        <v>39960</v>
      </c>
      <c r="I62" s="18">
        <f>IF(OR(A62="",B62=""),"",IFERROR(LOOKUP(2,1/(单次交易!$A$2:$A$201=A62),单次交易!$H$2:$H$201),0)+SUMIFS($G$2:$G$1001,$A$2:$A$1001,A62,$B$2:$B$1001,"&lt;"&amp;B62))</f>
        <v>10100</v>
      </c>
      <c r="J62" s="17">
        <f>IF(OR(A62="",B62=""),"",IFERROR(LOOKUP(2,1/(单次交易!$A$2:$A$201=A62),单次交易!$E$2:$E$201)*LOOKUP(2,1/(单次交易!$A$2:$A$201=A62),单次交易!$H$2:$H$201),0)+SUMIFS($H$2:$H$1001,$A$2:$A$1001,A62,$B$2:$B$1001,"&lt;"&amp;B62))</f>
        <v>144629</v>
      </c>
      <c r="K62" s="17">
        <f t="shared" si="1"/>
        <v>0</v>
      </c>
      <c r="L62" s="18">
        <f t="shared" si="2"/>
        <v>0</v>
      </c>
      <c r="M62" s="18">
        <f t="shared" si="3"/>
        <v>2000</v>
      </c>
      <c r="N62" s="18">
        <f t="shared" si="4"/>
        <v>0</v>
      </c>
      <c r="O62" s="18">
        <f t="shared" si="5"/>
        <v>13100</v>
      </c>
      <c r="P62" s="17">
        <f t="shared" si="6"/>
        <v>14.0907633587786</v>
      </c>
      <c r="Q62" s="17">
        <f t="shared" si="7"/>
        <v>14289</v>
      </c>
      <c r="R62" s="19" t="str">
        <f ca="1">IF(A62="","",IF(COUNTIF(_TradeIds,A62)=0,"违规：交易编号不存在",IF(OR(B62="",B62&lt;1,B62&gt;5,B62&lt;&gt;INT(B62)),"违规：加仓序号须为1到5的整数",IF(COUNTIFS($A$2:$A$1001,A62,$B$2:$B$1001,B62)&gt;1,"违规：同一交易的加仓序号重复",IF(OR(D62="",E62="",F62=""),"计划不完整：请填写加仓价、新止损价和风险预算",IF(OR(D62&lt;=0,E62&lt;=0,F62&lt;=0,D62&lt;=E62),"违规：加仓价必须高于新止损价，金额须大于0",IF(AND(B62&gt;1,COUNTIFS($A$2:$A$1001,A62,$B$2:$B$1001,B62-1,$G$2:$G$1001,"&gt;0")=0),"违规：须先完成上一次加仓",IF(AND(B62&gt;1,E62&lt;SUMIFS($E$2:$E$1001,$A$2:$A$1001,A62,$B$2:$B$1001,B62-1)),"违规：新止损价不得低于上一次",IF(AND(B62&gt;1,F62&gt;SUMIFS($F$2:$F$1001,$A$2:$A$1001,A62,$B$2:$B$1001,B62-1)),"违规：风险预算须逐次不增加",IF(OR(_LockStatus="已锁仓",_LockStatus="解锁信息不完整"),"违规：锁仓期间禁止加仓",IF(G62="","计划可执行：建议股数见N列",IF(OR(G62&lt;=0,G62&lt;&gt;INT(G62),MOD(G62,100)&lt;&gt;0),"违规：实际股数须为100股整数倍",IF(G62&gt;N62,"违规：实际股数超过风险或金字塔上限",IF(AND(B62&gt;1,G62&gt;SUMIFS($G$2:$G$1001,$A$2:$A$1001,A62,$B$2:$B$1001,B62-1)),"违规：加仓股数须逐次不增加",IF(Q62&gt;F62,"违规：止损风险超过本次预算","通过")))))))))))))))</f>
        <v>违规：新止损价不得低于上一次</v>
      </c>
    </row>
    <row r="63" ht="17" spans="1:18">
      <c r="A63" s="13">
        <v>27</v>
      </c>
      <c r="B63" s="14">
        <v>1</v>
      </c>
      <c r="C63" s="15">
        <v>45587</v>
      </c>
      <c r="D63" s="16">
        <v>22.84</v>
      </c>
      <c r="E63" s="16">
        <v>21.5</v>
      </c>
      <c r="F63" s="16">
        <v>1</v>
      </c>
      <c r="G63" s="14">
        <v>2000</v>
      </c>
      <c r="H63" s="17">
        <f t="shared" si="0"/>
        <v>45680</v>
      </c>
      <c r="I63" s="18">
        <f>IF(OR(A63="",B63=""),"",IFERROR(LOOKUP(2,1/(单次交易!$A$2:$A$201=A63),单次交易!$H$2:$H$201),0)+SUMIFS($G$2:$G$1001,$A$2:$A$1001,A63,$B$2:$B$1001,"&lt;"&amp;B63))</f>
        <v>4000</v>
      </c>
      <c r="J63" s="17">
        <f>IF(OR(A63="",B63=""),"",IFERROR(LOOKUP(2,1/(单次交易!$A$2:$A$201=A63),单次交易!$E$2:$E$201)*LOOKUP(2,1/(单次交易!$A$2:$A$201=A63),单次交易!$H$2:$H$201),0)+SUMIFS($H$2:$H$1001,$A$2:$A$1001,A63,$B$2:$B$1001,"&lt;"&amp;B63))</f>
        <v>84400</v>
      </c>
      <c r="K63" s="17">
        <f t="shared" si="1"/>
        <v>1600</v>
      </c>
      <c r="L63" s="18">
        <f t="shared" si="2"/>
        <v>1100</v>
      </c>
      <c r="M63" s="18">
        <f t="shared" si="3"/>
        <v>1100</v>
      </c>
      <c r="N63" s="18">
        <f t="shared" si="4"/>
        <v>1100</v>
      </c>
      <c r="O63" s="18">
        <f t="shared" si="5"/>
        <v>6000</v>
      </c>
      <c r="P63" s="17">
        <f t="shared" si="6"/>
        <v>21.68</v>
      </c>
      <c r="Q63" s="17">
        <f t="shared" si="7"/>
        <v>1080</v>
      </c>
      <c r="R63" s="19" t="str">
        <f ca="1">IF(A63="","",IF(COUNTIF(_TradeIds,A63)=0,"违规：交易编号不存在",IF(OR(B63="",B63&lt;1,B63&gt;5,B63&lt;&gt;INT(B63)),"违规：加仓序号须为1到5的整数",IF(COUNTIFS($A$2:$A$1001,A63,$B$2:$B$1001,B63)&gt;1,"违规：同一交易的加仓序号重复",IF(OR(D63="",E63="",F63=""),"计划不完整：请填写加仓价、新止损价和风险预算",IF(OR(D63&lt;=0,E63&lt;=0,F63&lt;=0,D63&lt;=E63),"违规：加仓价必须高于新止损价，金额须大于0",IF(AND(B63&gt;1,COUNTIFS($A$2:$A$1001,A63,$B$2:$B$1001,B63-1,$G$2:$G$1001,"&gt;0")=0),"违规：须先完成上一次加仓",IF(AND(B63&gt;1,E63&lt;SUMIFS($E$2:$E$1001,$A$2:$A$1001,A63,$B$2:$B$1001,B63-1)),"违规：新止损价不得低于上一次",IF(AND(B63&gt;1,F63&gt;SUMIFS($F$2:$F$1001,$A$2:$A$1001,A63,$B$2:$B$1001,B63-1)),"违规：风险预算须逐次不增加",IF(OR(_LockStatus="已锁仓",_LockStatus="解锁信息不完整"),"违规：锁仓期间禁止加仓",IF(G63="","计划可执行：建议股数见N列",IF(OR(G63&lt;=0,G63&lt;&gt;INT(G63),MOD(G63,100)&lt;&gt;0),"违规：实际股数须为100股整数倍",IF(G63&gt;N63,"违规：实际股数超过风险或金字塔上限",IF(AND(B63&gt;1,G63&gt;SUMIFS($G$2:$G$1001,$A$2:$A$1001,A63,$B$2:$B$1001,B63-1)),"违规：加仓股数须逐次不增加",IF(Q63&gt;F63,"违规：止损风险超过本次预算","通过")))))))))))))))</f>
        <v>违规：实际股数超过风险或金字塔上限</v>
      </c>
    </row>
    <row r="64" ht="17" spans="1:18">
      <c r="A64" s="13">
        <v>27</v>
      </c>
      <c r="B64" s="14">
        <v>2</v>
      </c>
      <c r="C64" s="15">
        <v>45593</v>
      </c>
      <c r="D64" s="16">
        <v>21.22</v>
      </c>
      <c r="E64" s="16">
        <v>21</v>
      </c>
      <c r="F64" s="16">
        <v>1</v>
      </c>
      <c r="G64" s="14">
        <v>2000</v>
      </c>
      <c r="H64" s="17">
        <f t="shared" si="0"/>
        <v>42440</v>
      </c>
      <c r="I64" s="18">
        <f>IF(OR(A64="",B64=""),"",IFERROR(LOOKUP(2,1/(单次交易!$A$2:$A$201=A64),单次交易!$H$2:$H$201),0)+SUMIFS($G$2:$G$1001,$A$2:$A$1001,A64,$B$2:$B$1001,"&lt;"&amp;B64))</f>
        <v>6000</v>
      </c>
      <c r="J64" s="17">
        <f>IF(OR(A64="",B64=""),"",IFERROR(LOOKUP(2,1/(单次交易!$A$2:$A$201=A64),单次交易!$E$2:$E$201)*LOOKUP(2,1/(单次交易!$A$2:$A$201=A64),单次交易!$H$2:$H$201),0)+SUMIFS($H$2:$H$1001,$A$2:$A$1001,A64,$B$2:$B$1001,"&lt;"&amp;B64))</f>
        <v>130080</v>
      </c>
      <c r="K64" s="17">
        <f t="shared" si="1"/>
        <v>0</v>
      </c>
      <c r="L64" s="18">
        <f t="shared" si="2"/>
        <v>0</v>
      </c>
      <c r="M64" s="18">
        <f t="shared" si="3"/>
        <v>2000</v>
      </c>
      <c r="N64" s="18">
        <f t="shared" si="4"/>
        <v>0</v>
      </c>
      <c r="O64" s="18">
        <f t="shared" si="5"/>
        <v>8000</v>
      </c>
      <c r="P64" s="17">
        <f t="shared" si="6"/>
        <v>21.565</v>
      </c>
      <c r="Q64" s="17">
        <f t="shared" si="7"/>
        <v>4520</v>
      </c>
      <c r="R64" s="19" t="str">
        <f ca="1">IF(A64="","",IF(COUNTIF(_TradeIds,A64)=0,"违规：交易编号不存在",IF(OR(B64="",B64&lt;1,B64&gt;5,B64&lt;&gt;INT(B64)),"违规：加仓序号须为1到5的整数",IF(COUNTIFS($A$2:$A$1001,A64,$B$2:$B$1001,B64)&gt;1,"违规：同一交易的加仓序号重复",IF(OR(D64="",E64="",F64=""),"计划不完整：请填写加仓价、新止损价和风险预算",IF(OR(D64&lt;=0,E64&lt;=0,F64&lt;=0,D64&lt;=E64),"违规：加仓价必须高于新止损价，金额须大于0",IF(AND(B64&gt;1,COUNTIFS($A$2:$A$1001,A64,$B$2:$B$1001,B64-1,$G$2:$G$1001,"&gt;0")=0),"违规：须先完成上一次加仓",IF(AND(B64&gt;1,E64&lt;SUMIFS($E$2:$E$1001,$A$2:$A$1001,A64,$B$2:$B$1001,B64-1)),"违规：新止损价不得低于上一次",IF(AND(B64&gt;1,F64&gt;SUMIFS($F$2:$F$1001,$A$2:$A$1001,A64,$B$2:$B$1001,B64-1)),"违规：风险预算须逐次不增加",IF(OR(_LockStatus="已锁仓",_LockStatus="解锁信息不完整"),"违规：锁仓期间禁止加仓",IF(G64="","计划可执行：建议股数见N列",IF(OR(G64&lt;=0,G64&lt;&gt;INT(G64),MOD(G64,100)&lt;&gt;0),"违规：实际股数须为100股整数倍",IF(G64&gt;N64,"违规：实际股数超过风险或金字塔上限",IF(AND(B64&gt;1,G64&gt;SUMIFS($G$2:$G$1001,$A$2:$A$1001,A64,$B$2:$B$1001,B64-1)),"违规：加仓股数须逐次不增加",IF(Q64&gt;F64,"违规：止损风险超过本次预算","通过")))))))))))))))</f>
        <v>违规：新止损价不得低于上一次</v>
      </c>
    </row>
    <row r="65" ht="17" spans="1:18">
      <c r="A65" s="13">
        <v>28</v>
      </c>
      <c r="B65" s="14">
        <v>1</v>
      </c>
      <c r="C65" s="15">
        <v>45755</v>
      </c>
      <c r="D65" s="16">
        <v>18.6</v>
      </c>
      <c r="E65" s="16">
        <v>17.5</v>
      </c>
      <c r="F65" s="16">
        <v>1</v>
      </c>
      <c r="G65" s="14">
        <v>3000</v>
      </c>
      <c r="H65" s="17">
        <f t="shared" si="0"/>
        <v>55800</v>
      </c>
      <c r="I65" s="18">
        <f>IF(OR(A65="",B65=""),"",IFERROR(LOOKUP(2,1/(单次交易!$A$2:$A$201=A65),单次交易!$H$2:$H$201),0)+SUMIFS($G$2:$G$1001,$A$2:$A$1001,A65,$B$2:$B$1001,"&lt;"&amp;B65))</f>
        <v>3200</v>
      </c>
      <c r="J65" s="17">
        <f>IF(OR(A65="",B65=""),"",IFERROR(LOOKUP(2,1/(单次交易!$A$2:$A$201=A65),单次交易!$E$2:$E$201)*LOOKUP(2,1/(单次交易!$A$2:$A$201=A65),单次交易!$H$2:$H$201),0)+SUMIFS($H$2:$H$1001,$A$2:$A$1001,A65,$B$2:$B$1001,"&lt;"&amp;B65))</f>
        <v>66624</v>
      </c>
      <c r="K65" s="17">
        <f t="shared" si="1"/>
        <v>0</v>
      </c>
      <c r="L65" s="18">
        <f t="shared" si="2"/>
        <v>0</v>
      </c>
      <c r="M65" s="18">
        <f t="shared" si="3"/>
        <v>0</v>
      </c>
      <c r="N65" s="18">
        <f t="shared" si="4"/>
        <v>0</v>
      </c>
      <c r="O65" s="18">
        <f t="shared" si="5"/>
        <v>6200</v>
      </c>
      <c r="P65" s="17">
        <f t="shared" si="6"/>
        <v>19.7458064516129</v>
      </c>
      <c r="Q65" s="17">
        <f t="shared" si="7"/>
        <v>13924</v>
      </c>
      <c r="R65" s="19" t="str">
        <f ca="1">IF(A65="","",IF(COUNTIF(_TradeIds,A65)=0,"违规：交易编号不存在",IF(OR(B65="",B65&lt;1,B65&gt;5,B65&lt;&gt;INT(B65)),"违规：加仓序号须为1到5的整数",IF(COUNTIFS($A$2:$A$1001,A65,$B$2:$B$1001,B65)&gt;1,"违规：同一交易的加仓序号重复",IF(OR(D65="",E65="",F65=""),"计划不完整：请填写加仓价、新止损价和风险预算",IF(OR(D65&lt;=0,E65&lt;=0,F65&lt;=0,D65&lt;=E65),"违规：加仓价必须高于新止损价，金额须大于0",IF(AND(B65&gt;1,COUNTIFS($A$2:$A$1001,A65,$B$2:$B$1001,B65-1,$G$2:$G$1001,"&gt;0")=0),"违规：须先完成上一次加仓",IF(AND(B65&gt;1,E65&lt;SUMIFS($E$2:$E$1001,$A$2:$A$1001,A65,$B$2:$B$1001,B65-1)),"违规：新止损价不得低于上一次",IF(AND(B65&gt;1,F65&gt;SUMIFS($F$2:$F$1001,$A$2:$A$1001,A65,$B$2:$B$1001,B65-1)),"违规：风险预算须逐次不增加",IF(OR(_LockStatus="已锁仓",_LockStatus="解锁信息不完整"),"违规：锁仓期间禁止加仓",IF(G65="","计划可执行：建议股数见N列",IF(OR(G65&lt;=0,G65&lt;&gt;INT(G65),MOD(G65,100)&lt;&gt;0),"违规：实际股数须为100股整数倍",IF(G65&gt;N65,"违规：实际股数超过风险或金字塔上限",IF(AND(B65&gt;1,G65&gt;SUMIFS($G$2:$G$1001,$A$2:$A$1001,A65,$B$2:$B$1001,B65-1)),"违规：加仓股数须逐次不增加",IF(Q65&gt;F65,"违规：止损风险超过本次预算","通过")))))))))))))))</f>
        <v>违规：实际股数超过风险或金字塔上限</v>
      </c>
    </row>
    <row r="66" ht="17" spans="1:18">
      <c r="A66" s="13">
        <v>28</v>
      </c>
      <c r="B66" s="14">
        <v>2</v>
      </c>
      <c r="C66" s="15">
        <v>45764</v>
      </c>
      <c r="D66" s="16">
        <v>20</v>
      </c>
      <c r="E66" s="16">
        <v>18.5</v>
      </c>
      <c r="F66" s="16">
        <v>1</v>
      </c>
      <c r="G66" s="14">
        <v>2000</v>
      </c>
      <c r="H66" s="17">
        <f t="shared" ref="H66:H129" si="8">IF(OR(A66="",D66="",G66=""),"",D66*G66)</f>
        <v>40000</v>
      </c>
      <c r="I66" s="18">
        <f>IF(OR(A66="",B66=""),"",IFERROR(LOOKUP(2,1/(单次交易!$A$2:$A$201=A66),单次交易!$H$2:$H$201),0)+SUMIFS($G$2:$G$1001,$A$2:$A$1001,A66,$B$2:$B$1001,"&lt;"&amp;B66))</f>
        <v>6200</v>
      </c>
      <c r="J66" s="17">
        <f>IF(OR(A66="",B66=""),"",IFERROR(LOOKUP(2,1/(单次交易!$A$2:$A$201=A66),单次交易!$E$2:$E$201)*LOOKUP(2,1/(单次交易!$A$2:$A$201=A66),单次交易!$H$2:$H$201),0)+SUMIFS($H$2:$H$1001,$A$2:$A$1001,A66,$B$2:$B$1001,"&lt;"&amp;B66))</f>
        <v>122424</v>
      </c>
      <c r="K66" s="17">
        <f t="shared" ref="K66:K129" si="9">IF(OR(E66="",I66="",J66=""),"",MAX(E66*I66-J66,0))</f>
        <v>0</v>
      </c>
      <c r="L66" s="18">
        <f t="shared" ref="L66:L129" si="10">IF(OR(D66="",E66="",F66="",D66&lt;=E66),"",FLOOR((F66+K66)/(D66-E66),100))</f>
        <v>0</v>
      </c>
      <c r="M66" s="18">
        <f t="shared" ref="M66:M129" si="11">IF(OR(A66="",B66="",L66=""),"",IF(B66=1,L66,IFERROR(SUMIFS($G$2:$G$1001,$A$2:$A$1001,A66,$B$2:$B$1001,B66-1),0)))</f>
        <v>3000</v>
      </c>
      <c r="N66" s="18">
        <f t="shared" ref="N66:N129" si="12">IF(OR(L66="",M66=""),"",MIN(L66,M66))</f>
        <v>0</v>
      </c>
      <c r="O66" s="18">
        <f t="shared" ref="O66:O129" si="13">IF(OR(I66="",G66=""),"",I66+G66)</f>
        <v>8200</v>
      </c>
      <c r="P66" s="17">
        <f t="shared" ref="P66:P129" si="14">IF(OR(O66="",O66=0),"",(J66+H66)/O66)</f>
        <v>19.8078048780488</v>
      </c>
      <c r="Q66" s="17">
        <f t="shared" ref="Q66:Q129" si="15">IF(OR(O66="",E66=""),"",MAX(J66+H66-E66*O66,0))</f>
        <v>10724</v>
      </c>
      <c r="R66" s="19" t="str">
        <f ca="1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>违规：实际股数超过风险或金字塔上限</v>
      </c>
    </row>
    <row r="67" ht="17" spans="1:18">
      <c r="A67" s="13">
        <v>28</v>
      </c>
      <c r="B67" s="14">
        <v>3</v>
      </c>
      <c r="C67" s="15">
        <v>45798</v>
      </c>
      <c r="D67" s="16">
        <v>21.78</v>
      </c>
      <c r="E67" s="16">
        <v>20.5</v>
      </c>
      <c r="F67" s="16">
        <v>1</v>
      </c>
      <c r="G67" s="14">
        <v>2000</v>
      </c>
      <c r="H67" s="17">
        <f t="shared" si="8"/>
        <v>43560</v>
      </c>
      <c r="I67" s="18">
        <f>IF(OR(A67="",B67=""),"",IFERROR(LOOKUP(2,1/(单次交易!$A$2:$A$201=A67),单次交易!$H$2:$H$201),0)+SUMIFS($G$2:$G$1001,$A$2:$A$1001,A67,$B$2:$B$1001,"&lt;"&amp;B67))</f>
        <v>8200</v>
      </c>
      <c r="J67" s="17">
        <f>IF(OR(A67="",B67=""),"",IFERROR(LOOKUP(2,1/(单次交易!$A$2:$A$201=A67),单次交易!$E$2:$E$201)*LOOKUP(2,1/(单次交易!$A$2:$A$201=A67),单次交易!$H$2:$H$201),0)+SUMIFS($H$2:$H$1001,$A$2:$A$1001,A67,$B$2:$B$1001,"&lt;"&amp;B67))</f>
        <v>162424</v>
      </c>
      <c r="K67" s="17">
        <f t="shared" si="9"/>
        <v>5676</v>
      </c>
      <c r="L67" s="18">
        <f t="shared" si="10"/>
        <v>4400</v>
      </c>
      <c r="M67" s="18">
        <f t="shared" si="11"/>
        <v>2000</v>
      </c>
      <c r="N67" s="18">
        <f t="shared" si="12"/>
        <v>2000</v>
      </c>
      <c r="O67" s="18">
        <f t="shared" si="13"/>
        <v>10200</v>
      </c>
      <c r="P67" s="17">
        <f t="shared" si="14"/>
        <v>20.1945098039216</v>
      </c>
      <c r="Q67" s="17">
        <f t="shared" si="15"/>
        <v>0</v>
      </c>
      <c r="R67" s="19" t="str">
        <f ca="1">IF(A67="","",IF(COUNTIF(_TradeIds,A67)=0,"违规：交易编号不存在",IF(OR(B67="",B67&lt;1,B67&gt;5,B67&lt;&gt;INT(B67)),"违规：加仓序号须为1到5的整数",IF(COUNTIFS($A$2:$A$1001,A67,$B$2:$B$1001,B67)&gt;1,"违规：同一交易的加仓序号重复",IF(OR(D67="",E67="",F67=""),"计划不完整：请填写加仓价、新止损价和风险预算",IF(OR(D67&lt;=0,E67&lt;=0,F67&lt;=0,D67&lt;=E67),"违规：加仓价必须高于新止损价，金额须大于0",IF(AND(B67&gt;1,COUNTIFS($A$2:$A$1001,A67,$B$2:$B$1001,B67-1,$G$2:$G$1001,"&gt;0")=0),"违规：须先完成上一次加仓",IF(AND(B67&gt;1,E67&lt;SUMIFS($E$2:$E$1001,$A$2:$A$1001,A67,$B$2:$B$1001,B67-1)),"违规：新止损价不得低于上一次",IF(AND(B67&gt;1,F67&gt;SUMIFS($F$2:$F$1001,$A$2:$A$1001,A67,$B$2:$B$1001,B67-1)),"违规：风险预算须逐次不增加",IF(OR(_LockStatus="已锁仓",_LockStatus="解锁信息不完整"),"违规：锁仓期间禁止加仓",IF(G67="","计划可执行：建议股数见N列",IF(OR(G67&lt;=0,G67&lt;&gt;INT(G67),MOD(G67,100)&lt;&gt;0),"违规：实际股数须为100股整数倍",IF(G67&gt;N67,"违规：实际股数超过风险或金字塔上限",IF(AND(B67&gt;1,G67&gt;SUMIFS($G$2:$G$1001,$A$2:$A$1001,A67,$B$2:$B$1001,B67-1)),"违规：加仓股数须逐次不增加",IF(Q67&gt;F67,"违规：止损风险超过本次预算","通过")))))))))))))))</f>
        <v>通过</v>
      </c>
    </row>
    <row r="68" ht="17" spans="1:18">
      <c r="A68" s="13">
        <v>30</v>
      </c>
      <c r="B68" s="14">
        <v>1</v>
      </c>
      <c r="C68" s="15">
        <v>42002</v>
      </c>
      <c r="D68" s="16">
        <v>9.9</v>
      </c>
      <c r="E68" s="16">
        <v>9</v>
      </c>
      <c r="F68" s="16">
        <v>1</v>
      </c>
      <c r="G68" s="14">
        <v>3000</v>
      </c>
      <c r="H68" s="17">
        <f t="shared" si="8"/>
        <v>29700</v>
      </c>
      <c r="I68" s="18">
        <f>IF(OR(A68="",B68=""),"",IFERROR(LOOKUP(2,1/(单次交易!$A$2:$A$201=A68),单次交易!$H$2:$H$201),0)+SUMIFS($G$2:$G$1001,$A$2:$A$1001,A68,$B$2:$B$1001,"&lt;"&amp;B68))</f>
        <v>5700</v>
      </c>
      <c r="J68" s="17">
        <f>IF(OR(A68="",B68=""),"",IFERROR(LOOKUP(2,1/(单次交易!$A$2:$A$201=A68),单次交易!$E$2:$E$201)*LOOKUP(2,1/(单次交易!$A$2:$A$201=A68),单次交易!$H$2:$H$201),0)+SUMIFS($H$2:$H$1001,$A$2:$A$1001,A68,$B$2:$B$1001,"&lt;"&amp;B68))</f>
        <v>58368</v>
      </c>
      <c r="K68" s="17">
        <f t="shared" si="9"/>
        <v>0</v>
      </c>
      <c r="L68" s="18">
        <f t="shared" si="10"/>
        <v>0</v>
      </c>
      <c r="M68" s="18">
        <f t="shared" si="11"/>
        <v>0</v>
      </c>
      <c r="N68" s="18">
        <f t="shared" si="12"/>
        <v>0</v>
      </c>
      <c r="O68" s="18">
        <f t="shared" si="13"/>
        <v>8700</v>
      </c>
      <c r="P68" s="17">
        <f t="shared" si="14"/>
        <v>10.1227586206897</v>
      </c>
      <c r="Q68" s="17">
        <f t="shared" si="15"/>
        <v>9768</v>
      </c>
      <c r="R68" s="19" t="str">
        <f ca="1">IF(A68="","",IF(COUNTIF(_TradeIds,A68)=0,"违规：交易编号不存在",IF(OR(B68="",B68&lt;1,B68&gt;5,B68&lt;&gt;INT(B68)),"违规：加仓序号须为1到5的整数",IF(COUNTIFS($A$2:$A$1001,A68,$B$2:$B$1001,B68)&gt;1,"违规：同一交易的加仓序号重复",IF(OR(D68="",E68="",F68=""),"计划不完整：请填写加仓价、新止损价和风险预算",IF(OR(D68&lt;=0,E68&lt;=0,F68&lt;=0,D68&lt;=E68),"违规：加仓价必须高于新止损价，金额须大于0",IF(AND(B68&gt;1,COUNTIFS($A$2:$A$1001,A68,$B$2:$B$1001,B68-1,$G$2:$G$1001,"&gt;0")=0),"违规：须先完成上一次加仓",IF(AND(B68&gt;1,E68&lt;SUMIFS($E$2:$E$1001,$A$2:$A$1001,A68,$B$2:$B$1001,B68-1)),"违规：新止损价不得低于上一次",IF(AND(B68&gt;1,F68&gt;SUMIFS($F$2:$F$1001,$A$2:$A$1001,A68,$B$2:$B$1001,B68-1)),"违规：风险预算须逐次不增加",IF(OR(_LockStatus="已锁仓",_LockStatus="解锁信息不完整"),"违规：锁仓期间禁止加仓",IF(G68="","计划可执行：建议股数见N列",IF(OR(G68&lt;=0,G68&lt;&gt;INT(G68),MOD(G68,100)&lt;&gt;0),"违规：实际股数须为100股整数倍",IF(G68&gt;N68,"违规：实际股数超过风险或金字塔上限",IF(AND(B68&gt;1,G68&gt;SUMIFS($G$2:$G$1001,$A$2:$A$1001,A68,$B$2:$B$1001,B68-1)),"违规：加仓股数须逐次不增加",IF(Q68&gt;F68,"违规：止损风险超过本次预算","通过")))))))))))))))</f>
        <v>违规：实际股数超过风险或金字塔上限</v>
      </c>
    </row>
    <row r="69" ht="17" spans="1:18">
      <c r="A69" s="13">
        <v>30</v>
      </c>
      <c r="B69" s="14">
        <v>2</v>
      </c>
      <c r="C69" s="15">
        <v>42010</v>
      </c>
      <c r="D69" s="16">
        <v>10.75</v>
      </c>
      <c r="E69" s="16">
        <v>10</v>
      </c>
      <c r="F69" s="16">
        <v>1</v>
      </c>
      <c r="G69" s="14">
        <v>2000</v>
      </c>
      <c r="H69" s="17">
        <f t="shared" si="8"/>
        <v>21500</v>
      </c>
      <c r="I69" s="18">
        <f>IF(OR(A69="",B69=""),"",IFERROR(LOOKUP(2,1/(单次交易!$A$2:$A$201=A69),单次交易!$H$2:$H$201),0)+SUMIFS($G$2:$G$1001,$A$2:$A$1001,A69,$B$2:$B$1001,"&lt;"&amp;B69))</f>
        <v>8700</v>
      </c>
      <c r="J69" s="17">
        <f>IF(OR(A69="",B69=""),"",IFERROR(LOOKUP(2,1/(单次交易!$A$2:$A$201=A69),单次交易!$E$2:$E$201)*LOOKUP(2,1/(单次交易!$A$2:$A$201=A69),单次交易!$H$2:$H$201),0)+SUMIFS($H$2:$H$1001,$A$2:$A$1001,A69,$B$2:$B$1001,"&lt;"&amp;B69))</f>
        <v>88068</v>
      </c>
      <c r="K69" s="17">
        <f t="shared" si="9"/>
        <v>0</v>
      </c>
      <c r="L69" s="18">
        <f t="shared" si="10"/>
        <v>0</v>
      </c>
      <c r="M69" s="18">
        <f t="shared" si="11"/>
        <v>3000</v>
      </c>
      <c r="N69" s="18">
        <f t="shared" si="12"/>
        <v>0</v>
      </c>
      <c r="O69" s="18">
        <f t="shared" si="13"/>
        <v>10700</v>
      </c>
      <c r="P69" s="17">
        <f t="shared" si="14"/>
        <v>10.24</v>
      </c>
      <c r="Q69" s="17">
        <f t="shared" si="15"/>
        <v>2568</v>
      </c>
      <c r="R69" s="19" t="str">
        <f ca="1">IF(A69="","",IF(COUNTIF(_TradeIds,A69)=0,"违规：交易编号不存在",IF(OR(B69="",B69&lt;1,B69&gt;5,B69&lt;&gt;INT(B69)),"违规：加仓序号须为1到5的整数",IF(COUNTIFS($A$2:$A$1001,A69,$B$2:$B$1001,B69)&gt;1,"违规：同一交易的加仓序号重复",IF(OR(D69="",E69="",F69=""),"计划不完整：请填写加仓价、新止损价和风险预算",IF(OR(D69&lt;=0,E69&lt;=0,F69&lt;=0,D69&lt;=E69),"违规：加仓价必须高于新止损价，金额须大于0",IF(AND(B69&gt;1,COUNTIFS($A$2:$A$1001,A69,$B$2:$B$1001,B69-1,$G$2:$G$1001,"&gt;0")=0),"违规：须先完成上一次加仓",IF(AND(B69&gt;1,E69&lt;SUMIFS($E$2:$E$1001,$A$2:$A$1001,A69,$B$2:$B$1001,B69-1)),"违规：新止损价不得低于上一次",IF(AND(B69&gt;1,F69&gt;SUMIFS($F$2:$F$1001,$A$2:$A$1001,A69,$B$2:$B$1001,B69-1)),"违规：风险预算须逐次不增加",IF(OR(_LockStatus="已锁仓",_LockStatus="解锁信息不完整"),"违规：锁仓期间禁止加仓",IF(G69="","计划可执行：建议股数见N列",IF(OR(G69&lt;=0,G69&lt;&gt;INT(G69),MOD(G69,100)&lt;&gt;0),"违规：实际股数须为100股整数倍",IF(G69&gt;N69,"违规：实际股数超过风险或金字塔上限",IF(AND(B69&gt;1,G69&gt;SUMIFS($G$2:$G$1001,$A$2:$A$1001,A69,$B$2:$B$1001,B69-1)),"违规：加仓股数须逐次不增加",IF(Q69&gt;F69,"违规：止损风险超过本次预算","通过")))))))))))))))</f>
        <v>违规：实际股数超过风险或金字塔上限</v>
      </c>
    </row>
    <row r="70" ht="17" spans="1:18">
      <c r="A70" s="13">
        <v>30</v>
      </c>
      <c r="B70" s="14">
        <v>3</v>
      </c>
      <c r="C70" s="15">
        <v>42016</v>
      </c>
      <c r="D70" s="16">
        <v>11.26</v>
      </c>
      <c r="E70" s="16">
        <v>10.5</v>
      </c>
      <c r="F70" s="16">
        <v>1</v>
      </c>
      <c r="G70" s="14">
        <v>2000</v>
      </c>
      <c r="H70" s="17">
        <f t="shared" si="8"/>
        <v>22520</v>
      </c>
      <c r="I70" s="18">
        <f>IF(OR(A70="",B70=""),"",IFERROR(LOOKUP(2,1/(单次交易!$A$2:$A$201=A70),单次交易!$H$2:$H$201),0)+SUMIFS($G$2:$G$1001,$A$2:$A$1001,A70,$B$2:$B$1001,"&lt;"&amp;B70))</f>
        <v>10700</v>
      </c>
      <c r="J70" s="17">
        <f>IF(OR(A70="",B70=""),"",IFERROR(LOOKUP(2,1/(单次交易!$A$2:$A$201=A70),单次交易!$E$2:$E$201)*LOOKUP(2,1/(单次交易!$A$2:$A$201=A70),单次交易!$H$2:$H$201),0)+SUMIFS($H$2:$H$1001,$A$2:$A$1001,A70,$B$2:$B$1001,"&lt;"&amp;B70))</f>
        <v>109568</v>
      </c>
      <c r="K70" s="17">
        <f t="shared" si="9"/>
        <v>2782</v>
      </c>
      <c r="L70" s="18">
        <f t="shared" si="10"/>
        <v>3600</v>
      </c>
      <c r="M70" s="18">
        <f t="shared" si="11"/>
        <v>2000</v>
      </c>
      <c r="N70" s="18">
        <f t="shared" si="12"/>
        <v>2000</v>
      </c>
      <c r="O70" s="18">
        <f t="shared" si="13"/>
        <v>12700</v>
      </c>
      <c r="P70" s="17">
        <f t="shared" si="14"/>
        <v>10.4006299212598</v>
      </c>
      <c r="Q70" s="17">
        <f t="shared" si="15"/>
        <v>0</v>
      </c>
      <c r="R70" s="19" t="str">
        <f ca="1">IF(A70="","",IF(COUNTIF(_TradeIds,A70)=0,"违规：交易编号不存在",IF(OR(B70="",B70&lt;1,B70&gt;5,B70&lt;&gt;INT(B70)),"违规：加仓序号须为1到5的整数",IF(COUNTIFS($A$2:$A$1001,A70,$B$2:$B$1001,B70)&gt;1,"违规：同一交易的加仓序号重复",IF(OR(D70="",E70="",F70=""),"计划不完整：请填写加仓价、新止损价和风险预算",IF(OR(D70&lt;=0,E70&lt;=0,F70&lt;=0,D70&lt;=E70),"违规：加仓价必须高于新止损价，金额须大于0",IF(AND(B70&gt;1,COUNTIFS($A$2:$A$1001,A70,$B$2:$B$1001,B70-1,$G$2:$G$1001,"&gt;0")=0),"违规：须先完成上一次加仓",IF(AND(B70&gt;1,E70&lt;SUMIFS($E$2:$E$1001,$A$2:$A$1001,A70,$B$2:$B$1001,B70-1)),"违规：新止损价不得低于上一次",IF(AND(B70&gt;1,F70&gt;SUMIFS($F$2:$F$1001,$A$2:$A$1001,A70,$B$2:$B$1001,B70-1)),"违规：风险预算须逐次不增加",IF(OR(_LockStatus="已锁仓",_LockStatus="解锁信息不完整"),"违规：锁仓期间禁止加仓",IF(G70="","计划可执行：建议股数见N列",IF(OR(G70&lt;=0,G70&lt;&gt;INT(G70),MOD(G70,100)&lt;&gt;0),"违规：实际股数须为100股整数倍",IF(G70&gt;N70,"违规：实际股数超过风险或金字塔上限",IF(AND(B70&gt;1,G70&gt;SUMIFS($G$2:$G$1001,$A$2:$A$1001,A70,$B$2:$B$1001,B70-1)),"违规：加仓股数须逐次不增加",IF(Q70&gt;F70,"违规：止损风险超过本次预算","通过")))))))))))))))</f>
        <v>通过</v>
      </c>
    </row>
    <row r="71" ht="17" spans="1:18">
      <c r="A71" s="13">
        <v>30</v>
      </c>
      <c r="B71" s="14">
        <v>4</v>
      </c>
      <c r="C71" s="15">
        <v>42019</v>
      </c>
      <c r="D71" s="16">
        <v>10.92</v>
      </c>
      <c r="E71" s="16">
        <v>10.5</v>
      </c>
      <c r="F71" s="16">
        <v>1</v>
      </c>
      <c r="G71" s="14">
        <v>2000</v>
      </c>
      <c r="H71" s="17">
        <f t="shared" si="8"/>
        <v>21840</v>
      </c>
      <c r="I71" s="18">
        <f>IF(OR(A71="",B71=""),"",IFERROR(LOOKUP(2,1/(单次交易!$A$2:$A$201=A71),单次交易!$H$2:$H$201),0)+SUMIFS($G$2:$G$1001,$A$2:$A$1001,A71,$B$2:$B$1001,"&lt;"&amp;B71))</f>
        <v>12700</v>
      </c>
      <c r="J71" s="17">
        <f>IF(OR(A71="",B71=""),"",IFERROR(LOOKUP(2,1/(单次交易!$A$2:$A$201=A71),单次交易!$E$2:$E$201)*LOOKUP(2,1/(单次交易!$A$2:$A$201=A71),单次交易!$H$2:$H$201),0)+SUMIFS($H$2:$H$1001,$A$2:$A$1001,A71,$B$2:$B$1001,"&lt;"&amp;B71))</f>
        <v>132088</v>
      </c>
      <c r="K71" s="17">
        <f t="shared" si="9"/>
        <v>1262</v>
      </c>
      <c r="L71" s="18">
        <f t="shared" si="10"/>
        <v>3000</v>
      </c>
      <c r="M71" s="18">
        <f t="shared" si="11"/>
        <v>2000</v>
      </c>
      <c r="N71" s="18">
        <f t="shared" si="12"/>
        <v>2000</v>
      </c>
      <c r="O71" s="18">
        <f t="shared" si="13"/>
        <v>14700</v>
      </c>
      <c r="P71" s="17">
        <f t="shared" si="14"/>
        <v>10.4712925170068</v>
      </c>
      <c r="Q71" s="17">
        <f t="shared" si="15"/>
        <v>0</v>
      </c>
      <c r="R71" s="19" t="str">
        <f ca="1">IF(A71="","",IF(COUNTIF(_TradeIds,A71)=0,"违规：交易编号不存在",IF(OR(B71="",B71&lt;1,B71&gt;5,B71&lt;&gt;INT(B71)),"违规：加仓序号须为1到5的整数",IF(COUNTIFS($A$2:$A$1001,A71,$B$2:$B$1001,B71)&gt;1,"违规：同一交易的加仓序号重复",IF(OR(D71="",E71="",F71=""),"计划不完整：请填写加仓价、新止损价和风险预算",IF(OR(D71&lt;=0,E71&lt;=0,F71&lt;=0,D71&lt;=E71),"违规：加仓价必须高于新止损价，金额须大于0",IF(AND(B71&gt;1,COUNTIFS($A$2:$A$1001,A71,$B$2:$B$1001,B71-1,$G$2:$G$1001,"&gt;0")=0),"违规：须先完成上一次加仓",IF(AND(B71&gt;1,E71&lt;SUMIFS($E$2:$E$1001,$A$2:$A$1001,A71,$B$2:$B$1001,B71-1)),"违规：新止损价不得低于上一次",IF(AND(B71&gt;1,F71&gt;SUMIFS($F$2:$F$1001,$A$2:$A$1001,A71,$B$2:$B$1001,B71-1)),"违规：风险预算须逐次不增加",IF(OR(_LockStatus="已锁仓",_LockStatus="解锁信息不完整"),"违规：锁仓期间禁止加仓",IF(G71="","计划可执行：建议股数见N列",IF(OR(G71&lt;=0,G71&lt;&gt;INT(G71),MOD(G71,100)&lt;&gt;0),"违规：实际股数须为100股整数倍",IF(G71&gt;N71,"违规：实际股数超过风险或金字塔上限",IF(AND(B71&gt;1,G71&gt;SUMIFS($G$2:$G$1001,$A$2:$A$1001,A71,$B$2:$B$1001,B71-1)),"违规：加仓股数须逐次不增加",IF(Q71&gt;F71,"违规：止损风险超过本次预算","通过")))))))))))))))</f>
        <v>通过</v>
      </c>
    </row>
    <row r="72" ht="17" spans="1:18">
      <c r="A72" s="13">
        <v>30</v>
      </c>
      <c r="B72" s="14">
        <v>5</v>
      </c>
      <c r="C72" s="15">
        <v>42027</v>
      </c>
      <c r="D72" s="16">
        <v>10.99</v>
      </c>
      <c r="E72" s="16">
        <v>10.5</v>
      </c>
      <c r="F72" s="16">
        <v>1</v>
      </c>
      <c r="G72" s="14">
        <v>5000</v>
      </c>
      <c r="H72" s="17">
        <f t="shared" si="8"/>
        <v>54950</v>
      </c>
      <c r="I72" s="18">
        <f>IF(OR(A72="",B72=""),"",IFERROR(LOOKUP(2,1/(单次交易!$A$2:$A$201=A72),单次交易!$H$2:$H$201),0)+SUMIFS($G$2:$G$1001,$A$2:$A$1001,A72,$B$2:$B$1001,"&lt;"&amp;B72))</f>
        <v>14700</v>
      </c>
      <c r="J72" s="17">
        <f>IF(OR(A72="",B72=""),"",IFERROR(LOOKUP(2,1/(单次交易!$A$2:$A$201=A72),单次交易!$E$2:$E$201)*LOOKUP(2,1/(单次交易!$A$2:$A$201=A72),单次交易!$H$2:$H$201),0)+SUMIFS($H$2:$H$1001,$A$2:$A$1001,A72,$B$2:$B$1001,"&lt;"&amp;B72))</f>
        <v>153928</v>
      </c>
      <c r="K72" s="17">
        <f t="shared" si="9"/>
        <v>422</v>
      </c>
      <c r="L72" s="18">
        <f t="shared" si="10"/>
        <v>800</v>
      </c>
      <c r="M72" s="18">
        <f t="shared" si="11"/>
        <v>2000</v>
      </c>
      <c r="N72" s="18">
        <f t="shared" si="12"/>
        <v>800</v>
      </c>
      <c r="O72" s="18">
        <f t="shared" si="13"/>
        <v>19700</v>
      </c>
      <c r="P72" s="17">
        <f t="shared" si="14"/>
        <v>10.6029441624365</v>
      </c>
      <c r="Q72" s="17">
        <f t="shared" si="15"/>
        <v>2028</v>
      </c>
      <c r="R72" s="19" t="str">
        <f ca="1">IF(A72="","",IF(COUNTIF(_TradeIds,A72)=0,"违规：交易编号不存在",IF(OR(B72="",B72&lt;1,B72&gt;5,B72&lt;&gt;INT(B72)),"违规：加仓序号须为1到5的整数",IF(COUNTIFS($A$2:$A$1001,A72,$B$2:$B$1001,B72)&gt;1,"违规：同一交易的加仓序号重复",IF(OR(D72="",E72="",F72=""),"计划不完整：请填写加仓价、新止损价和风险预算",IF(OR(D72&lt;=0,E72&lt;=0,F72&lt;=0,D72&lt;=E72),"违规：加仓价必须高于新止损价，金额须大于0",IF(AND(B72&gt;1,COUNTIFS($A$2:$A$1001,A72,$B$2:$B$1001,B72-1,$G$2:$G$1001,"&gt;0")=0),"违规：须先完成上一次加仓",IF(AND(B72&gt;1,E72&lt;SUMIFS($E$2:$E$1001,$A$2:$A$1001,A72,$B$2:$B$1001,B72-1)),"违规：新止损价不得低于上一次",IF(AND(B72&gt;1,F72&gt;SUMIFS($F$2:$F$1001,$A$2:$A$1001,A72,$B$2:$B$1001,B72-1)),"违规：风险预算须逐次不增加",IF(OR(_LockStatus="已锁仓",_LockStatus="解锁信息不完整"),"违规：锁仓期间禁止加仓",IF(G72="","计划可执行：建议股数见N列",IF(OR(G72&lt;=0,G72&lt;&gt;INT(G72),MOD(G72,100)&lt;&gt;0),"违规：实际股数须为100股整数倍",IF(G72&gt;N72,"违规：实际股数超过风险或金字塔上限",IF(AND(B72&gt;1,G72&gt;SUMIFS($G$2:$G$1001,$A$2:$A$1001,A72,$B$2:$B$1001,B72-1)),"违规：加仓股数须逐次不增加",IF(Q72&gt;F72,"违规：止损风险超过本次预算","通过")))))))))))))))</f>
        <v>违规：实际股数超过风险或金字塔上限</v>
      </c>
    </row>
    <row r="73" ht="17" spans="1:18">
      <c r="A73" s="13">
        <v>31</v>
      </c>
      <c r="B73" s="14">
        <v>1</v>
      </c>
      <c r="C73" s="15">
        <v>42149</v>
      </c>
      <c r="D73" s="16">
        <v>18.74</v>
      </c>
      <c r="E73" s="16">
        <v>16.5</v>
      </c>
      <c r="F73" s="16">
        <v>1</v>
      </c>
      <c r="G73" s="14">
        <v>2000</v>
      </c>
      <c r="H73" s="17">
        <f t="shared" si="8"/>
        <v>37480</v>
      </c>
      <c r="I73" s="18">
        <f>IF(OR(A73="",B73=""),"",IFERROR(LOOKUP(2,1/(单次交易!$A$2:$A$201=A73),单次交易!$H$2:$H$201),0)+SUMIFS($G$2:$G$1001,$A$2:$A$1001,A73,$B$2:$B$1001,"&lt;"&amp;B73))</f>
        <v>8200</v>
      </c>
      <c r="J73" s="17">
        <f>IF(OR(A73="",B73=""),"",IFERROR(LOOKUP(2,1/(单次交易!$A$2:$A$201=A73),单次交易!$E$2:$E$201)*LOOKUP(2,1/(单次交易!$A$2:$A$201=A73),单次交易!$H$2:$H$201),0)+SUMIFS($H$2:$H$1001,$A$2:$A$1001,A73,$B$2:$B$1001,"&lt;"&amp;B73))</f>
        <v>128822</v>
      </c>
      <c r="K73" s="17">
        <f t="shared" si="9"/>
        <v>6478</v>
      </c>
      <c r="L73" s="18">
        <f t="shared" si="10"/>
        <v>2800</v>
      </c>
      <c r="M73" s="18">
        <f t="shared" si="11"/>
        <v>2800</v>
      </c>
      <c r="N73" s="18">
        <f t="shared" si="12"/>
        <v>2800</v>
      </c>
      <c r="O73" s="18">
        <f t="shared" si="13"/>
        <v>10200</v>
      </c>
      <c r="P73" s="17">
        <f t="shared" si="14"/>
        <v>16.3041176470588</v>
      </c>
      <c r="Q73" s="17">
        <f t="shared" si="15"/>
        <v>0</v>
      </c>
      <c r="R73" s="19" t="str">
        <f ca="1">IF(A73="","",IF(COUNTIF(_TradeIds,A73)=0,"违规：交易编号不存在",IF(OR(B73="",B73&lt;1,B73&gt;5,B73&lt;&gt;INT(B73)),"违规：加仓序号须为1到5的整数",IF(COUNTIFS($A$2:$A$1001,A73,$B$2:$B$1001,B73)&gt;1,"违规：同一交易的加仓序号重复",IF(OR(D73="",E73="",F73=""),"计划不完整：请填写加仓价、新止损价和风险预算",IF(OR(D73&lt;=0,E73&lt;=0,F73&lt;=0,D73&lt;=E73),"违规：加仓价必须高于新止损价，金额须大于0",IF(AND(B73&gt;1,COUNTIFS($A$2:$A$1001,A73,$B$2:$B$1001,B73-1,$G$2:$G$1001,"&gt;0")=0),"违规：须先完成上一次加仓",IF(AND(B73&gt;1,E73&lt;SUMIFS($E$2:$E$1001,$A$2:$A$1001,A73,$B$2:$B$1001,B73-1)),"违规：新止损价不得低于上一次",IF(AND(B73&gt;1,F73&gt;SUMIFS($F$2:$F$1001,$A$2:$A$1001,A73,$B$2:$B$1001,B73-1)),"违规：风险预算须逐次不增加",IF(OR(_LockStatus="已锁仓",_LockStatus="解锁信息不完整"),"违规：锁仓期间禁止加仓",IF(G73="","计划可执行：建议股数见N列",IF(OR(G73&lt;=0,G73&lt;&gt;INT(G73),MOD(G73,100)&lt;&gt;0),"违规：实际股数须为100股整数倍",IF(G73&gt;N73,"违规：实际股数超过风险或金字塔上限",IF(AND(B73&gt;1,G73&gt;SUMIFS($G$2:$G$1001,$A$2:$A$1001,A73,$B$2:$B$1001,B73-1)),"违规：加仓股数须逐次不增加",IF(Q73&gt;F73,"违规：止损风险超过本次预算","通过")))))))))))))))</f>
        <v>通过</v>
      </c>
    </row>
    <row r="74" ht="17" spans="1:18">
      <c r="A74" s="13">
        <v>31</v>
      </c>
      <c r="B74" s="14">
        <v>2</v>
      </c>
      <c r="C74" s="15">
        <v>42156</v>
      </c>
      <c r="D74" s="16">
        <v>19.23</v>
      </c>
      <c r="E74" s="16">
        <v>16.7</v>
      </c>
      <c r="F74" s="16">
        <v>1</v>
      </c>
      <c r="G74" s="14">
        <v>2000</v>
      </c>
      <c r="H74" s="17">
        <f t="shared" si="8"/>
        <v>38460</v>
      </c>
      <c r="I74" s="18">
        <f>IF(OR(A74="",B74=""),"",IFERROR(LOOKUP(2,1/(单次交易!$A$2:$A$201=A74),单次交易!$H$2:$H$201),0)+SUMIFS($G$2:$G$1001,$A$2:$A$1001,A74,$B$2:$B$1001,"&lt;"&amp;B74))</f>
        <v>10200</v>
      </c>
      <c r="J74" s="17">
        <f>IF(OR(A74="",B74=""),"",IFERROR(LOOKUP(2,1/(单次交易!$A$2:$A$201=A74),单次交易!$E$2:$E$201)*LOOKUP(2,1/(单次交易!$A$2:$A$201=A74),单次交易!$H$2:$H$201),0)+SUMIFS($H$2:$H$1001,$A$2:$A$1001,A74,$B$2:$B$1001,"&lt;"&amp;B74))</f>
        <v>166302</v>
      </c>
      <c r="K74" s="17">
        <f t="shared" si="9"/>
        <v>4038</v>
      </c>
      <c r="L74" s="18">
        <f t="shared" si="10"/>
        <v>1500</v>
      </c>
      <c r="M74" s="18">
        <f t="shared" si="11"/>
        <v>2000</v>
      </c>
      <c r="N74" s="18">
        <f t="shared" si="12"/>
        <v>1500</v>
      </c>
      <c r="O74" s="18">
        <f t="shared" si="13"/>
        <v>12200</v>
      </c>
      <c r="P74" s="17">
        <f t="shared" si="14"/>
        <v>16.7837704918033</v>
      </c>
      <c r="Q74" s="17">
        <f t="shared" si="15"/>
        <v>1022</v>
      </c>
      <c r="R74" s="19" t="str">
        <f ca="1">IF(A74="","",IF(COUNTIF(_TradeIds,A74)=0,"违规：交易编号不存在",IF(OR(B74="",B74&lt;1,B74&gt;5,B74&lt;&gt;INT(B74)),"违规：加仓序号须为1到5的整数",IF(COUNTIFS($A$2:$A$1001,A74,$B$2:$B$1001,B74)&gt;1,"违规：同一交易的加仓序号重复",IF(OR(D74="",E74="",F74=""),"计划不完整：请填写加仓价、新止损价和风险预算",IF(OR(D74&lt;=0,E74&lt;=0,F74&lt;=0,D74&lt;=E74),"违规：加仓价必须高于新止损价，金额须大于0",IF(AND(B74&gt;1,COUNTIFS($A$2:$A$1001,A74,$B$2:$B$1001,B74-1,$G$2:$G$1001,"&gt;0")=0),"违规：须先完成上一次加仓",IF(AND(B74&gt;1,E74&lt;SUMIFS($E$2:$E$1001,$A$2:$A$1001,A74,$B$2:$B$1001,B74-1)),"违规：新止损价不得低于上一次",IF(AND(B74&gt;1,F74&gt;SUMIFS($F$2:$F$1001,$A$2:$A$1001,A74,$B$2:$B$1001,B74-1)),"违规：风险预算须逐次不增加",IF(OR(_LockStatus="已锁仓",_LockStatus="解锁信息不完整"),"违规：锁仓期间禁止加仓",IF(G74="","计划可执行：建议股数见N列",IF(OR(G74&lt;=0,G74&lt;&gt;INT(G74),MOD(G74,100)&lt;&gt;0),"违规：实际股数须为100股整数倍",IF(G74&gt;N74,"违规：实际股数超过风险或金字塔上限",IF(AND(B74&gt;1,G74&gt;SUMIFS($G$2:$G$1001,$A$2:$A$1001,A74,$B$2:$B$1001,B74-1)),"违规：加仓股数须逐次不增加",IF(Q74&gt;F74,"违规：止损风险超过本次预算","通过")))))))))))))))</f>
        <v>违规：实际股数超过风险或金字塔上限</v>
      </c>
    </row>
    <row r="75" ht="17" spans="1:18">
      <c r="A75" s="13">
        <v>32</v>
      </c>
      <c r="B75" s="14">
        <v>1</v>
      </c>
      <c r="C75" s="15">
        <v>42181</v>
      </c>
      <c r="D75" s="16">
        <v>15.22</v>
      </c>
      <c r="E75" s="16">
        <v>14</v>
      </c>
      <c r="F75" s="16">
        <v>1</v>
      </c>
      <c r="G75" s="14">
        <v>2000</v>
      </c>
      <c r="H75" s="17">
        <f t="shared" si="8"/>
        <v>30440</v>
      </c>
      <c r="I75" s="18">
        <f>IF(OR(A75="",B75=""),"",IFERROR(LOOKUP(2,1/(单次交易!$A$2:$A$201=A75),单次交易!$H$2:$H$201),0)+SUMIFS($G$2:$G$1001,$A$2:$A$1001,A75,$B$2:$B$1001,"&lt;"&amp;B75))</f>
        <v>2000</v>
      </c>
      <c r="J75" s="17">
        <f>IF(OR(A75="",B75=""),"",IFERROR(LOOKUP(2,1/(单次交易!$A$2:$A$201=A75),单次交易!$E$2:$E$201)*LOOKUP(2,1/(单次交易!$A$2:$A$201=A75),单次交易!$H$2:$H$201),0)+SUMIFS($H$2:$H$1001,$A$2:$A$1001,A75,$B$2:$B$1001,"&lt;"&amp;B75))</f>
        <v>36680</v>
      </c>
      <c r="K75" s="17">
        <f t="shared" si="9"/>
        <v>0</v>
      </c>
      <c r="L75" s="18">
        <f t="shared" si="10"/>
        <v>0</v>
      </c>
      <c r="M75" s="18">
        <f t="shared" si="11"/>
        <v>0</v>
      </c>
      <c r="N75" s="18">
        <f t="shared" si="12"/>
        <v>0</v>
      </c>
      <c r="O75" s="18">
        <f t="shared" si="13"/>
        <v>4000</v>
      </c>
      <c r="P75" s="17">
        <f t="shared" si="14"/>
        <v>16.78</v>
      </c>
      <c r="Q75" s="17">
        <f t="shared" si="15"/>
        <v>11120</v>
      </c>
      <c r="R75" s="19" t="str">
        <f ca="1">IF(A75="","",IF(COUNTIF(_TradeIds,A75)=0,"违规：交易编号不存在",IF(OR(B75="",B75&lt;1,B75&gt;5,B75&lt;&gt;INT(B75)),"违规：加仓序号须为1到5的整数",IF(COUNTIFS($A$2:$A$1001,A75,$B$2:$B$1001,B75)&gt;1,"违规：同一交易的加仓序号重复",IF(OR(D75="",E75="",F75=""),"计划不完整：请填写加仓价、新止损价和风险预算",IF(OR(D75&lt;=0,E75&lt;=0,F75&lt;=0,D75&lt;=E75),"违规：加仓价必须高于新止损价，金额须大于0",IF(AND(B75&gt;1,COUNTIFS($A$2:$A$1001,A75,$B$2:$B$1001,B75-1,$G$2:$G$1001,"&gt;0")=0),"违规：须先完成上一次加仓",IF(AND(B75&gt;1,E75&lt;SUMIFS($E$2:$E$1001,$A$2:$A$1001,A75,$B$2:$B$1001,B75-1)),"违规：新止损价不得低于上一次",IF(AND(B75&gt;1,F75&gt;SUMIFS($F$2:$F$1001,$A$2:$A$1001,A75,$B$2:$B$1001,B75-1)),"违规：风险预算须逐次不增加",IF(OR(_LockStatus="已锁仓",_LockStatus="解锁信息不完整"),"违规：锁仓期间禁止加仓",IF(G75="","计划可执行：建议股数见N列",IF(OR(G75&lt;=0,G75&lt;&gt;INT(G75),MOD(G75,100)&lt;&gt;0),"违规：实际股数须为100股整数倍",IF(G75&gt;N75,"违规：实际股数超过风险或金字塔上限",IF(AND(B75&gt;1,G75&gt;SUMIFS($G$2:$G$1001,$A$2:$A$1001,A75,$B$2:$B$1001,B75-1)),"违规：加仓股数须逐次不增加",IF(Q75&gt;F75,"违规：止损风险超过本次预算","通过")))))))))))))))</f>
        <v>违规：实际股数超过风险或金字塔上限</v>
      </c>
    </row>
    <row r="76" ht="17" spans="1:18">
      <c r="A76" s="13">
        <v>32</v>
      </c>
      <c r="B76" s="14">
        <v>2</v>
      </c>
      <c r="C76" s="15">
        <v>42184</v>
      </c>
      <c r="D76" s="16">
        <v>13.92</v>
      </c>
      <c r="E76" s="16">
        <v>13.5</v>
      </c>
      <c r="F76" s="16">
        <v>1</v>
      </c>
      <c r="G76" s="14">
        <v>2000</v>
      </c>
      <c r="H76" s="17">
        <f t="shared" si="8"/>
        <v>27840</v>
      </c>
      <c r="I76" s="18">
        <f>IF(OR(A76="",B76=""),"",IFERROR(LOOKUP(2,1/(单次交易!$A$2:$A$201=A76),单次交易!$H$2:$H$201),0)+SUMIFS($G$2:$G$1001,$A$2:$A$1001,A76,$B$2:$B$1001,"&lt;"&amp;B76))</f>
        <v>4000</v>
      </c>
      <c r="J76" s="17">
        <f>IF(OR(A76="",B76=""),"",IFERROR(LOOKUP(2,1/(单次交易!$A$2:$A$201=A76),单次交易!$E$2:$E$201)*LOOKUP(2,1/(单次交易!$A$2:$A$201=A76),单次交易!$H$2:$H$201),0)+SUMIFS($H$2:$H$1001,$A$2:$A$1001,A76,$B$2:$B$1001,"&lt;"&amp;B76))</f>
        <v>67120</v>
      </c>
      <c r="K76" s="17">
        <f t="shared" si="9"/>
        <v>0</v>
      </c>
      <c r="L76" s="18">
        <f t="shared" si="10"/>
        <v>0</v>
      </c>
      <c r="M76" s="18">
        <f t="shared" si="11"/>
        <v>2000</v>
      </c>
      <c r="N76" s="18">
        <f t="shared" si="12"/>
        <v>0</v>
      </c>
      <c r="O76" s="18">
        <f t="shared" si="13"/>
        <v>6000</v>
      </c>
      <c r="P76" s="17">
        <f t="shared" si="14"/>
        <v>15.8266666666667</v>
      </c>
      <c r="Q76" s="17">
        <f t="shared" si="15"/>
        <v>13960</v>
      </c>
      <c r="R76" s="19" t="str">
        <f ca="1">IF(A76="","",IF(COUNTIF(_TradeIds,A76)=0,"违规：交易编号不存在",IF(OR(B76="",B76&lt;1,B76&gt;5,B76&lt;&gt;INT(B76)),"违规：加仓序号须为1到5的整数",IF(COUNTIFS($A$2:$A$1001,A76,$B$2:$B$1001,B76)&gt;1,"违规：同一交易的加仓序号重复",IF(OR(D76="",E76="",F76=""),"计划不完整：请填写加仓价、新止损价和风险预算",IF(OR(D76&lt;=0,E76&lt;=0,F76&lt;=0,D76&lt;=E76),"违规：加仓价必须高于新止损价，金额须大于0",IF(AND(B76&gt;1,COUNTIFS($A$2:$A$1001,A76,$B$2:$B$1001,B76-1,$G$2:$G$1001,"&gt;0")=0),"违规：须先完成上一次加仓",IF(AND(B76&gt;1,E76&lt;SUMIFS($E$2:$E$1001,$A$2:$A$1001,A76,$B$2:$B$1001,B76-1)),"违规：新止损价不得低于上一次",IF(AND(B76&gt;1,F76&gt;SUMIFS($F$2:$F$1001,$A$2:$A$1001,A76,$B$2:$B$1001,B76-1)),"违规：风险预算须逐次不增加",IF(OR(_LockStatus="已锁仓",_LockStatus="解锁信息不完整"),"违规：锁仓期间禁止加仓",IF(G76="","计划可执行：建议股数见N列",IF(OR(G76&lt;=0,G76&lt;&gt;INT(G76),MOD(G76,100)&lt;&gt;0),"违规：实际股数须为100股整数倍",IF(G76&gt;N76,"违规：实际股数超过风险或金字塔上限",IF(AND(B76&gt;1,G76&gt;SUMIFS($G$2:$G$1001,$A$2:$A$1001,A76,$B$2:$B$1001,B76-1)),"违规：加仓股数须逐次不增加",IF(Q76&gt;F76,"违规：止损风险超过本次预算","通过")))))))))))))))</f>
        <v>违规：新止损价不得低于上一次</v>
      </c>
    </row>
    <row r="77" ht="17" spans="1:18">
      <c r="A77" s="13">
        <v>32</v>
      </c>
      <c r="B77" s="14">
        <v>3</v>
      </c>
      <c r="C77" s="15">
        <v>42187</v>
      </c>
      <c r="D77" s="16">
        <v>12.73</v>
      </c>
      <c r="E77" s="16">
        <v>12</v>
      </c>
      <c r="F77" s="16">
        <v>1</v>
      </c>
      <c r="G77" s="14">
        <v>4000</v>
      </c>
      <c r="H77" s="17">
        <f t="shared" si="8"/>
        <v>50920</v>
      </c>
      <c r="I77" s="18">
        <f>IF(OR(A77="",B77=""),"",IFERROR(LOOKUP(2,1/(单次交易!$A$2:$A$201=A77),单次交易!$H$2:$H$201),0)+SUMIFS($G$2:$G$1001,$A$2:$A$1001,A77,$B$2:$B$1001,"&lt;"&amp;B77))</f>
        <v>6000</v>
      </c>
      <c r="J77" s="17">
        <f>IF(OR(A77="",B77=""),"",IFERROR(LOOKUP(2,1/(单次交易!$A$2:$A$201=A77),单次交易!$E$2:$E$201)*LOOKUP(2,1/(单次交易!$A$2:$A$201=A77),单次交易!$H$2:$H$201),0)+SUMIFS($H$2:$H$1001,$A$2:$A$1001,A77,$B$2:$B$1001,"&lt;"&amp;B77))</f>
        <v>94960</v>
      </c>
      <c r="K77" s="17">
        <f t="shared" si="9"/>
        <v>0</v>
      </c>
      <c r="L77" s="18">
        <f t="shared" si="10"/>
        <v>0</v>
      </c>
      <c r="M77" s="18">
        <f t="shared" si="11"/>
        <v>2000</v>
      </c>
      <c r="N77" s="18">
        <f t="shared" si="12"/>
        <v>0</v>
      </c>
      <c r="O77" s="18">
        <f t="shared" si="13"/>
        <v>10000</v>
      </c>
      <c r="P77" s="17">
        <f t="shared" si="14"/>
        <v>14.588</v>
      </c>
      <c r="Q77" s="17">
        <f t="shared" si="15"/>
        <v>25880</v>
      </c>
      <c r="R77" s="19" t="str">
        <f ca="1">IF(A77="","",IF(COUNTIF(_TradeIds,A77)=0,"违规：交易编号不存在",IF(OR(B77="",B77&lt;1,B77&gt;5,B77&lt;&gt;INT(B77)),"违规：加仓序号须为1到5的整数",IF(COUNTIFS($A$2:$A$1001,A77,$B$2:$B$1001,B77)&gt;1,"违规：同一交易的加仓序号重复",IF(OR(D77="",E77="",F77=""),"计划不完整：请填写加仓价、新止损价和风险预算",IF(OR(D77&lt;=0,E77&lt;=0,F77&lt;=0,D77&lt;=E77),"违规：加仓价必须高于新止损价，金额须大于0",IF(AND(B77&gt;1,COUNTIFS($A$2:$A$1001,A77,$B$2:$B$1001,B77-1,$G$2:$G$1001,"&gt;0")=0),"违规：须先完成上一次加仓",IF(AND(B77&gt;1,E77&lt;SUMIFS($E$2:$E$1001,$A$2:$A$1001,A77,$B$2:$B$1001,B77-1)),"违规：新止损价不得低于上一次",IF(AND(B77&gt;1,F77&gt;SUMIFS($F$2:$F$1001,$A$2:$A$1001,A77,$B$2:$B$1001,B77-1)),"违规：风险预算须逐次不增加",IF(OR(_LockStatus="已锁仓",_LockStatus="解锁信息不完整"),"违规：锁仓期间禁止加仓",IF(G77="","计划可执行：建议股数见N列",IF(OR(G77&lt;=0,G77&lt;&gt;INT(G77),MOD(G77,100)&lt;&gt;0),"违规：实际股数须为100股整数倍",IF(G77&gt;N77,"违规：实际股数超过风险或金字塔上限",IF(AND(B77&gt;1,G77&gt;SUMIFS($G$2:$G$1001,$A$2:$A$1001,A77,$B$2:$B$1001,B77-1)),"违规：加仓股数须逐次不增加",IF(Q77&gt;F77,"违规：止损风险超过本次预算","通过")))))))))))))))</f>
        <v>违规：新止损价不得低于上一次</v>
      </c>
    </row>
    <row r="78" ht="17" spans="1:18">
      <c r="A78" s="13">
        <v>32</v>
      </c>
      <c r="B78" s="14">
        <v>4</v>
      </c>
      <c r="C78" s="15">
        <v>42192</v>
      </c>
      <c r="D78" s="16">
        <v>10.91</v>
      </c>
      <c r="E78" s="16">
        <v>10</v>
      </c>
      <c r="F78" s="16">
        <v>1</v>
      </c>
      <c r="G78" s="14">
        <v>3000</v>
      </c>
      <c r="H78" s="17">
        <f t="shared" si="8"/>
        <v>32730</v>
      </c>
      <c r="I78" s="18">
        <f>IF(OR(A78="",B78=""),"",IFERROR(LOOKUP(2,1/(单次交易!$A$2:$A$201=A78),单次交易!$H$2:$H$201),0)+SUMIFS($G$2:$G$1001,$A$2:$A$1001,A78,$B$2:$B$1001,"&lt;"&amp;B78))</f>
        <v>10000</v>
      </c>
      <c r="J78" s="17">
        <f>IF(OR(A78="",B78=""),"",IFERROR(LOOKUP(2,1/(单次交易!$A$2:$A$201=A78),单次交易!$E$2:$E$201)*LOOKUP(2,1/(单次交易!$A$2:$A$201=A78),单次交易!$H$2:$H$201),0)+SUMIFS($H$2:$H$1001,$A$2:$A$1001,A78,$B$2:$B$1001,"&lt;"&amp;B78))</f>
        <v>145880</v>
      </c>
      <c r="K78" s="17">
        <f t="shared" si="9"/>
        <v>0</v>
      </c>
      <c r="L78" s="18">
        <f t="shared" si="10"/>
        <v>0</v>
      </c>
      <c r="M78" s="18">
        <f t="shared" si="11"/>
        <v>4000</v>
      </c>
      <c r="N78" s="18">
        <f t="shared" si="12"/>
        <v>0</v>
      </c>
      <c r="O78" s="18">
        <f t="shared" si="13"/>
        <v>13000</v>
      </c>
      <c r="P78" s="17">
        <f t="shared" si="14"/>
        <v>13.7392307692308</v>
      </c>
      <c r="Q78" s="17">
        <f t="shared" si="15"/>
        <v>48610</v>
      </c>
      <c r="R78" s="19" t="str">
        <f ca="1">IF(A78="","",IF(COUNTIF(_TradeIds,A78)=0,"违规：交易编号不存在",IF(OR(B78="",B78&lt;1,B78&gt;5,B78&lt;&gt;INT(B78)),"违规：加仓序号须为1到5的整数",IF(COUNTIFS($A$2:$A$1001,A78,$B$2:$B$1001,B78)&gt;1,"违规：同一交易的加仓序号重复",IF(OR(D78="",E78="",F78=""),"计划不完整：请填写加仓价、新止损价和风险预算",IF(OR(D78&lt;=0,E78&lt;=0,F78&lt;=0,D78&lt;=E78),"违规：加仓价必须高于新止损价，金额须大于0",IF(AND(B78&gt;1,COUNTIFS($A$2:$A$1001,A78,$B$2:$B$1001,B78-1,$G$2:$G$1001,"&gt;0")=0),"违规：须先完成上一次加仓",IF(AND(B78&gt;1,E78&lt;SUMIFS($E$2:$E$1001,$A$2:$A$1001,A78,$B$2:$B$1001,B78-1)),"违规：新止损价不得低于上一次",IF(AND(B78&gt;1,F78&gt;SUMIFS($F$2:$F$1001,$A$2:$A$1001,A78,$B$2:$B$1001,B78-1)),"违规：风险预算须逐次不增加",IF(OR(_LockStatus="已锁仓",_LockStatus="解锁信息不完整"),"违规：锁仓期间禁止加仓",IF(G78="","计划可执行：建议股数见N列",IF(OR(G78&lt;=0,G78&lt;&gt;INT(G78),MOD(G78,100)&lt;&gt;0),"违规：实际股数须为100股整数倍",IF(G78&gt;N78,"违规：实际股数超过风险或金字塔上限",IF(AND(B78&gt;1,G78&gt;SUMIFS($G$2:$G$1001,$A$2:$A$1001,A78,$B$2:$B$1001,B78-1)),"违规：加仓股数须逐次不增加",IF(Q78&gt;F78,"违规：止损风险超过本次预算","通过")))))))))))))))</f>
        <v>违规：新止损价不得低于上一次</v>
      </c>
    </row>
    <row r="79" ht="17" spans="1:18">
      <c r="A79" s="13">
        <v>33</v>
      </c>
      <c r="B79" s="14">
        <v>1</v>
      </c>
      <c r="C79" s="15">
        <v>42244</v>
      </c>
      <c r="D79" s="16">
        <v>12.52</v>
      </c>
      <c r="E79" s="16">
        <v>12</v>
      </c>
      <c r="F79" s="16">
        <v>1</v>
      </c>
      <c r="G79" s="14">
        <v>1000</v>
      </c>
      <c r="H79" s="17">
        <f t="shared" si="8"/>
        <v>12520</v>
      </c>
      <c r="I79" s="18">
        <f>IF(OR(A79="",B79=""),"",IFERROR(LOOKUP(2,1/(单次交易!$A$2:$A$201=A79),单次交易!$H$2:$H$201),0)+SUMIFS($G$2:$G$1001,$A$2:$A$1001,A79,$B$2:$B$1001,"&lt;"&amp;B79))</f>
        <v>3000</v>
      </c>
      <c r="J79" s="17">
        <f>IF(OR(A79="",B79=""),"",IFERROR(LOOKUP(2,1/(单次交易!$A$2:$A$201=A79),单次交易!$E$2:$E$201)*LOOKUP(2,1/(单次交易!$A$2:$A$201=A79),单次交易!$H$2:$H$201),0)+SUMIFS($H$2:$H$1001,$A$2:$A$1001,A79,$B$2:$B$1001,"&lt;"&amp;B79))</f>
        <v>29190</v>
      </c>
      <c r="K79" s="17">
        <f t="shared" si="9"/>
        <v>6810</v>
      </c>
      <c r="L79" s="18">
        <f t="shared" si="10"/>
        <v>13000</v>
      </c>
      <c r="M79" s="18">
        <f t="shared" si="11"/>
        <v>13000</v>
      </c>
      <c r="N79" s="18">
        <f t="shared" si="12"/>
        <v>13000</v>
      </c>
      <c r="O79" s="18">
        <f t="shared" si="13"/>
        <v>4000</v>
      </c>
      <c r="P79" s="17">
        <f t="shared" si="14"/>
        <v>10.4275</v>
      </c>
      <c r="Q79" s="17">
        <f t="shared" si="15"/>
        <v>0</v>
      </c>
      <c r="R79" s="19" t="str">
        <f ca="1">IF(A79="","",IF(COUNTIF(_TradeIds,A79)=0,"违规：交易编号不存在",IF(OR(B79="",B79&lt;1,B79&gt;5,B79&lt;&gt;INT(B79)),"违规：加仓序号须为1到5的整数",IF(COUNTIFS($A$2:$A$1001,A79,$B$2:$B$1001,B79)&gt;1,"违规：同一交易的加仓序号重复",IF(OR(D79="",E79="",F79=""),"计划不完整：请填写加仓价、新止损价和风险预算",IF(OR(D79&lt;=0,E79&lt;=0,F79&lt;=0,D79&lt;=E79),"违规：加仓价必须高于新止损价，金额须大于0",IF(AND(B79&gt;1,COUNTIFS($A$2:$A$1001,A79,$B$2:$B$1001,B79-1,$G$2:$G$1001,"&gt;0")=0),"违规：须先完成上一次加仓",IF(AND(B79&gt;1,E79&lt;SUMIFS($E$2:$E$1001,$A$2:$A$1001,A79,$B$2:$B$1001,B79-1)),"违规：新止损价不得低于上一次",IF(AND(B79&gt;1,F79&gt;SUMIFS($F$2:$F$1001,$A$2:$A$1001,A79,$B$2:$B$1001,B79-1)),"违规：风险预算须逐次不增加",IF(OR(_LockStatus="已锁仓",_LockStatus="解锁信息不完整"),"违规：锁仓期间禁止加仓",IF(G79="","计划可执行：建议股数见N列",IF(OR(G79&lt;=0,G79&lt;&gt;INT(G79),MOD(G79,100)&lt;&gt;0),"违规：实际股数须为100股整数倍",IF(G79&gt;N79,"违规：实际股数超过风险或金字塔上限",IF(AND(B79&gt;1,G79&gt;SUMIFS($G$2:$G$1001,$A$2:$A$1001,A79,$B$2:$B$1001,B79-1)),"违规：加仓股数须逐次不增加",IF(Q79&gt;F79,"违规：止损风险超过本次预算","通过")))))))))))))))</f>
        <v>通过</v>
      </c>
    </row>
    <row r="80" ht="17" spans="1:18">
      <c r="A80" s="13">
        <v>33</v>
      </c>
      <c r="B80" s="14">
        <v>2</v>
      </c>
      <c r="C80" s="15">
        <v>42254</v>
      </c>
      <c r="D80" s="16">
        <v>11.3</v>
      </c>
      <c r="E80" s="16">
        <v>10</v>
      </c>
      <c r="F80" s="16">
        <v>1</v>
      </c>
      <c r="G80" s="14">
        <v>2000</v>
      </c>
      <c r="H80" s="17">
        <f t="shared" si="8"/>
        <v>22600</v>
      </c>
      <c r="I80" s="18">
        <f>IF(OR(A80="",B80=""),"",IFERROR(LOOKUP(2,1/(单次交易!$A$2:$A$201=A80),单次交易!$H$2:$H$201),0)+SUMIFS($G$2:$G$1001,$A$2:$A$1001,A80,$B$2:$B$1001,"&lt;"&amp;B80))</f>
        <v>4000</v>
      </c>
      <c r="J80" s="17">
        <f>IF(OR(A80="",B80=""),"",IFERROR(LOOKUP(2,1/(单次交易!$A$2:$A$201=A80),单次交易!$E$2:$E$201)*LOOKUP(2,1/(单次交易!$A$2:$A$201=A80),单次交易!$H$2:$H$201),0)+SUMIFS($H$2:$H$1001,$A$2:$A$1001,A80,$B$2:$B$1001,"&lt;"&amp;B80))</f>
        <v>41710</v>
      </c>
      <c r="K80" s="17">
        <f t="shared" si="9"/>
        <v>0</v>
      </c>
      <c r="L80" s="18">
        <f t="shared" si="10"/>
        <v>0</v>
      </c>
      <c r="M80" s="18">
        <f t="shared" si="11"/>
        <v>1000</v>
      </c>
      <c r="N80" s="18">
        <f t="shared" si="12"/>
        <v>0</v>
      </c>
      <c r="O80" s="18">
        <f t="shared" si="13"/>
        <v>6000</v>
      </c>
      <c r="P80" s="17">
        <f t="shared" si="14"/>
        <v>10.7183333333333</v>
      </c>
      <c r="Q80" s="17">
        <f t="shared" si="15"/>
        <v>4310</v>
      </c>
      <c r="R80" s="19" t="str">
        <f ca="1">IF(A80="","",IF(COUNTIF(_TradeIds,A80)=0,"违规：交易编号不存在",IF(OR(B80="",B80&lt;1,B80&gt;5,B80&lt;&gt;INT(B80)),"违规：加仓序号须为1到5的整数",IF(COUNTIFS($A$2:$A$1001,A80,$B$2:$B$1001,B80)&gt;1,"违规：同一交易的加仓序号重复",IF(OR(D80="",E80="",F80=""),"计划不完整：请填写加仓价、新止损价和风险预算",IF(OR(D80&lt;=0,E80&lt;=0,F80&lt;=0,D80&lt;=E80),"违规：加仓价必须高于新止损价，金额须大于0",IF(AND(B80&gt;1,COUNTIFS($A$2:$A$1001,A80,$B$2:$B$1001,B80-1,$G$2:$G$1001,"&gt;0")=0),"违规：须先完成上一次加仓",IF(AND(B80&gt;1,E80&lt;SUMIFS($E$2:$E$1001,$A$2:$A$1001,A80,$B$2:$B$1001,B80-1)),"违规：新止损价不得低于上一次",IF(AND(B80&gt;1,F80&gt;SUMIFS($F$2:$F$1001,$A$2:$A$1001,A80,$B$2:$B$1001,B80-1)),"违规：风险预算须逐次不增加",IF(OR(_LockStatus="已锁仓",_LockStatus="解锁信息不完整"),"违规：锁仓期间禁止加仓",IF(G80="","计划可执行：建议股数见N列",IF(OR(G80&lt;=0,G80&lt;&gt;INT(G80),MOD(G80,100)&lt;&gt;0),"违规：实际股数须为100股整数倍",IF(G80&gt;N80,"违规：实际股数超过风险或金字塔上限",IF(AND(B80&gt;1,G80&gt;SUMIFS($G$2:$G$1001,$A$2:$A$1001,A80,$B$2:$B$1001,B80-1)),"违规：加仓股数须逐次不增加",IF(Q80&gt;F80,"违规：止损风险超过本次预算","通过")))))))))))))))</f>
        <v>违规：新止损价不得低于上一次</v>
      </c>
    </row>
    <row r="81" ht="17" spans="1:18">
      <c r="A81" s="13">
        <v>33</v>
      </c>
      <c r="B81" s="14">
        <v>3</v>
      </c>
      <c r="C81" s="15">
        <v>42271</v>
      </c>
      <c r="D81" s="16">
        <v>10.55</v>
      </c>
      <c r="E81" s="16">
        <v>10</v>
      </c>
      <c r="F81" s="16">
        <v>1</v>
      </c>
      <c r="G81" s="14">
        <v>4000</v>
      </c>
      <c r="H81" s="17">
        <f t="shared" si="8"/>
        <v>42200</v>
      </c>
      <c r="I81" s="18">
        <f>IF(OR(A81="",B81=""),"",IFERROR(LOOKUP(2,1/(单次交易!$A$2:$A$201=A81),单次交易!$H$2:$H$201),0)+SUMIFS($G$2:$G$1001,$A$2:$A$1001,A81,$B$2:$B$1001,"&lt;"&amp;B81))</f>
        <v>6000</v>
      </c>
      <c r="J81" s="17">
        <f>IF(OR(A81="",B81=""),"",IFERROR(LOOKUP(2,1/(单次交易!$A$2:$A$201=A81),单次交易!$E$2:$E$201)*LOOKUP(2,1/(单次交易!$A$2:$A$201=A81),单次交易!$H$2:$H$201),0)+SUMIFS($H$2:$H$1001,$A$2:$A$1001,A81,$B$2:$B$1001,"&lt;"&amp;B81))</f>
        <v>64310</v>
      </c>
      <c r="K81" s="17">
        <f t="shared" si="9"/>
        <v>0</v>
      </c>
      <c r="L81" s="18">
        <f t="shared" si="10"/>
        <v>0</v>
      </c>
      <c r="M81" s="18">
        <f t="shared" si="11"/>
        <v>2000</v>
      </c>
      <c r="N81" s="18">
        <f t="shared" si="12"/>
        <v>0</v>
      </c>
      <c r="O81" s="18">
        <f t="shared" si="13"/>
        <v>10000</v>
      </c>
      <c r="P81" s="17">
        <f t="shared" si="14"/>
        <v>10.651</v>
      </c>
      <c r="Q81" s="17">
        <f t="shared" si="15"/>
        <v>6510</v>
      </c>
      <c r="R81" s="19" t="str">
        <f ca="1">IF(A81="","",IF(COUNTIF(_TradeIds,A81)=0,"违规：交易编号不存在",IF(OR(B81="",B81&lt;1,B81&gt;5,B81&lt;&gt;INT(B81)),"违规：加仓序号须为1到5的整数",IF(COUNTIFS($A$2:$A$1001,A81,$B$2:$B$1001,B81)&gt;1,"违规：同一交易的加仓序号重复",IF(OR(D81="",E81="",F81=""),"计划不完整：请填写加仓价、新止损价和风险预算",IF(OR(D81&lt;=0,E81&lt;=0,F81&lt;=0,D81&lt;=E81),"违规：加仓价必须高于新止损价，金额须大于0",IF(AND(B81&gt;1,COUNTIFS($A$2:$A$1001,A81,$B$2:$B$1001,B81-1,$G$2:$G$1001,"&gt;0")=0),"违规：须先完成上一次加仓",IF(AND(B81&gt;1,E81&lt;SUMIFS($E$2:$E$1001,$A$2:$A$1001,A81,$B$2:$B$1001,B81-1)),"违规：新止损价不得低于上一次",IF(AND(B81&gt;1,F81&gt;SUMIFS($F$2:$F$1001,$A$2:$A$1001,A81,$B$2:$B$1001,B81-1)),"违规：风险预算须逐次不增加",IF(OR(_LockStatus="已锁仓",_LockStatus="解锁信息不完整"),"违规：锁仓期间禁止加仓",IF(G81="","计划可执行：建议股数见N列",IF(OR(G81&lt;=0,G81&lt;&gt;INT(G81),MOD(G81,100)&lt;&gt;0),"违规：实际股数须为100股整数倍",IF(G81&gt;N81,"违规：实际股数超过风险或金字塔上限",IF(AND(B81&gt;1,G81&gt;SUMIFS($G$2:$G$1001,$A$2:$A$1001,A81,$B$2:$B$1001,B81-1)),"违规：加仓股数须逐次不增加",IF(Q81&gt;F81,"违规：止损风险超过本次预算","通过")))))))))))))))</f>
        <v>违规：实际股数超过风险或金字塔上限</v>
      </c>
    </row>
    <row r="82" ht="17" spans="1:18">
      <c r="A82" s="13">
        <v>33</v>
      </c>
      <c r="B82" s="14">
        <v>4</v>
      </c>
      <c r="C82" s="15">
        <v>42298</v>
      </c>
      <c r="D82" s="16">
        <v>11.14</v>
      </c>
      <c r="E82" s="16">
        <v>10</v>
      </c>
      <c r="F82" s="16">
        <v>1</v>
      </c>
      <c r="G82" s="14">
        <v>2000</v>
      </c>
      <c r="H82" s="17">
        <f t="shared" si="8"/>
        <v>22280</v>
      </c>
      <c r="I82" s="18">
        <f>IF(OR(A82="",B82=""),"",IFERROR(LOOKUP(2,1/(单次交易!$A$2:$A$201=A82),单次交易!$H$2:$H$201),0)+SUMIFS($G$2:$G$1001,$A$2:$A$1001,A82,$B$2:$B$1001,"&lt;"&amp;B82))</f>
        <v>10000</v>
      </c>
      <c r="J82" s="17">
        <f>IF(OR(A82="",B82=""),"",IFERROR(LOOKUP(2,1/(单次交易!$A$2:$A$201=A82),单次交易!$E$2:$E$201)*LOOKUP(2,1/(单次交易!$A$2:$A$201=A82),单次交易!$H$2:$H$201),0)+SUMIFS($H$2:$H$1001,$A$2:$A$1001,A82,$B$2:$B$1001,"&lt;"&amp;B82))</f>
        <v>106510</v>
      </c>
      <c r="K82" s="17">
        <f t="shared" si="9"/>
        <v>0</v>
      </c>
      <c r="L82" s="18">
        <f t="shared" si="10"/>
        <v>0</v>
      </c>
      <c r="M82" s="18">
        <f t="shared" si="11"/>
        <v>4000</v>
      </c>
      <c r="N82" s="18">
        <f t="shared" si="12"/>
        <v>0</v>
      </c>
      <c r="O82" s="18">
        <f t="shared" si="13"/>
        <v>12000</v>
      </c>
      <c r="P82" s="17">
        <f t="shared" si="14"/>
        <v>10.7325</v>
      </c>
      <c r="Q82" s="17">
        <f t="shared" si="15"/>
        <v>8790</v>
      </c>
      <c r="R82" s="19" t="str">
        <f ca="1">IF(A82="","",IF(COUNTIF(_TradeIds,A82)=0,"违规：交易编号不存在",IF(OR(B82="",B82&lt;1,B82&gt;5,B82&lt;&gt;INT(B82)),"违规：加仓序号须为1到5的整数",IF(COUNTIFS($A$2:$A$1001,A82,$B$2:$B$1001,B82)&gt;1,"违规：同一交易的加仓序号重复",IF(OR(D82="",E82="",F82=""),"计划不完整：请填写加仓价、新止损价和风险预算",IF(OR(D82&lt;=0,E82&lt;=0,F82&lt;=0,D82&lt;=E82),"违规：加仓价必须高于新止损价，金额须大于0",IF(AND(B82&gt;1,COUNTIFS($A$2:$A$1001,A82,$B$2:$B$1001,B82-1,$G$2:$G$1001,"&gt;0")=0),"违规：须先完成上一次加仓",IF(AND(B82&gt;1,E82&lt;SUMIFS($E$2:$E$1001,$A$2:$A$1001,A82,$B$2:$B$1001,B82-1)),"违规：新止损价不得低于上一次",IF(AND(B82&gt;1,F82&gt;SUMIFS($F$2:$F$1001,$A$2:$A$1001,A82,$B$2:$B$1001,B82-1)),"违规：风险预算须逐次不增加",IF(OR(_LockStatus="已锁仓",_LockStatus="解锁信息不完整"),"违规：锁仓期间禁止加仓",IF(G82="","计划可执行：建议股数见N列",IF(OR(G82&lt;=0,G82&lt;&gt;INT(G82),MOD(G82,100)&lt;&gt;0),"违规：实际股数须为100股整数倍",IF(G82&gt;N82,"违规：实际股数超过风险或金字塔上限",IF(AND(B82&gt;1,G82&gt;SUMIFS($G$2:$G$1001,$A$2:$A$1001,A82,$B$2:$B$1001,B82-1)),"违规：加仓股数须逐次不增加",IF(Q82&gt;F82,"违规：止损风险超过本次预算","通过")))))))))))))))</f>
        <v>违规：实际股数超过风险或金字塔上限</v>
      </c>
    </row>
    <row r="83" ht="17" spans="1:18">
      <c r="A83" s="13">
        <v>33</v>
      </c>
      <c r="B83" s="14">
        <v>5</v>
      </c>
      <c r="C83" s="15">
        <v>42226</v>
      </c>
      <c r="D83" s="16">
        <v>13.2</v>
      </c>
      <c r="E83" s="16">
        <v>12</v>
      </c>
      <c r="F83" s="16">
        <v>1</v>
      </c>
      <c r="G83" s="14">
        <v>8000</v>
      </c>
      <c r="H83" s="17">
        <f t="shared" si="8"/>
        <v>105600</v>
      </c>
      <c r="I83" s="18">
        <f>IF(OR(A83="",B83=""),"",IFERROR(LOOKUP(2,1/(单次交易!$A$2:$A$201=A83),单次交易!$H$2:$H$201),0)+SUMIFS($G$2:$G$1001,$A$2:$A$1001,A83,$B$2:$B$1001,"&lt;"&amp;B83))</f>
        <v>12000</v>
      </c>
      <c r="J83" s="17">
        <f>IF(OR(A83="",B83=""),"",IFERROR(LOOKUP(2,1/(单次交易!$A$2:$A$201=A83),单次交易!$E$2:$E$201)*LOOKUP(2,1/(单次交易!$A$2:$A$201=A83),单次交易!$H$2:$H$201),0)+SUMIFS($H$2:$H$1001,$A$2:$A$1001,A83,$B$2:$B$1001,"&lt;"&amp;B83))</f>
        <v>128790</v>
      </c>
      <c r="K83" s="17">
        <f t="shared" si="9"/>
        <v>15210</v>
      </c>
      <c r="L83" s="18">
        <f t="shared" si="10"/>
        <v>12600</v>
      </c>
      <c r="M83" s="18">
        <f t="shared" si="11"/>
        <v>2000</v>
      </c>
      <c r="N83" s="18">
        <f t="shared" si="12"/>
        <v>2000</v>
      </c>
      <c r="O83" s="18">
        <f t="shared" si="13"/>
        <v>20000</v>
      </c>
      <c r="P83" s="17">
        <f t="shared" si="14"/>
        <v>11.7195</v>
      </c>
      <c r="Q83" s="17">
        <f t="shared" si="15"/>
        <v>0</v>
      </c>
      <c r="R83" s="19" t="str">
        <f ca="1">IF(A83="","",IF(COUNTIF(_TradeIds,A83)=0,"违规：交易编号不存在",IF(OR(B83="",B83&lt;1,B83&gt;5,B83&lt;&gt;INT(B83)),"违规：加仓序号须为1到5的整数",IF(COUNTIFS($A$2:$A$1001,A83,$B$2:$B$1001,B83)&gt;1,"违规：同一交易的加仓序号重复",IF(OR(D83="",E83="",F83=""),"计划不完整：请填写加仓价、新止损价和风险预算",IF(OR(D83&lt;=0,E83&lt;=0,F83&lt;=0,D83&lt;=E83),"违规：加仓价必须高于新止损价，金额须大于0",IF(AND(B83&gt;1,COUNTIFS($A$2:$A$1001,A83,$B$2:$B$1001,B83-1,$G$2:$G$1001,"&gt;0")=0),"违规：须先完成上一次加仓",IF(AND(B83&gt;1,E83&lt;SUMIFS($E$2:$E$1001,$A$2:$A$1001,A83,$B$2:$B$1001,B83-1)),"违规：新止损价不得低于上一次",IF(AND(B83&gt;1,F83&gt;SUMIFS($F$2:$F$1001,$A$2:$A$1001,A83,$B$2:$B$1001,B83-1)),"违规：风险预算须逐次不增加",IF(OR(_LockStatus="已锁仓",_LockStatus="解锁信息不完整"),"违规：锁仓期间禁止加仓",IF(G83="","计划可执行：建议股数见N列",IF(OR(G83&lt;=0,G83&lt;&gt;INT(G83),MOD(G83,100)&lt;&gt;0),"违规：实际股数须为100股整数倍",IF(G83&gt;N83,"违规：实际股数超过风险或金字塔上限",IF(AND(B83&gt;1,G83&gt;SUMIFS($G$2:$G$1001,$A$2:$A$1001,A83,$B$2:$B$1001,B83-1)),"违规：加仓股数须逐次不增加",IF(Q83&gt;F83,"违规：止损风险超过本次预算","通过")))))))))))))))</f>
        <v>违规：实际股数超过风险或金字塔上限</v>
      </c>
    </row>
    <row r="84" ht="17" spans="1:18">
      <c r="A84" s="13">
        <v>34</v>
      </c>
      <c r="B84" s="14">
        <v>1</v>
      </c>
      <c r="C84" s="15">
        <v>42499</v>
      </c>
      <c r="D84" s="16">
        <v>10.46</v>
      </c>
      <c r="E84" s="16">
        <v>10</v>
      </c>
      <c r="F84" s="16">
        <v>1</v>
      </c>
      <c r="G84" s="14">
        <v>4000</v>
      </c>
      <c r="H84" s="17">
        <f t="shared" si="8"/>
        <v>41840</v>
      </c>
      <c r="I84" s="18">
        <f>IF(OR(A84="",B84=""),"",IFERROR(LOOKUP(2,1/(单次交易!$A$2:$A$201=A84),单次交易!$H$2:$H$201),0)+SUMIFS($G$2:$G$1001,$A$2:$A$1001,A84,$B$2:$B$1001,"&lt;"&amp;B84))</f>
        <v>4000</v>
      </c>
      <c r="J84" s="17">
        <f>IF(OR(A84="",B84=""),"",IFERROR(LOOKUP(2,1/(单次交易!$A$2:$A$201=A84),单次交易!$E$2:$E$201)*LOOKUP(2,1/(单次交易!$A$2:$A$201=A84),单次交易!$H$2:$H$201),0)+SUMIFS($H$2:$H$1001,$A$2:$A$1001,A84,$B$2:$B$1001,"&lt;"&amp;B84))</f>
        <v>43840</v>
      </c>
      <c r="K84" s="17">
        <f t="shared" si="9"/>
        <v>0</v>
      </c>
      <c r="L84" s="18">
        <f t="shared" si="10"/>
        <v>0</v>
      </c>
      <c r="M84" s="18">
        <f t="shared" si="11"/>
        <v>0</v>
      </c>
      <c r="N84" s="18">
        <f t="shared" si="12"/>
        <v>0</v>
      </c>
      <c r="O84" s="18">
        <f t="shared" si="13"/>
        <v>8000</v>
      </c>
      <c r="P84" s="17">
        <f t="shared" si="14"/>
        <v>10.71</v>
      </c>
      <c r="Q84" s="17">
        <f t="shared" si="15"/>
        <v>5680</v>
      </c>
      <c r="R84" s="19" t="str">
        <f ca="1">IF(A84="","",IF(COUNTIF(_TradeIds,A84)=0,"违规：交易编号不存在",IF(OR(B84="",B84&lt;1,B84&gt;5,B84&lt;&gt;INT(B84)),"违规：加仓序号须为1到5的整数",IF(COUNTIFS($A$2:$A$1001,A84,$B$2:$B$1001,B84)&gt;1,"违规：同一交易的加仓序号重复",IF(OR(D84="",E84="",F84=""),"计划不完整：请填写加仓价、新止损价和风险预算",IF(OR(D84&lt;=0,E84&lt;=0,F84&lt;=0,D84&lt;=E84),"违规：加仓价必须高于新止损价，金额须大于0",IF(AND(B84&gt;1,COUNTIFS($A$2:$A$1001,A84,$B$2:$B$1001,B84-1,$G$2:$G$1001,"&gt;0")=0),"违规：须先完成上一次加仓",IF(AND(B84&gt;1,E84&lt;SUMIFS($E$2:$E$1001,$A$2:$A$1001,A84,$B$2:$B$1001,B84-1)),"违规：新止损价不得低于上一次",IF(AND(B84&gt;1,F84&gt;SUMIFS($F$2:$F$1001,$A$2:$A$1001,A84,$B$2:$B$1001,B84-1)),"违规：风险预算须逐次不增加",IF(OR(_LockStatus="已锁仓",_LockStatus="解锁信息不完整"),"违规：锁仓期间禁止加仓",IF(G84="","计划可执行：建议股数见N列",IF(OR(G84&lt;=0,G84&lt;&gt;INT(G84),MOD(G84,100)&lt;&gt;0),"违规：实际股数须为100股整数倍",IF(G84&gt;N84,"违规：实际股数超过风险或金字塔上限",IF(AND(B84&gt;1,G84&gt;SUMIFS($G$2:$G$1001,$A$2:$A$1001,A84,$B$2:$B$1001,B84-1)),"违规：加仓股数须逐次不增加",IF(Q84&gt;F84,"违规：止损风险超过本次预算","通过")))))))))))))))</f>
        <v>违规：实际股数超过风险或金字塔上限</v>
      </c>
    </row>
    <row r="85" ht="17" spans="1:18">
      <c r="A85" s="13">
        <v>34</v>
      </c>
      <c r="B85" s="14">
        <v>2</v>
      </c>
      <c r="C85" s="15">
        <v>42514</v>
      </c>
      <c r="D85" s="16">
        <v>9.98</v>
      </c>
      <c r="E85" s="16">
        <v>9</v>
      </c>
      <c r="F85" s="16">
        <v>1</v>
      </c>
      <c r="G85" s="14">
        <v>6000</v>
      </c>
      <c r="H85" s="17">
        <f t="shared" si="8"/>
        <v>59880</v>
      </c>
      <c r="I85" s="18">
        <f>IF(OR(A85="",B85=""),"",IFERROR(LOOKUP(2,1/(单次交易!$A$2:$A$201=A85),单次交易!$H$2:$H$201),0)+SUMIFS($G$2:$G$1001,$A$2:$A$1001,A85,$B$2:$B$1001,"&lt;"&amp;B85))</f>
        <v>8000</v>
      </c>
      <c r="J85" s="17">
        <f>IF(OR(A85="",B85=""),"",IFERROR(LOOKUP(2,1/(单次交易!$A$2:$A$201=A85),单次交易!$E$2:$E$201)*LOOKUP(2,1/(单次交易!$A$2:$A$201=A85),单次交易!$H$2:$H$201),0)+SUMIFS($H$2:$H$1001,$A$2:$A$1001,A85,$B$2:$B$1001,"&lt;"&amp;B85))</f>
        <v>85680</v>
      </c>
      <c r="K85" s="17">
        <f t="shared" si="9"/>
        <v>0</v>
      </c>
      <c r="L85" s="18">
        <f t="shared" si="10"/>
        <v>0</v>
      </c>
      <c r="M85" s="18">
        <f t="shared" si="11"/>
        <v>4000</v>
      </c>
      <c r="N85" s="18">
        <f t="shared" si="12"/>
        <v>0</v>
      </c>
      <c r="O85" s="18">
        <f t="shared" si="13"/>
        <v>14000</v>
      </c>
      <c r="P85" s="17">
        <f t="shared" si="14"/>
        <v>10.3971428571429</v>
      </c>
      <c r="Q85" s="17">
        <f t="shared" si="15"/>
        <v>19560</v>
      </c>
      <c r="R85" s="19" t="str">
        <f ca="1">IF(A85="","",IF(COUNTIF(_TradeIds,A85)=0,"违规：交易编号不存在",IF(OR(B85="",B85&lt;1,B85&gt;5,B85&lt;&gt;INT(B85)),"违规：加仓序号须为1到5的整数",IF(COUNTIFS($A$2:$A$1001,A85,$B$2:$B$1001,B85)&gt;1,"违规：同一交易的加仓序号重复",IF(OR(D85="",E85="",F85=""),"计划不完整：请填写加仓价、新止损价和风险预算",IF(OR(D85&lt;=0,E85&lt;=0,F85&lt;=0,D85&lt;=E85),"违规：加仓价必须高于新止损价，金额须大于0",IF(AND(B85&gt;1,COUNTIFS($A$2:$A$1001,A85,$B$2:$B$1001,B85-1,$G$2:$G$1001,"&gt;0")=0),"违规：须先完成上一次加仓",IF(AND(B85&gt;1,E85&lt;SUMIFS($E$2:$E$1001,$A$2:$A$1001,A85,$B$2:$B$1001,B85-1)),"违规：新止损价不得低于上一次",IF(AND(B85&gt;1,F85&gt;SUMIFS($F$2:$F$1001,$A$2:$A$1001,A85,$B$2:$B$1001,B85-1)),"违规：风险预算须逐次不增加",IF(OR(_LockStatus="已锁仓",_LockStatus="解锁信息不完整"),"违规：锁仓期间禁止加仓",IF(G85="","计划可执行：建议股数见N列",IF(OR(G85&lt;=0,G85&lt;&gt;INT(G85),MOD(G85,100)&lt;&gt;0),"违规：实际股数须为100股整数倍",IF(G85&gt;N85,"违规：实际股数超过风险或金字塔上限",IF(AND(B85&gt;1,G85&gt;SUMIFS($G$2:$G$1001,$A$2:$A$1001,A85,$B$2:$B$1001,B85-1)),"违规：加仓股数须逐次不增加",IF(Q85&gt;F85,"违规：止损风险超过本次预算","通过")))))))))))))))</f>
        <v>违规：新止损价不得低于上一次</v>
      </c>
    </row>
    <row r="86" ht="17" spans="1:18">
      <c r="A86" s="13">
        <v>34</v>
      </c>
      <c r="B86" s="14">
        <v>3</v>
      </c>
      <c r="C86" s="15">
        <v>42552</v>
      </c>
      <c r="D86" s="16">
        <v>10.63</v>
      </c>
      <c r="E86" s="16">
        <v>10</v>
      </c>
      <c r="F86" s="16">
        <v>1</v>
      </c>
      <c r="G86" s="14">
        <v>4000</v>
      </c>
      <c r="H86" s="17">
        <f t="shared" si="8"/>
        <v>42520</v>
      </c>
      <c r="I86" s="18">
        <f>IF(OR(A86="",B86=""),"",IFERROR(LOOKUP(2,1/(单次交易!$A$2:$A$201=A86),单次交易!$H$2:$H$201),0)+SUMIFS($G$2:$G$1001,$A$2:$A$1001,A86,$B$2:$B$1001,"&lt;"&amp;B86))</f>
        <v>14000</v>
      </c>
      <c r="J86" s="17">
        <f>IF(OR(A86="",B86=""),"",IFERROR(LOOKUP(2,1/(单次交易!$A$2:$A$201=A86),单次交易!$E$2:$E$201)*LOOKUP(2,1/(单次交易!$A$2:$A$201=A86),单次交易!$H$2:$H$201),0)+SUMIFS($H$2:$H$1001,$A$2:$A$1001,A86,$B$2:$B$1001,"&lt;"&amp;B86))</f>
        <v>145560</v>
      </c>
      <c r="K86" s="17">
        <f t="shared" si="9"/>
        <v>0</v>
      </c>
      <c r="L86" s="18">
        <f t="shared" si="10"/>
        <v>0</v>
      </c>
      <c r="M86" s="18">
        <f t="shared" si="11"/>
        <v>6000</v>
      </c>
      <c r="N86" s="18">
        <f t="shared" si="12"/>
        <v>0</v>
      </c>
      <c r="O86" s="18">
        <f t="shared" si="13"/>
        <v>18000</v>
      </c>
      <c r="P86" s="17">
        <f t="shared" si="14"/>
        <v>10.4488888888889</v>
      </c>
      <c r="Q86" s="17">
        <f t="shared" si="15"/>
        <v>8080</v>
      </c>
      <c r="R86" s="19" t="str">
        <f ca="1">IF(A86="","",IF(COUNTIF(_TradeIds,A86)=0,"违规：交易编号不存在",IF(OR(B86="",B86&lt;1,B86&gt;5,B86&lt;&gt;INT(B86)),"违规：加仓序号须为1到5的整数",IF(COUNTIFS($A$2:$A$1001,A86,$B$2:$B$1001,B86)&gt;1,"违规：同一交易的加仓序号重复",IF(OR(D86="",E86="",F86=""),"计划不完整：请填写加仓价、新止损价和风险预算",IF(OR(D86&lt;=0,E86&lt;=0,F86&lt;=0,D86&lt;=E86),"违规：加仓价必须高于新止损价，金额须大于0",IF(AND(B86&gt;1,COUNTIFS($A$2:$A$1001,A86,$B$2:$B$1001,B86-1,$G$2:$G$1001,"&gt;0")=0),"违规：须先完成上一次加仓",IF(AND(B86&gt;1,E86&lt;SUMIFS($E$2:$E$1001,$A$2:$A$1001,A86,$B$2:$B$1001,B86-1)),"违规：新止损价不得低于上一次",IF(AND(B86&gt;1,F86&gt;SUMIFS($F$2:$F$1001,$A$2:$A$1001,A86,$B$2:$B$1001,B86-1)),"违规：风险预算须逐次不增加",IF(OR(_LockStatus="已锁仓",_LockStatus="解锁信息不完整"),"违规：锁仓期间禁止加仓",IF(G86="","计划可执行：建议股数见N列",IF(OR(G86&lt;=0,G86&lt;&gt;INT(G86),MOD(G86,100)&lt;&gt;0),"违规：实际股数须为100股整数倍",IF(G86&gt;N86,"违规：实际股数超过风险或金字塔上限",IF(AND(B86&gt;1,G86&gt;SUMIFS($G$2:$G$1001,$A$2:$A$1001,A86,$B$2:$B$1001,B86-1)),"违规：加仓股数须逐次不增加",IF(Q86&gt;F86,"违规：止损风险超过本次预算","通过")))))))))))))))</f>
        <v>违规：实际股数超过风险或金字塔上限</v>
      </c>
    </row>
    <row r="87" ht="17" spans="1:18">
      <c r="A87" s="13">
        <v>34</v>
      </c>
      <c r="B87" s="14">
        <v>4</v>
      </c>
      <c r="C87" s="15">
        <v>42578</v>
      </c>
      <c r="D87" s="16">
        <v>10.33</v>
      </c>
      <c r="E87" s="16">
        <v>10</v>
      </c>
      <c r="F87" s="16">
        <v>1</v>
      </c>
      <c r="G87" s="14">
        <v>4000</v>
      </c>
      <c r="H87" s="17">
        <f t="shared" si="8"/>
        <v>41320</v>
      </c>
      <c r="I87" s="18">
        <f>IF(OR(A87="",B87=""),"",IFERROR(LOOKUP(2,1/(单次交易!$A$2:$A$201=A87),单次交易!$H$2:$H$201),0)+SUMIFS($G$2:$G$1001,$A$2:$A$1001,A87,$B$2:$B$1001,"&lt;"&amp;B87))</f>
        <v>18000</v>
      </c>
      <c r="J87" s="17">
        <f>IF(OR(A87="",B87=""),"",IFERROR(LOOKUP(2,1/(单次交易!$A$2:$A$201=A87),单次交易!$E$2:$E$201)*LOOKUP(2,1/(单次交易!$A$2:$A$201=A87),单次交易!$H$2:$H$201),0)+SUMIFS($H$2:$H$1001,$A$2:$A$1001,A87,$B$2:$B$1001,"&lt;"&amp;B87))</f>
        <v>188080</v>
      </c>
      <c r="K87" s="17">
        <f t="shared" si="9"/>
        <v>0</v>
      </c>
      <c r="L87" s="18">
        <f t="shared" si="10"/>
        <v>0</v>
      </c>
      <c r="M87" s="18">
        <f t="shared" si="11"/>
        <v>4000</v>
      </c>
      <c r="N87" s="18">
        <f t="shared" si="12"/>
        <v>0</v>
      </c>
      <c r="O87" s="18">
        <f t="shared" si="13"/>
        <v>22000</v>
      </c>
      <c r="P87" s="17">
        <f t="shared" si="14"/>
        <v>10.4272727272727</v>
      </c>
      <c r="Q87" s="17">
        <f t="shared" si="15"/>
        <v>9400</v>
      </c>
      <c r="R87" s="19" t="str">
        <f ca="1">IF(A87="","",IF(COUNTIF(_TradeIds,A87)=0,"违规：交易编号不存在",IF(OR(B87="",B87&lt;1,B87&gt;5,B87&lt;&gt;INT(B87)),"违规：加仓序号须为1到5的整数",IF(COUNTIFS($A$2:$A$1001,A87,$B$2:$B$1001,B87)&gt;1,"违规：同一交易的加仓序号重复",IF(OR(D87="",E87="",F87=""),"计划不完整：请填写加仓价、新止损价和风险预算",IF(OR(D87&lt;=0,E87&lt;=0,F87&lt;=0,D87&lt;=E87),"违规：加仓价必须高于新止损价，金额须大于0",IF(AND(B87&gt;1,COUNTIFS($A$2:$A$1001,A87,$B$2:$B$1001,B87-1,$G$2:$G$1001,"&gt;0")=0),"违规：须先完成上一次加仓",IF(AND(B87&gt;1,E87&lt;SUMIFS($E$2:$E$1001,$A$2:$A$1001,A87,$B$2:$B$1001,B87-1)),"违规：新止损价不得低于上一次",IF(AND(B87&gt;1,F87&gt;SUMIFS($F$2:$F$1001,$A$2:$A$1001,A87,$B$2:$B$1001,B87-1)),"违规：风险预算须逐次不增加",IF(OR(_LockStatus="已锁仓",_LockStatus="解锁信息不完整"),"违规：锁仓期间禁止加仓",IF(G87="","计划可执行：建议股数见N列",IF(OR(G87&lt;=0,G87&lt;&gt;INT(G87),MOD(G87,100)&lt;&gt;0),"违规：实际股数须为100股整数倍",IF(G87&gt;N87,"违规：实际股数超过风险或金字塔上限",IF(AND(B87&gt;1,G87&gt;SUMIFS($G$2:$G$1001,$A$2:$A$1001,A87,$B$2:$B$1001,B87-1)),"违规：加仓股数须逐次不增加",IF(Q87&gt;F87,"违规：止损风险超过本次预算","通过")))))))))))))))</f>
        <v>违规：实际股数超过风险或金字塔上限</v>
      </c>
    </row>
    <row r="88" ht="17" spans="1:18">
      <c r="A88" s="13">
        <v>35</v>
      </c>
      <c r="B88" s="14">
        <v>1</v>
      </c>
      <c r="C88" s="15">
        <v>42797</v>
      </c>
      <c r="D88" s="16">
        <v>12.18</v>
      </c>
      <c r="E88" s="16">
        <v>11.5</v>
      </c>
      <c r="F88" s="16">
        <v>1</v>
      </c>
      <c r="G88" s="14">
        <v>3000</v>
      </c>
      <c r="H88" s="17">
        <f t="shared" si="8"/>
        <v>36540</v>
      </c>
      <c r="I88" s="18">
        <f>IF(OR(A88="",B88=""),"",IFERROR(LOOKUP(2,1/(单次交易!$A$2:$A$201=A88),单次交易!$H$2:$H$201),0)+SUMIFS($G$2:$G$1001,$A$2:$A$1001,A88,$B$2:$B$1001,"&lt;"&amp;B88))</f>
        <v>5000</v>
      </c>
      <c r="J88" s="17">
        <f>IF(OR(A88="",B88=""),"",IFERROR(LOOKUP(2,1/(单次交易!$A$2:$A$201=A88),单次交易!$E$2:$E$201)*LOOKUP(2,1/(单次交易!$A$2:$A$201=A88),单次交易!$H$2:$H$201),0)+SUMIFS($H$2:$H$1001,$A$2:$A$1001,A88,$B$2:$B$1001,"&lt;"&amp;B88))</f>
        <v>63250</v>
      </c>
      <c r="K88" s="17">
        <f t="shared" si="9"/>
        <v>0</v>
      </c>
      <c r="L88" s="18">
        <f t="shared" si="10"/>
        <v>0</v>
      </c>
      <c r="M88" s="18">
        <f t="shared" si="11"/>
        <v>0</v>
      </c>
      <c r="N88" s="18">
        <f t="shared" si="12"/>
        <v>0</v>
      </c>
      <c r="O88" s="18">
        <f t="shared" si="13"/>
        <v>8000</v>
      </c>
      <c r="P88" s="17">
        <f t="shared" si="14"/>
        <v>12.47375</v>
      </c>
      <c r="Q88" s="17">
        <f t="shared" si="15"/>
        <v>7790</v>
      </c>
      <c r="R88" s="19" t="str">
        <f ca="1">IF(A88="","",IF(COUNTIF(_TradeIds,A88)=0,"违规：交易编号不存在",IF(OR(B88="",B88&lt;1,B88&gt;5,B88&lt;&gt;INT(B88)),"违规：加仓序号须为1到5的整数",IF(COUNTIFS($A$2:$A$1001,A88,$B$2:$B$1001,B88)&gt;1,"违规：同一交易的加仓序号重复",IF(OR(D88="",E88="",F88=""),"计划不完整：请填写加仓价、新止损价和风险预算",IF(OR(D88&lt;=0,E88&lt;=0,F88&lt;=0,D88&lt;=E88),"违规：加仓价必须高于新止损价，金额须大于0",IF(AND(B88&gt;1,COUNTIFS($A$2:$A$1001,A88,$B$2:$B$1001,B88-1,$G$2:$G$1001,"&gt;0")=0),"违规：须先完成上一次加仓",IF(AND(B88&gt;1,E88&lt;SUMIFS($E$2:$E$1001,$A$2:$A$1001,A88,$B$2:$B$1001,B88-1)),"违规：新止损价不得低于上一次",IF(AND(B88&gt;1,F88&gt;SUMIFS($F$2:$F$1001,$A$2:$A$1001,A88,$B$2:$B$1001,B88-1)),"违规：风险预算须逐次不增加",IF(OR(_LockStatus="已锁仓",_LockStatus="解锁信息不完整"),"违规：锁仓期间禁止加仓",IF(G88="","计划可执行：建议股数见N列",IF(OR(G88&lt;=0,G88&lt;&gt;INT(G88),MOD(G88,100)&lt;&gt;0),"违规：实际股数须为100股整数倍",IF(G88&gt;N88,"违规：实际股数超过风险或金字塔上限",IF(AND(B88&gt;1,G88&gt;SUMIFS($G$2:$G$1001,$A$2:$A$1001,A88,$B$2:$B$1001,B88-1)),"违规：加仓股数须逐次不增加",IF(Q88&gt;F88,"违规：止损风险超过本次预算","通过")))))))))))))))</f>
        <v>违规：实际股数超过风险或金字塔上限</v>
      </c>
    </row>
    <row r="89" ht="17" spans="1:18">
      <c r="A89" s="13">
        <v>35</v>
      </c>
      <c r="B89" s="14">
        <v>2</v>
      </c>
      <c r="C89" s="15">
        <v>42807</v>
      </c>
      <c r="D89" s="16">
        <v>12.13</v>
      </c>
      <c r="E89" s="16">
        <v>11.5</v>
      </c>
      <c r="F89" s="16">
        <v>1</v>
      </c>
      <c r="G89" s="14">
        <v>2000</v>
      </c>
      <c r="H89" s="17">
        <f t="shared" si="8"/>
        <v>24260</v>
      </c>
      <c r="I89" s="18">
        <f>IF(OR(A89="",B89=""),"",IFERROR(LOOKUP(2,1/(单次交易!$A$2:$A$201=A89),单次交易!$H$2:$H$201),0)+SUMIFS($G$2:$G$1001,$A$2:$A$1001,A89,$B$2:$B$1001,"&lt;"&amp;B89))</f>
        <v>8000</v>
      </c>
      <c r="J89" s="17">
        <f>IF(OR(A89="",B89=""),"",IFERROR(LOOKUP(2,1/(单次交易!$A$2:$A$201=A89),单次交易!$E$2:$E$201)*LOOKUP(2,1/(单次交易!$A$2:$A$201=A89),单次交易!$H$2:$H$201),0)+SUMIFS($H$2:$H$1001,$A$2:$A$1001,A89,$B$2:$B$1001,"&lt;"&amp;B89))</f>
        <v>99790</v>
      </c>
      <c r="K89" s="17">
        <f t="shared" si="9"/>
        <v>0</v>
      </c>
      <c r="L89" s="18">
        <f t="shared" si="10"/>
        <v>0</v>
      </c>
      <c r="M89" s="18">
        <f t="shared" si="11"/>
        <v>3000</v>
      </c>
      <c r="N89" s="18">
        <f t="shared" si="12"/>
        <v>0</v>
      </c>
      <c r="O89" s="18">
        <f t="shared" si="13"/>
        <v>10000</v>
      </c>
      <c r="P89" s="17">
        <f t="shared" si="14"/>
        <v>12.405</v>
      </c>
      <c r="Q89" s="17">
        <f t="shared" si="15"/>
        <v>9050</v>
      </c>
      <c r="R89" s="19" t="str">
        <f ca="1">IF(A89="","",IF(COUNTIF(_TradeIds,A89)=0,"违规：交易编号不存在",IF(OR(B89="",B89&lt;1,B89&gt;5,B89&lt;&gt;INT(B89)),"违规：加仓序号须为1到5的整数",IF(COUNTIFS($A$2:$A$1001,A89,$B$2:$B$1001,B89)&gt;1,"违规：同一交易的加仓序号重复",IF(OR(D89="",E89="",F89=""),"计划不完整：请填写加仓价、新止损价和风险预算",IF(OR(D89&lt;=0,E89&lt;=0,F89&lt;=0,D89&lt;=E89),"违规：加仓价必须高于新止损价，金额须大于0",IF(AND(B89&gt;1,COUNTIFS($A$2:$A$1001,A89,$B$2:$B$1001,B89-1,$G$2:$G$1001,"&gt;0")=0),"违规：须先完成上一次加仓",IF(AND(B89&gt;1,E89&lt;SUMIFS($E$2:$E$1001,$A$2:$A$1001,A89,$B$2:$B$1001,B89-1)),"违规：新止损价不得低于上一次",IF(AND(B89&gt;1,F89&gt;SUMIFS($F$2:$F$1001,$A$2:$A$1001,A89,$B$2:$B$1001,B89-1)),"违规：风险预算须逐次不增加",IF(OR(_LockStatus="已锁仓",_LockStatus="解锁信息不完整"),"违规：锁仓期间禁止加仓",IF(G89="","计划可执行：建议股数见N列",IF(OR(G89&lt;=0,G89&lt;&gt;INT(G89),MOD(G89,100)&lt;&gt;0),"违规：实际股数须为100股整数倍",IF(G89&gt;N89,"违规：实际股数超过风险或金字塔上限",IF(AND(B89&gt;1,G89&gt;SUMIFS($G$2:$G$1001,$A$2:$A$1001,A89,$B$2:$B$1001,B89-1)),"违规：加仓股数须逐次不增加",IF(Q89&gt;F89,"违规：止损风险超过本次预算","通过")))))))))))))))</f>
        <v>违规：实际股数超过风险或金字塔上限</v>
      </c>
    </row>
    <row r="90" ht="17" spans="1:18">
      <c r="A90" s="13">
        <v>35</v>
      </c>
      <c r="B90" s="14">
        <v>3</v>
      </c>
      <c r="C90" s="15">
        <v>42844</v>
      </c>
      <c r="D90" s="16">
        <v>11.79</v>
      </c>
      <c r="E90" s="16">
        <v>11.5</v>
      </c>
      <c r="F90" s="16">
        <v>1</v>
      </c>
      <c r="G90" s="14">
        <v>5000</v>
      </c>
      <c r="H90" s="17">
        <f t="shared" si="8"/>
        <v>58950</v>
      </c>
      <c r="I90" s="18">
        <f>IF(OR(A90="",B90=""),"",IFERROR(LOOKUP(2,1/(单次交易!$A$2:$A$201=A90),单次交易!$H$2:$H$201),0)+SUMIFS($G$2:$G$1001,$A$2:$A$1001,A90,$B$2:$B$1001,"&lt;"&amp;B90))</f>
        <v>10000</v>
      </c>
      <c r="J90" s="17">
        <f>IF(OR(A90="",B90=""),"",IFERROR(LOOKUP(2,1/(单次交易!$A$2:$A$201=A90),单次交易!$E$2:$E$201)*LOOKUP(2,1/(单次交易!$A$2:$A$201=A90),单次交易!$H$2:$H$201),0)+SUMIFS($H$2:$H$1001,$A$2:$A$1001,A90,$B$2:$B$1001,"&lt;"&amp;B90))</f>
        <v>124050</v>
      </c>
      <c r="K90" s="17">
        <f t="shared" si="9"/>
        <v>0</v>
      </c>
      <c r="L90" s="18">
        <f t="shared" si="10"/>
        <v>0</v>
      </c>
      <c r="M90" s="18">
        <f t="shared" si="11"/>
        <v>2000</v>
      </c>
      <c r="N90" s="18">
        <f t="shared" si="12"/>
        <v>0</v>
      </c>
      <c r="O90" s="18">
        <f t="shared" si="13"/>
        <v>15000</v>
      </c>
      <c r="P90" s="17">
        <f t="shared" si="14"/>
        <v>12.2</v>
      </c>
      <c r="Q90" s="17">
        <f t="shared" si="15"/>
        <v>10500</v>
      </c>
      <c r="R90" s="19" t="str">
        <f ca="1">IF(A90="","",IF(COUNTIF(_TradeIds,A90)=0,"违规：交易编号不存在",IF(OR(B90="",B90&lt;1,B90&gt;5,B90&lt;&gt;INT(B90)),"违规：加仓序号须为1到5的整数",IF(COUNTIFS($A$2:$A$1001,A90,$B$2:$B$1001,B90)&gt;1,"违规：同一交易的加仓序号重复",IF(OR(D90="",E90="",F90=""),"计划不完整：请填写加仓价、新止损价和风险预算",IF(OR(D90&lt;=0,E90&lt;=0,F90&lt;=0,D90&lt;=E90),"违规：加仓价必须高于新止损价，金额须大于0",IF(AND(B90&gt;1,COUNTIFS($A$2:$A$1001,A90,$B$2:$B$1001,B90-1,$G$2:$G$1001,"&gt;0")=0),"违规：须先完成上一次加仓",IF(AND(B90&gt;1,E90&lt;SUMIFS($E$2:$E$1001,$A$2:$A$1001,A90,$B$2:$B$1001,B90-1)),"违规：新止损价不得低于上一次",IF(AND(B90&gt;1,F90&gt;SUMIFS($F$2:$F$1001,$A$2:$A$1001,A90,$B$2:$B$1001,B90-1)),"违规：风险预算须逐次不增加",IF(OR(_LockStatus="已锁仓",_LockStatus="解锁信息不完整"),"违规：锁仓期间禁止加仓",IF(G90="","计划可执行：建议股数见N列",IF(OR(G90&lt;=0,G90&lt;&gt;INT(G90),MOD(G90,100)&lt;&gt;0),"违规：实际股数须为100股整数倍",IF(G90&gt;N90,"违规：实际股数超过风险或金字塔上限",IF(AND(B90&gt;1,G90&gt;SUMIFS($G$2:$G$1001,$A$2:$A$1001,A90,$B$2:$B$1001,B90-1)),"违规：加仓股数须逐次不增加",IF(Q90&gt;F90,"违规：止损风险超过本次预算","通过")))))))))))))))</f>
        <v>违规：实际股数超过风险或金字塔上限</v>
      </c>
    </row>
    <row r="91" ht="17" spans="1:18">
      <c r="A91" s="13">
        <v>36</v>
      </c>
      <c r="B91" s="14">
        <v>1</v>
      </c>
      <c r="C91" s="15">
        <v>42933</v>
      </c>
      <c r="D91" s="16">
        <v>11.31</v>
      </c>
      <c r="E91" s="16">
        <v>10.5</v>
      </c>
      <c r="F91" s="16">
        <v>1</v>
      </c>
      <c r="G91" s="14">
        <v>5000</v>
      </c>
      <c r="H91" s="17">
        <f t="shared" si="8"/>
        <v>56550</v>
      </c>
      <c r="I91" s="18">
        <f>IF(OR(A91="",B91=""),"",IFERROR(LOOKUP(2,1/(单次交易!$A$2:$A$201=A91),单次交易!$H$2:$H$201),0)+SUMIFS($G$2:$G$1001,$A$2:$A$1001,A91,$B$2:$B$1001,"&lt;"&amp;B91))</f>
        <v>5000</v>
      </c>
      <c r="J91" s="17">
        <f>IF(OR(A91="",B91=""),"",IFERROR(LOOKUP(2,1/(单次交易!$A$2:$A$201=A91),单次交易!$E$2:$E$201)*LOOKUP(2,1/(单次交易!$A$2:$A$201=A91),单次交易!$H$2:$H$201),0)+SUMIFS($H$2:$H$1001,$A$2:$A$1001,A91,$B$2:$B$1001,"&lt;"&amp;B91))</f>
        <v>60800</v>
      </c>
      <c r="K91" s="17">
        <f t="shared" si="9"/>
        <v>0</v>
      </c>
      <c r="L91" s="18">
        <f t="shared" si="10"/>
        <v>0</v>
      </c>
      <c r="M91" s="18">
        <f t="shared" si="11"/>
        <v>0</v>
      </c>
      <c r="N91" s="18">
        <f t="shared" si="12"/>
        <v>0</v>
      </c>
      <c r="O91" s="18">
        <f t="shared" si="13"/>
        <v>10000</v>
      </c>
      <c r="P91" s="17">
        <f t="shared" si="14"/>
        <v>11.735</v>
      </c>
      <c r="Q91" s="17">
        <f t="shared" si="15"/>
        <v>12350</v>
      </c>
      <c r="R91" s="19" t="str">
        <f ca="1">IF(A91="","",IF(COUNTIF(_TradeIds,A91)=0,"违规：交易编号不存在",IF(OR(B91="",B91&lt;1,B91&gt;5,B91&lt;&gt;INT(B91)),"违规：加仓序号须为1到5的整数",IF(COUNTIFS($A$2:$A$1001,A91,$B$2:$B$1001,B91)&gt;1,"违规：同一交易的加仓序号重复",IF(OR(D91="",E91="",F91=""),"计划不完整：请填写加仓价、新止损价和风险预算",IF(OR(D91&lt;=0,E91&lt;=0,F91&lt;=0,D91&lt;=E91),"违规：加仓价必须高于新止损价，金额须大于0",IF(AND(B91&gt;1,COUNTIFS($A$2:$A$1001,A91,$B$2:$B$1001,B91-1,$G$2:$G$1001,"&gt;0")=0),"违规：须先完成上一次加仓",IF(AND(B91&gt;1,E91&lt;SUMIFS($E$2:$E$1001,$A$2:$A$1001,A91,$B$2:$B$1001,B91-1)),"违规：新止损价不得低于上一次",IF(AND(B91&gt;1,F91&gt;SUMIFS($F$2:$F$1001,$A$2:$A$1001,A91,$B$2:$B$1001,B91-1)),"违规：风险预算须逐次不增加",IF(OR(_LockStatus="已锁仓",_LockStatus="解锁信息不完整"),"违规：锁仓期间禁止加仓",IF(G91="","计划可执行：建议股数见N列",IF(OR(G91&lt;=0,G91&lt;&gt;INT(G91),MOD(G91,100)&lt;&gt;0),"违规：实际股数须为100股整数倍",IF(G91&gt;N91,"违规：实际股数超过风险或金字塔上限",IF(AND(B91&gt;1,G91&gt;SUMIFS($G$2:$G$1001,$A$2:$A$1001,A91,$B$2:$B$1001,B91-1)),"违规：加仓股数须逐次不增加",IF(Q91&gt;F91,"违规：止损风险超过本次预算","通过")))))))))))))))</f>
        <v>违规：实际股数超过风险或金字塔上限</v>
      </c>
    </row>
    <row r="92" ht="17" spans="1:18">
      <c r="A92" s="13">
        <v>36</v>
      </c>
      <c r="B92" s="14">
        <v>2</v>
      </c>
      <c r="C92" s="15">
        <v>42935</v>
      </c>
      <c r="D92" s="16">
        <v>11.57</v>
      </c>
      <c r="E92" s="16">
        <v>10.5</v>
      </c>
      <c r="F92" s="16">
        <v>1</v>
      </c>
      <c r="G92" s="14">
        <v>3000</v>
      </c>
      <c r="H92" s="17">
        <f t="shared" si="8"/>
        <v>34710</v>
      </c>
      <c r="I92" s="18">
        <f>IF(OR(A92="",B92=""),"",IFERROR(LOOKUP(2,1/(单次交易!$A$2:$A$201=A92),单次交易!$H$2:$H$201),0)+SUMIFS($G$2:$G$1001,$A$2:$A$1001,A92,$B$2:$B$1001,"&lt;"&amp;B92))</f>
        <v>10000</v>
      </c>
      <c r="J92" s="17">
        <f>IF(OR(A92="",B92=""),"",IFERROR(LOOKUP(2,1/(单次交易!$A$2:$A$201=A92),单次交易!$E$2:$E$201)*LOOKUP(2,1/(单次交易!$A$2:$A$201=A92),单次交易!$H$2:$H$201),0)+SUMIFS($H$2:$H$1001,$A$2:$A$1001,A92,$B$2:$B$1001,"&lt;"&amp;B92))</f>
        <v>117350</v>
      </c>
      <c r="K92" s="17">
        <f t="shared" si="9"/>
        <v>0</v>
      </c>
      <c r="L92" s="18">
        <f t="shared" si="10"/>
        <v>0</v>
      </c>
      <c r="M92" s="18">
        <f t="shared" si="11"/>
        <v>5000</v>
      </c>
      <c r="N92" s="18">
        <f t="shared" si="12"/>
        <v>0</v>
      </c>
      <c r="O92" s="18">
        <f t="shared" si="13"/>
        <v>13000</v>
      </c>
      <c r="P92" s="17">
        <f t="shared" si="14"/>
        <v>11.6969230769231</v>
      </c>
      <c r="Q92" s="17">
        <f t="shared" si="15"/>
        <v>15560</v>
      </c>
      <c r="R92" s="19" t="str">
        <f ca="1">IF(A92="","",IF(COUNTIF(_TradeIds,A92)=0,"违规：交易编号不存在",IF(OR(B92="",B92&lt;1,B92&gt;5,B92&lt;&gt;INT(B92)),"违规：加仓序号须为1到5的整数",IF(COUNTIFS($A$2:$A$1001,A92,$B$2:$B$1001,B92)&gt;1,"违规：同一交易的加仓序号重复",IF(OR(D92="",E92="",F92=""),"计划不完整：请填写加仓价、新止损价和风险预算",IF(OR(D92&lt;=0,E92&lt;=0,F92&lt;=0,D92&lt;=E92),"违规：加仓价必须高于新止损价，金额须大于0",IF(AND(B92&gt;1,COUNTIFS($A$2:$A$1001,A92,$B$2:$B$1001,B92-1,$G$2:$G$1001,"&gt;0")=0),"违规：须先完成上一次加仓",IF(AND(B92&gt;1,E92&lt;SUMIFS($E$2:$E$1001,$A$2:$A$1001,A92,$B$2:$B$1001,B92-1)),"违规：新止损价不得低于上一次",IF(AND(B92&gt;1,F92&gt;SUMIFS($F$2:$F$1001,$A$2:$A$1001,A92,$B$2:$B$1001,B92-1)),"违规：风险预算须逐次不增加",IF(OR(_LockStatus="已锁仓",_LockStatus="解锁信息不完整"),"违规：锁仓期间禁止加仓",IF(G92="","计划可执行：建议股数见N列",IF(OR(G92&lt;=0,G92&lt;&gt;INT(G92),MOD(G92,100)&lt;&gt;0),"违规：实际股数须为100股整数倍",IF(G92&gt;N92,"违规：实际股数超过风险或金字塔上限",IF(AND(B92&gt;1,G92&gt;SUMIFS($G$2:$G$1001,$A$2:$A$1001,A92,$B$2:$B$1001,B92-1)),"违规：加仓股数须逐次不增加",IF(Q92&gt;F92,"违规：止损风险超过本次预算","通过")))))))))))))))</f>
        <v>违规：实际股数超过风险或金字塔上限</v>
      </c>
    </row>
    <row r="93" ht="17" spans="1:18">
      <c r="A93" s="13">
        <v>36</v>
      </c>
      <c r="B93" s="14">
        <v>3</v>
      </c>
      <c r="C93" s="15">
        <v>42940</v>
      </c>
      <c r="D93" s="16">
        <v>12.06</v>
      </c>
      <c r="E93" s="16">
        <v>11</v>
      </c>
      <c r="F93" s="16">
        <v>1</v>
      </c>
      <c r="G93" s="14">
        <v>3000</v>
      </c>
      <c r="H93" s="17">
        <f t="shared" si="8"/>
        <v>36180</v>
      </c>
      <c r="I93" s="18">
        <f>IF(OR(A93="",B93=""),"",IFERROR(LOOKUP(2,1/(单次交易!$A$2:$A$201=A93),单次交易!$H$2:$H$201),0)+SUMIFS($G$2:$G$1001,$A$2:$A$1001,A93,$B$2:$B$1001,"&lt;"&amp;B93))</f>
        <v>13000</v>
      </c>
      <c r="J93" s="17">
        <f>IF(OR(A93="",B93=""),"",IFERROR(LOOKUP(2,1/(单次交易!$A$2:$A$201=A93),单次交易!$E$2:$E$201)*LOOKUP(2,1/(单次交易!$A$2:$A$201=A93),单次交易!$H$2:$H$201),0)+SUMIFS($H$2:$H$1001,$A$2:$A$1001,A93,$B$2:$B$1001,"&lt;"&amp;B93))</f>
        <v>152060</v>
      </c>
      <c r="K93" s="17">
        <f t="shared" si="9"/>
        <v>0</v>
      </c>
      <c r="L93" s="18">
        <f t="shared" si="10"/>
        <v>0</v>
      </c>
      <c r="M93" s="18">
        <f t="shared" si="11"/>
        <v>3000</v>
      </c>
      <c r="N93" s="18">
        <f t="shared" si="12"/>
        <v>0</v>
      </c>
      <c r="O93" s="18">
        <f t="shared" si="13"/>
        <v>16000</v>
      </c>
      <c r="P93" s="17">
        <f t="shared" si="14"/>
        <v>11.765</v>
      </c>
      <c r="Q93" s="17">
        <f t="shared" si="15"/>
        <v>12240</v>
      </c>
      <c r="R93" s="19" t="str">
        <f ca="1">IF(A93="","",IF(COUNTIF(_TradeIds,A93)=0,"违规：交易编号不存在",IF(OR(B93="",B93&lt;1,B93&gt;5,B93&lt;&gt;INT(B93)),"违规：加仓序号须为1到5的整数",IF(COUNTIFS($A$2:$A$1001,A93,$B$2:$B$1001,B93)&gt;1,"违规：同一交易的加仓序号重复",IF(OR(D93="",E93="",F93=""),"计划不完整：请填写加仓价、新止损价和风险预算",IF(OR(D93&lt;=0,E93&lt;=0,F93&lt;=0,D93&lt;=E93),"违规：加仓价必须高于新止损价，金额须大于0",IF(AND(B93&gt;1,COUNTIFS($A$2:$A$1001,A93,$B$2:$B$1001,B93-1,$G$2:$G$1001,"&gt;0")=0),"违规：须先完成上一次加仓",IF(AND(B93&gt;1,E93&lt;SUMIFS($E$2:$E$1001,$A$2:$A$1001,A93,$B$2:$B$1001,B93-1)),"违规：新止损价不得低于上一次",IF(AND(B93&gt;1,F93&gt;SUMIFS($F$2:$F$1001,$A$2:$A$1001,A93,$B$2:$B$1001,B93-1)),"违规：风险预算须逐次不增加",IF(OR(_LockStatus="已锁仓",_LockStatus="解锁信息不完整"),"违规：锁仓期间禁止加仓",IF(G93="","计划可执行：建议股数见N列",IF(OR(G93&lt;=0,G93&lt;&gt;INT(G93),MOD(G93,100)&lt;&gt;0),"违规：实际股数须为100股整数倍",IF(G93&gt;N93,"违规：实际股数超过风险或金字塔上限",IF(AND(B93&gt;1,G93&gt;SUMIFS($G$2:$G$1001,$A$2:$A$1001,A93,$B$2:$B$1001,B93-1)),"违规：加仓股数须逐次不增加",IF(Q93&gt;F93,"违规：止损风险超过本次预算","通过")))))))))))))))</f>
        <v>违规：实际股数超过风险或金字塔上限</v>
      </c>
    </row>
    <row r="94" ht="17" spans="1:18">
      <c r="A94" s="13">
        <v>36</v>
      </c>
      <c r="B94" s="14">
        <v>4</v>
      </c>
      <c r="C94" s="15">
        <v>42961</v>
      </c>
      <c r="D94" s="16">
        <v>12.64</v>
      </c>
      <c r="E94" s="16">
        <v>12</v>
      </c>
      <c r="F94" s="16">
        <v>1</v>
      </c>
      <c r="G94" s="14">
        <v>3000</v>
      </c>
      <c r="H94" s="17">
        <f t="shared" si="8"/>
        <v>37920</v>
      </c>
      <c r="I94" s="18">
        <f>IF(OR(A94="",B94=""),"",IFERROR(LOOKUP(2,1/(单次交易!$A$2:$A$201=A94),单次交易!$H$2:$H$201),0)+SUMIFS($G$2:$G$1001,$A$2:$A$1001,A94,$B$2:$B$1001,"&lt;"&amp;B94))</f>
        <v>16000</v>
      </c>
      <c r="J94" s="17">
        <f>IF(OR(A94="",B94=""),"",IFERROR(LOOKUP(2,1/(单次交易!$A$2:$A$201=A94),单次交易!$E$2:$E$201)*LOOKUP(2,1/(单次交易!$A$2:$A$201=A94),单次交易!$H$2:$H$201),0)+SUMIFS($H$2:$H$1001,$A$2:$A$1001,A94,$B$2:$B$1001,"&lt;"&amp;B94))</f>
        <v>188240</v>
      </c>
      <c r="K94" s="17">
        <f t="shared" si="9"/>
        <v>3760</v>
      </c>
      <c r="L94" s="18">
        <f t="shared" si="10"/>
        <v>5800</v>
      </c>
      <c r="M94" s="18">
        <f t="shared" si="11"/>
        <v>3000</v>
      </c>
      <c r="N94" s="18">
        <f t="shared" si="12"/>
        <v>3000</v>
      </c>
      <c r="O94" s="18">
        <f t="shared" si="13"/>
        <v>19000</v>
      </c>
      <c r="P94" s="17">
        <f t="shared" si="14"/>
        <v>11.9031578947368</v>
      </c>
      <c r="Q94" s="17">
        <f t="shared" si="15"/>
        <v>0</v>
      </c>
      <c r="R94" s="19" t="str">
        <f ca="1">IF(A94="","",IF(COUNTIF(_TradeIds,A94)=0,"违规：交易编号不存在",IF(OR(B94="",B94&lt;1,B94&gt;5,B94&lt;&gt;INT(B94)),"违规：加仓序号须为1到5的整数",IF(COUNTIFS($A$2:$A$1001,A94,$B$2:$B$1001,B94)&gt;1,"违规：同一交易的加仓序号重复",IF(OR(D94="",E94="",F94=""),"计划不完整：请填写加仓价、新止损价和风险预算",IF(OR(D94&lt;=0,E94&lt;=0,F94&lt;=0,D94&lt;=E94),"违规：加仓价必须高于新止损价，金额须大于0",IF(AND(B94&gt;1,COUNTIFS($A$2:$A$1001,A94,$B$2:$B$1001,B94-1,$G$2:$G$1001,"&gt;0")=0),"违规：须先完成上一次加仓",IF(AND(B94&gt;1,E94&lt;SUMIFS($E$2:$E$1001,$A$2:$A$1001,A94,$B$2:$B$1001,B94-1)),"违规：新止损价不得低于上一次",IF(AND(B94&gt;1,F94&gt;SUMIFS($F$2:$F$1001,$A$2:$A$1001,A94,$B$2:$B$1001,B94-1)),"违规：风险预算须逐次不增加",IF(OR(_LockStatus="已锁仓",_LockStatus="解锁信息不完整"),"违规：锁仓期间禁止加仓",IF(G94="","计划可执行：建议股数见N列",IF(OR(G94&lt;=0,G94&lt;&gt;INT(G94),MOD(G94,100)&lt;&gt;0),"违规：实际股数须为100股整数倍",IF(G94&gt;N94,"违规：实际股数超过风险或金字塔上限",IF(AND(B94&gt;1,G94&gt;SUMIFS($G$2:$G$1001,$A$2:$A$1001,A94,$B$2:$B$1001,B94-1)),"违规：加仓股数须逐次不增加",IF(Q94&gt;F94,"违规：止损风险超过本次预算","通过")))))))))))))))</f>
        <v>通过</v>
      </c>
    </row>
    <row r="95" ht="17" spans="1:18">
      <c r="A95" s="13">
        <v>36</v>
      </c>
      <c r="B95" s="14">
        <v>5</v>
      </c>
      <c r="C95" s="15">
        <v>43003</v>
      </c>
      <c r="D95" s="16">
        <v>13.82</v>
      </c>
      <c r="E95" s="16">
        <v>13</v>
      </c>
      <c r="F95" s="16">
        <v>1</v>
      </c>
      <c r="G95" s="14">
        <v>3000</v>
      </c>
      <c r="H95" s="17">
        <f t="shared" si="8"/>
        <v>41460</v>
      </c>
      <c r="I95" s="18">
        <f>IF(OR(A95="",B95=""),"",IFERROR(LOOKUP(2,1/(单次交易!$A$2:$A$201=A95),单次交易!$H$2:$H$201),0)+SUMIFS($G$2:$G$1001,$A$2:$A$1001,A95,$B$2:$B$1001,"&lt;"&amp;B95))</f>
        <v>19000</v>
      </c>
      <c r="J95" s="17">
        <f>IF(OR(A95="",B95=""),"",IFERROR(LOOKUP(2,1/(单次交易!$A$2:$A$201=A95),单次交易!$E$2:$E$201)*LOOKUP(2,1/(单次交易!$A$2:$A$201=A95),单次交易!$H$2:$H$201),0)+SUMIFS($H$2:$H$1001,$A$2:$A$1001,A95,$B$2:$B$1001,"&lt;"&amp;B95))</f>
        <v>226160</v>
      </c>
      <c r="K95" s="17">
        <f t="shared" si="9"/>
        <v>20840</v>
      </c>
      <c r="L95" s="18">
        <f t="shared" si="10"/>
        <v>25400</v>
      </c>
      <c r="M95" s="18">
        <f t="shared" si="11"/>
        <v>3000</v>
      </c>
      <c r="N95" s="18">
        <f t="shared" si="12"/>
        <v>3000</v>
      </c>
      <c r="O95" s="18">
        <f t="shared" si="13"/>
        <v>22000</v>
      </c>
      <c r="P95" s="17">
        <f t="shared" si="14"/>
        <v>12.1645454545455</v>
      </c>
      <c r="Q95" s="17">
        <f t="shared" si="15"/>
        <v>0</v>
      </c>
      <c r="R95" s="19" t="str">
        <f ca="1">IF(A95="","",IF(COUNTIF(_TradeIds,A95)=0,"违规：交易编号不存在",IF(OR(B95="",B95&lt;1,B95&gt;5,B95&lt;&gt;INT(B95)),"违规：加仓序号须为1到5的整数",IF(COUNTIFS($A$2:$A$1001,A95,$B$2:$B$1001,B95)&gt;1,"违规：同一交易的加仓序号重复",IF(OR(D95="",E95="",F95=""),"计划不完整：请填写加仓价、新止损价和风险预算",IF(OR(D95&lt;=0,E95&lt;=0,F95&lt;=0,D95&lt;=E95),"违规：加仓价必须高于新止损价，金额须大于0",IF(AND(B95&gt;1,COUNTIFS($A$2:$A$1001,A95,$B$2:$B$1001,B95-1,$G$2:$G$1001,"&gt;0")=0),"违规：须先完成上一次加仓",IF(AND(B95&gt;1,E95&lt;SUMIFS($E$2:$E$1001,$A$2:$A$1001,A95,$B$2:$B$1001,B95-1)),"违规：新止损价不得低于上一次",IF(AND(B95&gt;1,F95&gt;SUMIFS($F$2:$F$1001,$A$2:$A$1001,A95,$B$2:$B$1001,B95-1)),"违规：风险预算须逐次不增加",IF(OR(_LockStatus="已锁仓",_LockStatus="解锁信息不完整"),"违规：锁仓期间禁止加仓",IF(G95="","计划可执行：建议股数见N列",IF(OR(G95&lt;=0,G95&lt;&gt;INT(G95),MOD(G95,100)&lt;&gt;0),"违规：实际股数须为100股整数倍",IF(G95&gt;N95,"违规：实际股数超过风险或金字塔上限",IF(AND(B95&gt;1,G95&gt;SUMIFS($G$2:$G$1001,$A$2:$A$1001,A95,$B$2:$B$1001,B95-1)),"违规：加仓股数须逐次不增加",IF(Q95&gt;F95,"违规：止损风险超过本次预算","通过")))))))))))))))</f>
        <v>通过</v>
      </c>
    </row>
    <row r="96" ht="17" spans="1:18">
      <c r="A96" s="13">
        <v>37</v>
      </c>
      <c r="B96" s="14">
        <v>1</v>
      </c>
      <c r="C96" s="15">
        <v>43021</v>
      </c>
      <c r="D96" s="16">
        <v>15.56</v>
      </c>
      <c r="E96" s="16">
        <v>14.5</v>
      </c>
      <c r="F96" s="16">
        <v>1</v>
      </c>
      <c r="G96" s="14">
        <v>4000</v>
      </c>
      <c r="H96" s="17">
        <f t="shared" si="8"/>
        <v>62240</v>
      </c>
      <c r="I96" s="18">
        <f>IF(OR(A96="",B96=""),"",IFERROR(LOOKUP(2,1/(单次交易!$A$2:$A$201=A96),单次交易!$H$2:$H$201),0)+SUMIFS($G$2:$G$1001,$A$2:$A$1001,A96,$B$2:$B$1001,"&lt;"&amp;B96))</f>
        <v>6300</v>
      </c>
      <c r="J96" s="17">
        <f>IF(OR(A96="",B96=""),"",IFERROR(LOOKUP(2,1/(单次交易!$A$2:$A$201=A96),单次交易!$E$2:$E$201)*LOOKUP(2,1/(单次交易!$A$2:$A$201=A96),单次交易!$H$2:$H$201),0)+SUMIFS($H$2:$H$1001,$A$2:$A$1001,A96,$B$2:$B$1001,"&lt;"&amp;B96))</f>
        <v>93177</v>
      </c>
      <c r="K96" s="17">
        <f t="shared" si="9"/>
        <v>0</v>
      </c>
      <c r="L96" s="18">
        <f t="shared" si="10"/>
        <v>0</v>
      </c>
      <c r="M96" s="18">
        <f t="shared" si="11"/>
        <v>0</v>
      </c>
      <c r="N96" s="18">
        <f t="shared" si="12"/>
        <v>0</v>
      </c>
      <c r="O96" s="18">
        <f t="shared" si="13"/>
        <v>10300</v>
      </c>
      <c r="P96" s="17">
        <f t="shared" si="14"/>
        <v>15.0890291262136</v>
      </c>
      <c r="Q96" s="17">
        <f t="shared" si="15"/>
        <v>6067</v>
      </c>
      <c r="R96" s="19" t="str">
        <f ca="1">IF(A96="","",IF(COUNTIF(_TradeIds,A96)=0,"违规：交易编号不存在",IF(OR(B96="",B96&lt;1,B96&gt;5,B96&lt;&gt;INT(B96)),"违规：加仓序号须为1到5的整数",IF(COUNTIFS($A$2:$A$1001,A96,$B$2:$B$1001,B96)&gt;1,"违规：同一交易的加仓序号重复",IF(OR(D96="",E96="",F96=""),"计划不完整：请填写加仓价、新止损价和风险预算",IF(OR(D96&lt;=0,E96&lt;=0,F96&lt;=0,D96&lt;=E96),"违规：加仓价必须高于新止损价，金额须大于0",IF(AND(B96&gt;1,COUNTIFS($A$2:$A$1001,A96,$B$2:$B$1001,B96-1,$G$2:$G$1001,"&gt;0")=0),"违规：须先完成上一次加仓",IF(AND(B96&gt;1,E96&lt;SUMIFS($E$2:$E$1001,$A$2:$A$1001,A96,$B$2:$B$1001,B96-1)),"违规：新止损价不得低于上一次",IF(AND(B96&gt;1,F96&gt;SUMIFS($F$2:$F$1001,$A$2:$A$1001,A96,$B$2:$B$1001,B96-1)),"违规：风险预算须逐次不增加",IF(OR(_LockStatus="已锁仓",_LockStatus="解锁信息不完整"),"违规：锁仓期间禁止加仓",IF(G96="","计划可执行：建议股数见N列",IF(OR(G96&lt;=0,G96&lt;&gt;INT(G96),MOD(G96,100)&lt;&gt;0),"违规：实际股数须为100股整数倍",IF(G96&gt;N96,"违规：实际股数超过风险或金字塔上限",IF(AND(B96&gt;1,G96&gt;SUMIFS($G$2:$G$1001,$A$2:$A$1001,A96,$B$2:$B$1001,B96-1)),"违规：加仓股数须逐次不增加",IF(Q96&gt;F96,"违规：止损风险超过本次预算","通过")))))))))))))))</f>
        <v>违规：实际股数超过风险或金字塔上限</v>
      </c>
    </row>
    <row r="97" ht="17" spans="1:18">
      <c r="A97" s="13">
        <v>37</v>
      </c>
      <c r="B97" s="14">
        <v>2</v>
      </c>
      <c r="C97" s="15">
        <v>43032</v>
      </c>
      <c r="D97" s="16">
        <v>16.32</v>
      </c>
      <c r="E97" s="16">
        <v>15.5</v>
      </c>
      <c r="F97" s="16">
        <v>1</v>
      </c>
      <c r="G97" s="14">
        <v>6000</v>
      </c>
      <c r="H97" s="17">
        <f t="shared" si="8"/>
        <v>97920</v>
      </c>
      <c r="I97" s="18">
        <f>IF(OR(A97="",B97=""),"",IFERROR(LOOKUP(2,1/(单次交易!$A$2:$A$201=A97),单次交易!$H$2:$H$201),0)+SUMIFS($G$2:$G$1001,$A$2:$A$1001,A97,$B$2:$B$1001,"&lt;"&amp;B97))</f>
        <v>10300</v>
      </c>
      <c r="J97" s="17">
        <f>IF(OR(A97="",B97=""),"",IFERROR(LOOKUP(2,1/(单次交易!$A$2:$A$201=A97),单次交易!$E$2:$E$201)*LOOKUP(2,1/(单次交易!$A$2:$A$201=A97),单次交易!$H$2:$H$201),0)+SUMIFS($H$2:$H$1001,$A$2:$A$1001,A97,$B$2:$B$1001,"&lt;"&amp;B97))</f>
        <v>155417</v>
      </c>
      <c r="K97" s="17">
        <f t="shared" si="9"/>
        <v>4233</v>
      </c>
      <c r="L97" s="18">
        <f t="shared" si="10"/>
        <v>5100</v>
      </c>
      <c r="M97" s="18">
        <f t="shared" si="11"/>
        <v>4000</v>
      </c>
      <c r="N97" s="18">
        <f t="shared" si="12"/>
        <v>4000</v>
      </c>
      <c r="O97" s="18">
        <f t="shared" si="13"/>
        <v>16300</v>
      </c>
      <c r="P97" s="17">
        <f t="shared" si="14"/>
        <v>15.5421472392638</v>
      </c>
      <c r="Q97" s="17">
        <f t="shared" si="15"/>
        <v>687</v>
      </c>
      <c r="R97" s="19" t="str">
        <f ca="1">IF(A97="","",IF(COUNTIF(_TradeIds,A97)=0,"违规：交易编号不存在",IF(OR(B97="",B97&lt;1,B97&gt;5,B97&lt;&gt;INT(B97)),"违规：加仓序号须为1到5的整数",IF(COUNTIFS($A$2:$A$1001,A97,$B$2:$B$1001,B97)&gt;1,"违规：同一交易的加仓序号重复",IF(OR(D97="",E97="",F97=""),"计划不完整：请填写加仓价、新止损价和风险预算",IF(OR(D97&lt;=0,E97&lt;=0,F97&lt;=0,D97&lt;=E97),"违规：加仓价必须高于新止损价，金额须大于0",IF(AND(B97&gt;1,COUNTIFS($A$2:$A$1001,A97,$B$2:$B$1001,B97-1,$G$2:$G$1001,"&gt;0")=0),"违规：须先完成上一次加仓",IF(AND(B97&gt;1,E97&lt;SUMIFS($E$2:$E$1001,$A$2:$A$1001,A97,$B$2:$B$1001,B97-1)),"违规：新止损价不得低于上一次",IF(AND(B97&gt;1,F97&gt;SUMIFS($F$2:$F$1001,$A$2:$A$1001,A97,$B$2:$B$1001,B97-1)),"违规：风险预算须逐次不增加",IF(OR(_LockStatus="已锁仓",_LockStatus="解锁信息不完整"),"违规：锁仓期间禁止加仓",IF(G97="","计划可执行：建议股数见N列",IF(OR(G97&lt;=0,G97&lt;&gt;INT(G97),MOD(G97,100)&lt;&gt;0),"违规：实际股数须为100股整数倍",IF(G97&gt;N97,"违规：实际股数超过风险或金字塔上限",IF(AND(B97&gt;1,G97&gt;SUMIFS($G$2:$G$1001,$A$2:$A$1001,A97,$B$2:$B$1001,B97-1)),"违规：加仓股数须逐次不增加",IF(Q97&gt;F97,"违规：止损风险超过本次预算","通过")))))))))))))))</f>
        <v>违规：实际股数超过风险或金字塔上限</v>
      </c>
    </row>
    <row r="98" ht="17" spans="1:18">
      <c r="A98" s="13">
        <v>37</v>
      </c>
      <c r="B98" s="14">
        <v>3</v>
      </c>
      <c r="C98" s="15">
        <v>43035</v>
      </c>
      <c r="D98" s="16">
        <v>17.45</v>
      </c>
      <c r="E98" s="16">
        <v>16.5</v>
      </c>
      <c r="F98" s="16">
        <v>1</v>
      </c>
      <c r="G98" s="14">
        <v>6000</v>
      </c>
      <c r="H98" s="17">
        <f t="shared" si="8"/>
        <v>104700</v>
      </c>
      <c r="I98" s="18">
        <f>IF(OR(A98="",B98=""),"",IFERROR(LOOKUP(2,1/(单次交易!$A$2:$A$201=A98),单次交易!$H$2:$H$201),0)+SUMIFS($G$2:$G$1001,$A$2:$A$1001,A98,$B$2:$B$1001,"&lt;"&amp;B98))</f>
        <v>16300</v>
      </c>
      <c r="J98" s="17">
        <f>IF(OR(A98="",B98=""),"",IFERROR(LOOKUP(2,1/(单次交易!$A$2:$A$201=A98),单次交易!$E$2:$E$201)*LOOKUP(2,1/(单次交易!$A$2:$A$201=A98),单次交易!$H$2:$H$201),0)+SUMIFS($H$2:$H$1001,$A$2:$A$1001,A98,$B$2:$B$1001,"&lt;"&amp;B98))</f>
        <v>253337</v>
      </c>
      <c r="K98" s="17">
        <f t="shared" si="9"/>
        <v>15613</v>
      </c>
      <c r="L98" s="18">
        <f t="shared" si="10"/>
        <v>16400</v>
      </c>
      <c r="M98" s="18">
        <f t="shared" si="11"/>
        <v>6000</v>
      </c>
      <c r="N98" s="18">
        <f t="shared" si="12"/>
        <v>6000</v>
      </c>
      <c r="O98" s="18">
        <f t="shared" si="13"/>
        <v>22300</v>
      </c>
      <c r="P98" s="17">
        <f t="shared" si="14"/>
        <v>16.0554708520179</v>
      </c>
      <c r="Q98" s="17">
        <f t="shared" si="15"/>
        <v>0</v>
      </c>
      <c r="R98" s="19" t="str">
        <f ca="1">IF(A98="","",IF(COUNTIF(_TradeIds,A98)=0,"违规：交易编号不存在",IF(OR(B98="",B98&lt;1,B98&gt;5,B98&lt;&gt;INT(B98)),"违规：加仓序号须为1到5的整数",IF(COUNTIFS($A$2:$A$1001,A98,$B$2:$B$1001,B98)&gt;1,"违规：同一交易的加仓序号重复",IF(OR(D98="",E98="",F98=""),"计划不完整：请填写加仓价、新止损价和风险预算",IF(OR(D98&lt;=0,E98&lt;=0,F98&lt;=0,D98&lt;=E98),"违规：加仓价必须高于新止损价，金额须大于0",IF(AND(B98&gt;1,COUNTIFS($A$2:$A$1001,A98,$B$2:$B$1001,B98-1,$G$2:$G$1001,"&gt;0")=0),"违规：须先完成上一次加仓",IF(AND(B98&gt;1,E98&lt;SUMIFS($E$2:$E$1001,$A$2:$A$1001,A98,$B$2:$B$1001,B98-1)),"违规：新止损价不得低于上一次",IF(AND(B98&gt;1,F98&gt;SUMIFS($F$2:$F$1001,$A$2:$A$1001,A98,$B$2:$B$1001,B98-1)),"违规：风险预算须逐次不增加",IF(OR(_LockStatus="已锁仓",_LockStatus="解锁信息不完整"),"违规：锁仓期间禁止加仓",IF(G98="","计划可执行：建议股数见N列",IF(OR(G98&lt;=0,G98&lt;&gt;INT(G98),MOD(G98,100)&lt;&gt;0),"违规：实际股数须为100股整数倍",IF(G98&gt;N98,"违规：实际股数超过风险或金字塔上限",IF(AND(B98&gt;1,G98&gt;SUMIFS($G$2:$G$1001,$A$2:$A$1001,A98,$B$2:$B$1001,B98-1)),"违规：加仓股数须逐次不增加",IF(Q98&gt;F98,"违规：止损风险超过本次预算","通过")))))))))))))))</f>
        <v>通过</v>
      </c>
    </row>
    <row r="99" ht="17" spans="1:18">
      <c r="A99" s="13">
        <v>37</v>
      </c>
      <c r="B99" s="14">
        <v>4</v>
      </c>
      <c r="C99" s="15">
        <v>43045</v>
      </c>
      <c r="D99" s="16">
        <v>19.38</v>
      </c>
      <c r="E99" s="16">
        <v>18</v>
      </c>
      <c r="F99" s="16">
        <v>1</v>
      </c>
      <c r="G99" s="14">
        <v>2000</v>
      </c>
      <c r="H99" s="17">
        <f t="shared" si="8"/>
        <v>38760</v>
      </c>
      <c r="I99" s="18">
        <f>IF(OR(A99="",B99=""),"",IFERROR(LOOKUP(2,1/(单次交易!$A$2:$A$201=A99),单次交易!$H$2:$H$201),0)+SUMIFS($G$2:$G$1001,$A$2:$A$1001,A99,$B$2:$B$1001,"&lt;"&amp;B99))</f>
        <v>22300</v>
      </c>
      <c r="J99" s="17">
        <f>IF(OR(A99="",B99=""),"",IFERROR(LOOKUP(2,1/(单次交易!$A$2:$A$201=A99),单次交易!$E$2:$E$201)*LOOKUP(2,1/(单次交易!$A$2:$A$201=A99),单次交易!$H$2:$H$201),0)+SUMIFS($H$2:$H$1001,$A$2:$A$1001,A99,$B$2:$B$1001,"&lt;"&amp;B99))</f>
        <v>358037</v>
      </c>
      <c r="K99" s="17">
        <f t="shared" si="9"/>
        <v>43363</v>
      </c>
      <c r="L99" s="18">
        <f t="shared" si="10"/>
        <v>31400</v>
      </c>
      <c r="M99" s="18">
        <f t="shared" si="11"/>
        <v>6000</v>
      </c>
      <c r="N99" s="18">
        <f t="shared" si="12"/>
        <v>6000</v>
      </c>
      <c r="O99" s="18">
        <f t="shared" si="13"/>
        <v>24300</v>
      </c>
      <c r="P99" s="17">
        <f t="shared" si="14"/>
        <v>16.3290946502058</v>
      </c>
      <c r="Q99" s="17">
        <f t="shared" si="15"/>
        <v>0</v>
      </c>
      <c r="R99" s="19" t="str">
        <f ca="1">IF(A99="","",IF(COUNTIF(_TradeIds,A99)=0,"违规：交易编号不存在",IF(OR(B99="",B99&lt;1,B99&gt;5,B99&lt;&gt;INT(B99)),"违规：加仓序号须为1到5的整数",IF(COUNTIFS($A$2:$A$1001,A99,$B$2:$B$1001,B99)&gt;1,"违规：同一交易的加仓序号重复",IF(OR(D99="",E99="",F99=""),"计划不完整：请填写加仓价、新止损价和风险预算",IF(OR(D99&lt;=0,E99&lt;=0,F99&lt;=0,D99&lt;=E99),"违规：加仓价必须高于新止损价，金额须大于0",IF(AND(B99&gt;1,COUNTIFS($A$2:$A$1001,A99,$B$2:$B$1001,B99-1,$G$2:$G$1001,"&gt;0")=0),"违规：须先完成上一次加仓",IF(AND(B99&gt;1,E99&lt;SUMIFS($E$2:$E$1001,$A$2:$A$1001,A99,$B$2:$B$1001,B99-1)),"违规：新止损价不得低于上一次",IF(AND(B99&gt;1,F99&gt;SUMIFS($F$2:$F$1001,$A$2:$A$1001,A99,$B$2:$B$1001,B99-1)),"违规：风险预算须逐次不增加",IF(OR(_LockStatus="已锁仓",_LockStatus="解锁信息不完整"),"违规：锁仓期间禁止加仓",IF(G99="","计划可执行：建议股数见N列",IF(OR(G99&lt;=0,G99&lt;&gt;INT(G99),MOD(G99,100)&lt;&gt;0),"违规：实际股数须为100股整数倍",IF(G99&gt;N99,"违规：实际股数超过风险或金字塔上限",IF(AND(B99&gt;1,G99&gt;SUMIFS($G$2:$G$1001,$A$2:$A$1001,A99,$B$2:$B$1001,B99-1)),"违规：加仓股数须逐次不增加",IF(Q99&gt;F99,"违规：止损风险超过本次预算","通过")))))))))))))))</f>
        <v>通过</v>
      </c>
    </row>
    <row r="100" ht="17" spans="1:18">
      <c r="A100" s="13">
        <v>38</v>
      </c>
      <c r="B100" s="14">
        <v>1</v>
      </c>
      <c r="C100" s="15">
        <v>43073</v>
      </c>
      <c r="D100" s="16">
        <v>20.02</v>
      </c>
      <c r="E100" s="16">
        <v>19</v>
      </c>
      <c r="F100" s="16">
        <v>1</v>
      </c>
      <c r="G100" s="14">
        <v>3000</v>
      </c>
      <c r="H100" s="17">
        <f t="shared" si="8"/>
        <v>60060</v>
      </c>
      <c r="I100" s="18">
        <f>IF(OR(A100="",B100=""),"",IFERROR(LOOKUP(2,1/(单次交易!$A$2:$A$201=A100),单次交易!$H$2:$H$201),0)+SUMIFS($G$2:$G$1001,$A$2:$A$1001,A100,$B$2:$B$1001,"&lt;"&amp;B100))</f>
        <v>2000</v>
      </c>
      <c r="J100" s="17">
        <f>IF(OR(A100="",B100=""),"",IFERROR(LOOKUP(2,1/(单次交易!$A$2:$A$201=A100),单次交易!$E$2:$E$201)*LOOKUP(2,1/(单次交易!$A$2:$A$201=A100),单次交易!$H$2:$H$201),0)+SUMIFS($H$2:$H$1001,$A$2:$A$1001,A100,$B$2:$B$1001,"&lt;"&amp;B100))</f>
        <v>33060</v>
      </c>
      <c r="K100" s="17">
        <f t="shared" si="9"/>
        <v>4940</v>
      </c>
      <c r="L100" s="18">
        <f t="shared" si="10"/>
        <v>4800</v>
      </c>
      <c r="M100" s="18">
        <f t="shared" si="11"/>
        <v>4800</v>
      </c>
      <c r="N100" s="18">
        <f t="shared" si="12"/>
        <v>4800</v>
      </c>
      <c r="O100" s="18">
        <f t="shared" si="13"/>
        <v>5000</v>
      </c>
      <c r="P100" s="17">
        <f t="shared" si="14"/>
        <v>18.624</v>
      </c>
      <c r="Q100" s="17">
        <f t="shared" si="15"/>
        <v>0</v>
      </c>
      <c r="R100" s="19" t="str">
        <f ca="1">IF(A100="","",IF(COUNTIF(_TradeIds,A100)=0,"违规：交易编号不存在",IF(OR(B100="",B100&lt;1,B100&gt;5,B100&lt;&gt;INT(B100)),"违规：加仓序号须为1到5的整数",IF(COUNTIFS($A$2:$A$1001,A100,$B$2:$B$1001,B100)&gt;1,"违规：同一交易的加仓序号重复",IF(OR(D100="",E100="",F100=""),"计划不完整：请填写加仓价、新止损价和风险预算",IF(OR(D100&lt;=0,E100&lt;=0,F100&lt;=0,D100&lt;=E100),"违规：加仓价必须高于新止损价，金额须大于0",IF(AND(B100&gt;1,COUNTIFS($A$2:$A$1001,A100,$B$2:$B$1001,B100-1,$G$2:$G$1001,"&gt;0")=0),"违规：须先完成上一次加仓",IF(AND(B100&gt;1,E100&lt;SUMIFS($E$2:$E$1001,$A$2:$A$1001,A100,$B$2:$B$1001,B100-1)),"违规：新止损价不得低于上一次",IF(AND(B100&gt;1,F100&gt;SUMIFS($F$2:$F$1001,$A$2:$A$1001,A100,$B$2:$B$1001,B100-1)),"违规：风险预算须逐次不增加",IF(OR(_LockStatus="已锁仓",_LockStatus="解锁信息不完整"),"违规：锁仓期间禁止加仓",IF(G100="","计划可执行：建议股数见N列",IF(OR(G100&lt;=0,G100&lt;&gt;INT(G100),MOD(G100,100)&lt;&gt;0),"违规：实际股数须为100股整数倍",IF(G100&gt;N100,"违规：实际股数超过风险或金字塔上限",IF(AND(B100&gt;1,G100&gt;SUMIFS($G$2:$G$1001,$A$2:$A$1001,A100,$B$2:$B$1001,B100-1)),"违规：加仓股数须逐次不增加",IF(Q100&gt;F100,"违规：止损风险超过本次预算","通过")))))))))))))))</f>
        <v>通过</v>
      </c>
    </row>
    <row r="101" ht="17" spans="1:18">
      <c r="A101" s="13">
        <v>38</v>
      </c>
      <c r="B101" s="14">
        <v>2</v>
      </c>
      <c r="C101" s="15">
        <v>43077</v>
      </c>
      <c r="D101" s="16">
        <v>19.39</v>
      </c>
      <c r="E101" s="16">
        <v>19</v>
      </c>
      <c r="F101" s="16">
        <v>1</v>
      </c>
      <c r="G101" s="14">
        <v>5000</v>
      </c>
      <c r="H101" s="17">
        <f t="shared" si="8"/>
        <v>96950</v>
      </c>
      <c r="I101" s="18">
        <f>IF(OR(A101="",B101=""),"",IFERROR(LOOKUP(2,1/(单次交易!$A$2:$A$201=A101),单次交易!$H$2:$H$201),0)+SUMIFS($G$2:$G$1001,$A$2:$A$1001,A101,$B$2:$B$1001,"&lt;"&amp;B101))</f>
        <v>5000</v>
      </c>
      <c r="J101" s="17">
        <f>IF(OR(A101="",B101=""),"",IFERROR(LOOKUP(2,1/(单次交易!$A$2:$A$201=A101),单次交易!$E$2:$E$201)*LOOKUP(2,1/(单次交易!$A$2:$A$201=A101),单次交易!$H$2:$H$201),0)+SUMIFS($H$2:$H$1001,$A$2:$A$1001,A101,$B$2:$B$1001,"&lt;"&amp;B101))</f>
        <v>93120</v>
      </c>
      <c r="K101" s="17">
        <f t="shared" si="9"/>
        <v>1880</v>
      </c>
      <c r="L101" s="18">
        <f t="shared" si="10"/>
        <v>4800</v>
      </c>
      <c r="M101" s="18">
        <f t="shared" si="11"/>
        <v>3000</v>
      </c>
      <c r="N101" s="18">
        <f t="shared" si="12"/>
        <v>3000</v>
      </c>
      <c r="O101" s="18">
        <f t="shared" si="13"/>
        <v>10000</v>
      </c>
      <c r="P101" s="17">
        <f t="shared" si="14"/>
        <v>19.007</v>
      </c>
      <c r="Q101" s="17">
        <f t="shared" si="15"/>
        <v>70</v>
      </c>
      <c r="R101" s="19" t="str">
        <f ca="1">IF(A101="","",IF(COUNTIF(_TradeIds,A101)=0,"违规：交易编号不存在",IF(OR(B101="",B101&lt;1,B101&gt;5,B101&lt;&gt;INT(B101)),"违规：加仓序号须为1到5的整数",IF(COUNTIFS($A$2:$A$1001,A101,$B$2:$B$1001,B101)&gt;1,"违规：同一交易的加仓序号重复",IF(OR(D101="",E101="",F101=""),"计划不完整：请填写加仓价、新止损价和风险预算",IF(OR(D101&lt;=0,E101&lt;=0,F101&lt;=0,D101&lt;=E101),"违规：加仓价必须高于新止损价，金额须大于0",IF(AND(B101&gt;1,COUNTIFS($A$2:$A$1001,A101,$B$2:$B$1001,B101-1,$G$2:$G$1001,"&gt;0")=0),"违规：须先完成上一次加仓",IF(AND(B101&gt;1,E101&lt;SUMIFS($E$2:$E$1001,$A$2:$A$1001,A101,$B$2:$B$1001,B101-1)),"违规：新止损价不得低于上一次",IF(AND(B101&gt;1,F101&gt;SUMIFS($F$2:$F$1001,$A$2:$A$1001,A101,$B$2:$B$1001,B101-1)),"违规：风险预算须逐次不增加",IF(OR(_LockStatus="已锁仓",_LockStatus="解锁信息不完整"),"违规：锁仓期间禁止加仓",IF(G101="","计划可执行：建议股数见N列",IF(OR(G101&lt;=0,G101&lt;&gt;INT(G101),MOD(G101,100)&lt;&gt;0),"违规：实际股数须为100股整数倍",IF(G101&gt;N101,"违规：实际股数超过风险或金字塔上限",IF(AND(B101&gt;1,G101&gt;SUMIFS($G$2:$G$1001,$A$2:$A$1001,A101,$B$2:$B$1001,B101-1)),"违规：加仓股数须逐次不增加",IF(Q101&gt;F101,"违规：止损风险超过本次预算","通过")))))))))))))))</f>
        <v>违规：实际股数超过风险或金字塔上限</v>
      </c>
    </row>
    <row r="102" ht="17" spans="1:18">
      <c r="A102" s="13">
        <v>38</v>
      </c>
      <c r="B102" s="14">
        <v>3</v>
      </c>
      <c r="C102" s="15">
        <v>43081</v>
      </c>
      <c r="D102" s="16">
        <v>19.53</v>
      </c>
      <c r="E102" s="16">
        <v>19</v>
      </c>
      <c r="F102" s="16">
        <v>1</v>
      </c>
      <c r="G102" s="14">
        <v>2000</v>
      </c>
      <c r="H102" s="17">
        <f t="shared" si="8"/>
        <v>39060</v>
      </c>
      <c r="I102" s="18">
        <f>IF(OR(A102="",B102=""),"",IFERROR(LOOKUP(2,1/(单次交易!$A$2:$A$201=A102),单次交易!$H$2:$H$201),0)+SUMIFS($G$2:$G$1001,$A$2:$A$1001,A102,$B$2:$B$1001,"&lt;"&amp;B102))</f>
        <v>10000</v>
      </c>
      <c r="J102" s="17">
        <f>IF(OR(A102="",B102=""),"",IFERROR(LOOKUP(2,1/(单次交易!$A$2:$A$201=A102),单次交易!$E$2:$E$201)*LOOKUP(2,1/(单次交易!$A$2:$A$201=A102),单次交易!$H$2:$H$201),0)+SUMIFS($H$2:$H$1001,$A$2:$A$1001,A102,$B$2:$B$1001,"&lt;"&amp;B102))</f>
        <v>190070</v>
      </c>
      <c r="K102" s="17">
        <f t="shared" si="9"/>
        <v>0</v>
      </c>
      <c r="L102" s="18">
        <f t="shared" si="10"/>
        <v>0</v>
      </c>
      <c r="M102" s="18">
        <f t="shared" si="11"/>
        <v>5000</v>
      </c>
      <c r="N102" s="18">
        <f t="shared" si="12"/>
        <v>0</v>
      </c>
      <c r="O102" s="18">
        <f t="shared" si="13"/>
        <v>12000</v>
      </c>
      <c r="P102" s="17">
        <f t="shared" si="14"/>
        <v>19.0941666666667</v>
      </c>
      <c r="Q102" s="17">
        <f t="shared" si="15"/>
        <v>1130</v>
      </c>
      <c r="R102" s="19" t="str">
        <f ca="1">IF(A102="","",IF(COUNTIF(_TradeIds,A102)=0,"违规：交易编号不存在",IF(OR(B102="",B102&lt;1,B102&gt;5,B102&lt;&gt;INT(B102)),"违规：加仓序号须为1到5的整数",IF(COUNTIFS($A$2:$A$1001,A102,$B$2:$B$1001,B102)&gt;1,"违规：同一交易的加仓序号重复",IF(OR(D102="",E102="",F102=""),"计划不完整：请填写加仓价、新止损价和风险预算",IF(OR(D102&lt;=0,E102&lt;=0,F102&lt;=0,D102&lt;=E102),"违规：加仓价必须高于新止损价，金额须大于0",IF(AND(B102&gt;1,COUNTIFS($A$2:$A$1001,A102,$B$2:$B$1001,B102-1,$G$2:$G$1001,"&gt;0")=0),"违规：须先完成上一次加仓",IF(AND(B102&gt;1,E102&lt;SUMIFS($E$2:$E$1001,$A$2:$A$1001,A102,$B$2:$B$1001,B102-1)),"违规：新止损价不得低于上一次",IF(AND(B102&gt;1,F102&gt;SUMIFS($F$2:$F$1001,$A$2:$A$1001,A102,$B$2:$B$1001,B102-1)),"违规：风险预算须逐次不增加",IF(OR(_LockStatus="已锁仓",_LockStatus="解锁信息不完整"),"违规：锁仓期间禁止加仓",IF(G102="","计划可执行：建议股数见N列",IF(OR(G102&lt;=0,G102&lt;&gt;INT(G102),MOD(G102,100)&lt;&gt;0),"违规：实际股数须为100股整数倍",IF(G102&gt;N102,"违规：实际股数超过风险或金字塔上限",IF(AND(B102&gt;1,G102&gt;SUMIFS($G$2:$G$1001,$A$2:$A$1001,A102,$B$2:$B$1001,B102-1)),"违规：加仓股数须逐次不增加",IF(Q102&gt;F102,"违规：止损风险超过本次预算","通过")))))))))))))))</f>
        <v>违规：实际股数超过风险或金字塔上限</v>
      </c>
    </row>
    <row r="103" ht="17" spans="1:18">
      <c r="A103" s="13">
        <v>38</v>
      </c>
      <c r="B103" s="14">
        <v>4</v>
      </c>
      <c r="C103" s="15">
        <v>43083</v>
      </c>
      <c r="D103" s="16">
        <v>21.44</v>
      </c>
      <c r="E103" s="16">
        <v>20</v>
      </c>
      <c r="F103" s="16">
        <v>1</v>
      </c>
      <c r="G103" s="14">
        <v>5000</v>
      </c>
      <c r="H103" s="17">
        <f t="shared" si="8"/>
        <v>107200</v>
      </c>
      <c r="I103" s="18">
        <f>IF(OR(A103="",B103=""),"",IFERROR(LOOKUP(2,1/(单次交易!$A$2:$A$201=A103),单次交易!$H$2:$H$201),0)+SUMIFS($G$2:$G$1001,$A$2:$A$1001,A103,$B$2:$B$1001,"&lt;"&amp;B103))</f>
        <v>12000</v>
      </c>
      <c r="J103" s="17">
        <f>IF(OR(A103="",B103=""),"",IFERROR(LOOKUP(2,1/(单次交易!$A$2:$A$201=A103),单次交易!$E$2:$E$201)*LOOKUP(2,1/(单次交易!$A$2:$A$201=A103),单次交易!$H$2:$H$201),0)+SUMIFS($H$2:$H$1001,$A$2:$A$1001,A103,$B$2:$B$1001,"&lt;"&amp;B103))</f>
        <v>229130</v>
      </c>
      <c r="K103" s="17">
        <f t="shared" si="9"/>
        <v>10870</v>
      </c>
      <c r="L103" s="18">
        <f t="shared" si="10"/>
        <v>7500</v>
      </c>
      <c r="M103" s="18">
        <f t="shared" si="11"/>
        <v>2000</v>
      </c>
      <c r="N103" s="18">
        <f t="shared" si="12"/>
        <v>2000</v>
      </c>
      <c r="O103" s="18">
        <f t="shared" si="13"/>
        <v>17000</v>
      </c>
      <c r="P103" s="17">
        <f t="shared" si="14"/>
        <v>19.7841176470588</v>
      </c>
      <c r="Q103" s="17">
        <f t="shared" si="15"/>
        <v>0</v>
      </c>
      <c r="R103" s="19" t="str">
        <f ca="1">IF(A103="","",IF(COUNTIF(_TradeIds,A103)=0,"违规：交易编号不存在",IF(OR(B103="",B103&lt;1,B103&gt;5,B103&lt;&gt;INT(B103)),"违规：加仓序号须为1到5的整数",IF(COUNTIFS($A$2:$A$1001,A103,$B$2:$B$1001,B103)&gt;1,"违规：同一交易的加仓序号重复",IF(OR(D103="",E103="",F103=""),"计划不完整：请填写加仓价、新止损价和风险预算",IF(OR(D103&lt;=0,E103&lt;=0,F103&lt;=0,D103&lt;=E103),"违规：加仓价必须高于新止损价，金额须大于0",IF(AND(B103&gt;1,COUNTIFS($A$2:$A$1001,A103,$B$2:$B$1001,B103-1,$G$2:$G$1001,"&gt;0")=0),"违规：须先完成上一次加仓",IF(AND(B103&gt;1,E103&lt;SUMIFS($E$2:$E$1001,$A$2:$A$1001,A103,$B$2:$B$1001,B103-1)),"违规：新止损价不得低于上一次",IF(AND(B103&gt;1,F103&gt;SUMIFS($F$2:$F$1001,$A$2:$A$1001,A103,$B$2:$B$1001,B103-1)),"违规：风险预算须逐次不增加",IF(OR(_LockStatus="已锁仓",_LockStatus="解锁信息不完整"),"违规：锁仓期间禁止加仓",IF(G103="","计划可执行：建议股数见N列",IF(OR(G103&lt;=0,G103&lt;&gt;INT(G103),MOD(G103,100)&lt;&gt;0),"违规：实际股数须为100股整数倍",IF(G103&gt;N103,"违规：实际股数超过风险或金字塔上限",IF(AND(B103&gt;1,G103&gt;SUMIFS($G$2:$G$1001,$A$2:$A$1001,A103,$B$2:$B$1001,B103-1)),"违规：加仓股数须逐次不增加",IF(Q103&gt;F103,"违规：止损风险超过本次预算","通过")))))))))))))))</f>
        <v>违规：实际股数超过风险或金字塔上限</v>
      </c>
    </row>
    <row r="104" ht="17" spans="1:18">
      <c r="A104" s="13">
        <v>38</v>
      </c>
      <c r="B104" s="14">
        <v>5</v>
      </c>
      <c r="C104" s="15">
        <v>43109</v>
      </c>
      <c r="D104" s="16">
        <v>22.96</v>
      </c>
      <c r="E104" s="16">
        <v>21.4</v>
      </c>
      <c r="F104" s="16">
        <v>1</v>
      </c>
      <c r="G104" s="14">
        <v>5000</v>
      </c>
      <c r="H104" s="17">
        <f t="shared" si="8"/>
        <v>114800</v>
      </c>
      <c r="I104" s="18">
        <f>IF(OR(A104="",B104=""),"",IFERROR(LOOKUP(2,1/(单次交易!$A$2:$A$201=A104),单次交易!$H$2:$H$201),0)+SUMIFS($G$2:$G$1001,$A$2:$A$1001,A104,$B$2:$B$1001,"&lt;"&amp;B104))</f>
        <v>17000</v>
      </c>
      <c r="J104" s="17">
        <f>IF(OR(A104="",B104=""),"",IFERROR(LOOKUP(2,1/(单次交易!$A$2:$A$201=A104),单次交易!$E$2:$E$201)*LOOKUP(2,1/(单次交易!$A$2:$A$201=A104),单次交易!$H$2:$H$201),0)+SUMIFS($H$2:$H$1001,$A$2:$A$1001,A104,$B$2:$B$1001,"&lt;"&amp;B104))</f>
        <v>336330</v>
      </c>
      <c r="K104" s="17">
        <f t="shared" si="9"/>
        <v>27470</v>
      </c>
      <c r="L104" s="18">
        <f t="shared" si="10"/>
        <v>17600</v>
      </c>
      <c r="M104" s="18">
        <f t="shared" si="11"/>
        <v>5000</v>
      </c>
      <c r="N104" s="18">
        <f t="shared" si="12"/>
        <v>5000</v>
      </c>
      <c r="O104" s="18">
        <f t="shared" si="13"/>
        <v>22000</v>
      </c>
      <c r="P104" s="17">
        <f t="shared" si="14"/>
        <v>20.5059090909091</v>
      </c>
      <c r="Q104" s="17">
        <f t="shared" si="15"/>
        <v>0</v>
      </c>
      <c r="R104" s="19" t="str">
        <f ca="1">IF(A104="","",IF(COUNTIF(_TradeIds,A104)=0,"违规：交易编号不存在",IF(OR(B104="",B104&lt;1,B104&gt;5,B104&lt;&gt;INT(B104)),"违规：加仓序号须为1到5的整数",IF(COUNTIFS($A$2:$A$1001,A104,$B$2:$B$1001,B104)&gt;1,"违规：同一交易的加仓序号重复",IF(OR(D104="",E104="",F104=""),"计划不完整：请填写加仓价、新止损价和风险预算",IF(OR(D104&lt;=0,E104&lt;=0,F104&lt;=0,D104&lt;=E104),"违规：加仓价必须高于新止损价，金额须大于0",IF(AND(B104&gt;1,COUNTIFS($A$2:$A$1001,A104,$B$2:$B$1001,B104-1,$G$2:$G$1001,"&gt;0")=0),"违规：须先完成上一次加仓",IF(AND(B104&gt;1,E104&lt;SUMIFS($E$2:$E$1001,$A$2:$A$1001,A104,$B$2:$B$1001,B104-1)),"违规：新止损价不得低于上一次",IF(AND(B104&gt;1,F104&gt;SUMIFS($F$2:$F$1001,$A$2:$A$1001,A104,$B$2:$B$1001,B104-1)),"违规：风险预算须逐次不增加",IF(OR(_LockStatus="已锁仓",_LockStatus="解锁信息不完整"),"违规：锁仓期间禁止加仓",IF(G104="","计划可执行：建议股数见N列",IF(OR(G104&lt;=0,G104&lt;&gt;INT(G104),MOD(G104,100)&lt;&gt;0),"违规：实际股数须为100股整数倍",IF(G104&gt;N104,"违规：实际股数超过风险或金字塔上限",IF(AND(B104&gt;1,G104&gt;SUMIFS($G$2:$G$1001,$A$2:$A$1001,A104,$B$2:$B$1001,B104-1)),"违规：加仓股数须逐次不增加",IF(Q104&gt;F104,"违规：止损风险超过本次预算","通过")))))))))))))))</f>
        <v>通过</v>
      </c>
    </row>
    <row r="105" ht="17" spans="1:18">
      <c r="A105" s="13">
        <v>40</v>
      </c>
      <c r="B105" s="14">
        <v>1</v>
      </c>
      <c r="C105" s="15">
        <v>43159</v>
      </c>
      <c r="D105" s="16">
        <v>21.33</v>
      </c>
      <c r="E105" s="16">
        <v>20</v>
      </c>
      <c r="F105" s="16">
        <v>1</v>
      </c>
      <c r="G105" s="14">
        <v>5000</v>
      </c>
      <c r="H105" s="17">
        <f t="shared" si="8"/>
        <v>106650</v>
      </c>
      <c r="I105" s="18">
        <f>IF(OR(A105="",B105=""),"",IFERROR(LOOKUP(2,1/(单次交易!$A$2:$A$201=A105),单次交易!$H$2:$H$201),0)+SUMIFS($G$2:$G$1001,$A$2:$A$1001,A105,$B$2:$B$1001,"&lt;"&amp;B105))</f>
        <v>4500</v>
      </c>
      <c r="J105" s="17">
        <f>IF(OR(A105="",B105=""),"",IFERROR(LOOKUP(2,1/(单次交易!$A$2:$A$201=A105),单次交易!$E$2:$E$201)*LOOKUP(2,1/(单次交易!$A$2:$A$201=A105),单次交易!$H$2:$H$201),0)+SUMIFS($H$2:$H$1001,$A$2:$A$1001,A105,$B$2:$B$1001,"&lt;"&amp;B105))</f>
        <v>92340</v>
      </c>
      <c r="K105" s="17">
        <f t="shared" si="9"/>
        <v>0</v>
      </c>
      <c r="L105" s="18">
        <f t="shared" si="10"/>
        <v>0</v>
      </c>
      <c r="M105" s="18">
        <f t="shared" si="11"/>
        <v>0</v>
      </c>
      <c r="N105" s="18">
        <f t="shared" si="12"/>
        <v>0</v>
      </c>
      <c r="O105" s="18">
        <f t="shared" si="13"/>
        <v>9500</v>
      </c>
      <c r="P105" s="17">
        <f t="shared" si="14"/>
        <v>20.9463157894737</v>
      </c>
      <c r="Q105" s="17">
        <f t="shared" si="15"/>
        <v>8990</v>
      </c>
      <c r="R105" s="19" t="str">
        <f ca="1">IF(A105="","",IF(COUNTIF(_TradeIds,A105)=0,"违规：交易编号不存在",IF(OR(B105="",B105&lt;1,B105&gt;5,B105&lt;&gt;INT(B105)),"违规：加仓序号须为1到5的整数",IF(COUNTIFS($A$2:$A$1001,A105,$B$2:$B$1001,B105)&gt;1,"违规：同一交易的加仓序号重复",IF(OR(D105="",E105="",F105=""),"计划不完整：请填写加仓价、新止损价和风险预算",IF(OR(D105&lt;=0,E105&lt;=0,F105&lt;=0,D105&lt;=E105),"违规：加仓价必须高于新止损价，金额须大于0",IF(AND(B105&gt;1,COUNTIFS($A$2:$A$1001,A105,$B$2:$B$1001,B105-1,$G$2:$G$1001,"&gt;0")=0),"违规：须先完成上一次加仓",IF(AND(B105&gt;1,E105&lt;SUMIFS($E$2:$E$1001,$A$2:$A$1001,A105,$B$2:$B$1001,B105-1)),"违规：新止损价不得低于上一次",IF(AND(B105&gt;1,F105&gt;SUMIFS($F$2:$F$1001,$A$2:$A$1001,A105,$B$2:$B$1001,B105-1)),"违规：风险预算须逐次不增加",IF(OR(_LockStatus="已锁仓",_LockStatus="解锁信息不完整"),"违规：锁仓期间禁止加仓",IF(G105="","计划可执行：建议股数见N列",IF(OR(G105&lt;=0,G105&lt;&gt;INT(G105),MOD(G105,100)&lt;&gt;0),"违规：实际股数须为100股整数倍",IF(G105&gt;N105,"违规：实际股数超过风险或金字塔上限",IF(AND(B105&gt;1,G105&gt;SUMIFS($G$2:$G$1001,$A$2:$A$1001,A105,$B$2:$B$1001,B105-1)),"违规：加仓股数须逐次不增加",IF(Q105&gt;F105,"违规：止损风险超过本次预算","通过")))))))))))))))</f>
        <v>违规：实际股数超过风险或金字塔上限</v>
      </c>
    </row>
    <row r="106" ht="17" spans="1:18">
      <c r="A106" s="13">
        <v>40</v>
      </c>
      <c r="B106" s="14">
        <v>2</v>
      </c>
      <c r="C106" s="15">
        <v>43165</v>
      </c>
      <c r="D106" s="16">
        <v>22.65</v>
      </c>
      <c r="E106" s="16">
        <v>21</v>
      </c>
      <c r="F106" s="16">
        <v>1</v>
      </c>
      <c r="G106" s="14">
        <v>5000</v>
      </c>
      <c r="H106" s="17">
        <f t="shared" si="8"/>
        <v>113250</v>
      </c>
      <c r="I106" s="18">
        <f>IF(OR(A106="",B106=""),"",IFERROR(LOOKUP(2,1/(单次交易!$A$2:$A$201=A106),单次交易!$H$2:$H$201),0)+SUMIFS($G$2:$G$1001,$A$2:$A$1001,A106,$B$2:$B$1001,"&lt;"&amp;B106))</f>
        <v>9500</v>
      </c>
      <c r="J106" s="17">
        <f>IF(OR(A106="",B106=""),"",IFERROR(LOOKUP(2,1/(单次交易!$A$2:$A$201=A106),单次交易!$E$2:$E$201)*LOOKUP(2,1/(单次交易!$A$2:$A$201=A106),单次交易!$H$2:$H$201),0)+SUMIFS($H$2:$H$1001,$A$2:$A$1001,A106,$B$2:$B$1001,"&lt;"&amp;B106))</f>
        <v>198990</v>
      </c>
      <c r="K106" s="17">
        <f t="shared" si="9"/>
        <v>510</v>
      </c>
      <c r="L106" s="18">
        <f t="shared" si="10"/>
        <v>300</v>
      </c>
      <c r="M106" s="18">
        <f t="shared" si="11"/>
        <v>5000</v>
      </c>
      <c r="N106" s="18">
        <f t="shared" si="12"/>
        <v>300</v>
      </c>
      <c r="O106" s="18">
        <f t="shared" si="13"/>
        <v>14500</v>
      </c>
      <c r="P106" s="17">
        <f t="shared" si="14"/>
        <v>21.5337931034483</v>
      </c>
      <c r="Q106" s="17">
        <f t="shared" si="15"/>
        <v>7740</v>
      </c>
      <c r="R106" s="19" t="str">
        <f ca="1">IF(A106="","",IF(COUNTIF(_TradeIds,A106)=0,"违规：交易编号不存在",IF(OR(B106="",B106&lt;1,B106&gt;5,B106&lt;&gt;INT(B106)),"违规：加仓序号须为1到5的整数",IF(COUNTIFS($A$2:$A$1001,A106,$B$2:$B$1001,B106)&gt;1,"违规：同一交易的加仓序号重复",IF(OR(D106="",E106="",F106=""),"计划不完整：请填写加仓价、新止损价和风险预算",IF(OR(D106&lt;=0,E106&lt;=0,F106&lt;=0,D106&lt;=E106),"违规：加仓价必须高于新止损价，金额须大于0",IF(AND(B106&gt;1,COUNTIFS($A$2:$A$1001,A106,$B$2:$B$1001,B106-1,$G$2:$G$1001,"&gt;0")=0),"违规：须先完成上一次加仓",IF(AND(B106&gt;1,E106&lt;SUMIFS($E$2:$E$1001,$A$2:$A$1001,A106,$B$2:$B$1001,B106-1)),"违规：新止损价不得低于上一次",IF(AND(B106&gt;1,F106&gt;SUMIFS($F$2:$F$1001,$A$2:$A$1001,A106,$B$2:$B$1001,B106-1)),"违规：风险预算须逐次不增加",IF(OR(_LockStatus="已锁仓",_LockStatus="解锁信息不完整"),"违规：锁仓期间禁止加仓",IF(G106="","计划可执行：建议股数见N列",IF(OR(G106&lt;=0,G106&lt;&gt;INT(G106),MOD(G106,100)&lt;&gt;0),"违规：实际股数须为100股整数倍",IF(G106&gt;N106,"违规：实际股数超过风险或金字塔上限",IF(AND(B106&gt;1,G106&gt;SUMIFS($G$2:$G$1001,$A$2:$A$1001,A106,$B$2:$B$1001,B106-1)),"违规：加仓股数须逐次不增加",IF(Q106&gt;F106,"违规：止损风险超过本次预算","通过")))))))))))))))</f>
        <v>违规：实际股数超过风险或金字塔上限</v>
      </c>
    </row>
    <row r="107" ht="17" spans="1:18">
      <c r="A107" s="13">
        <v>40</v>
      </c>
      <c r="B107" s="14">
        <v>3</v>
      </c>
      <c r="C107" s="15">
        <v>43167</v>
      </c>
      <c r="D107" s="16">
        <v>25.69</v>
      </c>
      <c r="E107" s="16">
        <v>23</v>
      </c>
      <c r="F107" s="16">
        <v>1</v>
      </c>
      <c r="G107" s="14">
        <v>2000</v>
      </c>
      <c r="H107" s="17">
        <f t="shared" si="8"/>
        <v>51380</v>
      </c>
      <c r="I107" s="18">
        <f>IF(OR(A107="",B107=""),"",IFERROR(LOOKUP(2,1/(单次交易!$A$2:$A$201=A107),单次交易!$H$2:$H$201),0)+SUMIFS($G$2:$G$1001,$A$2:$A$1001,A107,$B$2:$B$1001,"&lt;"&amp;B107))</f>
        <v>14500</v>
      </c>
      <c r="J107" s="17">
        <f>IF(OR(A107="",B107=""),"",IFERROR(LOOKUP(2,1/(单次交易!$A$2:$A$201=A107),单次交易!$E$2:$E$201)*LOOKUP(2,1/(单次交易!$A$2:$A$201=A107),单次交易!$H$2:$H$201),0)+SUMIFS($H$2:$H$1001,$A$2:$A$1001,A107,$B$2:$B$1001,"&lt;"&amp;B107))</f>
        <v>312240</v>
      </c>
      <c r="K107" s="17">
        <f t="shared" si="9"/>
        <v>21260</v>
      </c>
      <c r="L107" s="18">
        <f t="shared" si="10"/>
        <v>7900</v>
      </c>
      <c r="M107" s="18">
        <f t="shared" si="11"/>
        <v>5000</v>
      </c>
      <c r="N107" s="18">
        <f t="shared" si="12"/>
        <v>5000</v>
      </c>
      <c r="O107" s="18">
        <f t="shared" si="13"/>
        <v>16500</v>
      </c>
      <c r="P107" s="17">
        <f t="shared" si="14"/>
        <v>22.0375757575758</v>
      </c>
      <c r="Q107" s="17">
        <f t="shared" si="15"/>
        <v>0</v>
      </c>
      <c r="R107" s="19" t="str">
        <f ca="1">IF(A107="","",IF(COUNTIF(_TradeIds,A107)=0,"违规：交易编号不存在",IF(OR(B107="",B107&lt;1,B107&gt;5,B107&lt;&gt;INT(B107)),"违规：加仓序号须为1到5的整数",IF(COUNTIFS($A$2:$A$1001,A107,$B$2:$B$1001,B107)&gt;1,"违规：同一交易的加仓序号重复",IF(OR(D107="",E107="",F107=""),"计划不完整：请填写加仓价、新止损价和风险预算",IF(OR(D107&lt;=0,E107&lt;=0,F107&lt;=0,D107&lt;=E107),"违规：加仓价必须高于新止损价，金额须大于0",IF(AND(B107&gt;1,COUNTIFS($A$2:$A$1001,A107,$B$2:$B$1001,B107-1,$G$2:$G$1001,"&gt;0")=0),"违规：须先完成上一次加仓",IF(AND(B107&gt;1,E107&lt;SUMIFS($E$2:$E$1001,$A$2:$A$1001,A107,$B$2:$B$1001,B107-1)),"违规：新止损价不得低于上一次",IF(AND(B107&gt;1,F107&gt;SUMIFS($F$2:$F$1001,$A$2:$A$1001,A107,$B$2:$B$1001,B107-1)),"违规：风险预算须逐次不增加",IF(OR(_LockStatus="已锁仓",_LockStatus="解锁信息不完整"),"违规：锁仓期间禁止加仓",IF(G107="","计划可执行：建议股数见N列",IF(OR(G107&lt;=0,G107&lt;&gt;INT(G107),MOD(G107,100)&lt;&gt;0),"违规：实际股数须为100股整数倍",IF(G107&gt;N107,"违规：实际股数超过风险或金字塔上限",IF(AND(B107&gt;1,G107&gt;SUMIFS($G$2:$G$1001,$A$2:$A$1001,A107,$B$2:$B$1001,B107-1)),"违规：加仓股数须逐次不增加",IF(Q107&gt;F107,"违规：止损风险超过本次预算","通过")))))))))))))))</f>
        <v>通过</v>
      </c>
    </row>
    <row r="108" ht="17" spans="1:18">
      <c r="A108" s="13">
        <v>42</v>
      </c>
      <c r="B108" s="14">
        <v>1</v>
      </c>
      <c r="C108" s="15">
        <v>43217</v>
      </c>
      <c r="D108" s="16">
        <v>28.74</v>
      </c>
      <c r="E108" s="16">
        <v>27</v>
      </c>
      <c r="F108" s="16">
        <v>1</v>
      </c>
      <c r="G108" s="14">
        <v>4000</v>
      </c>
      <c r="H108" s="17">
        <f t="shared" si="8"/>
        <v>114960</v>
      </c>
      <c r="I108" s="18">
        <f>IF(OR(A108="",B108=""),"",IFERROR(LOOKUP(2,1/(单次交易!$A$2:$A$201=A108),单次交易!$H$2:$H$201),0)+SUMIFS($G$2:$G$1001,$A$2:$A$1001,A108,$B$2:$B$1001,"&lt;"&amp;B108))</f>
        <v>3500</v>
      </c>
      <c r="J108" s="17">
        <f>IF(OR(A108="",B108=""),"",IFERROR(LOOKUP(2,1/(单次交易!$A$2:$A$201=A108),单次交易!$E$2:$E$201)*LOOKUP(2,1/(单次交易!$A$2:$A$201=A108),单次交易!$H$2:$H$201),0)+SUMIFS($H$2:$H$1001,$A$2:$A$1001,A108,$B$2:$B$1001,"&lt;"&amp;B108))</f>
        <v>94570</v>
      </c>
      <c r="K108" s="17">
        <f t="shared" si="9"/>
        <v>0</v>
      </c>
      <c r="L108" s="18">
        <f t="shared" si="10"/>
        <v>0</v>
      </c>
      <c r="M108" s="18">
        <f t="shared" si="11"/>
        <v>0</v>
      </c>
      <c r="N108" s="18">
        <f t="shared" si="12"/>
        <v>0</v>
      </c>
      <c r="O108" s="18">
        <f t="shared" si="13"/>
        <v>7500</v>
      </c>
      <c r="P108" s="17">
        <f t="shared" si="14"/>
        <v>27.9373333333333</v>
      </c>
      <c r="Q108" s="17">
        <f t="shared" si="15"/>
        <v>7030</v>
      </c>
      <c r="R108" s="19" t="str">
        <f ca="1">IF(A108="","",IF(COUNTIF(_TradeIds,A108)=0,"违规：交易编号不存在",IF(OR(B108="",B108&lt;1,B108&gt;5,B108&lt;&gt;INT(B108)),"违规：加仓序号须为1到5的整数",IF(COUNTIFS($A$2:$A$1001,A108,$B$2:$B$1001,B108)&gt;1,"违规：同一交易的加仓序号重复",IF(OR(D108="",E108="",F108=""),"计划不完整：请填写加仓价、新止损价和风险预算",IF(OR(D108&lt;=0,E108&lt;=0,F108&lt;=0,D108&lt;=E108),"违规：加仓价必须高于新止损价，金额须大于0",IF(AND(B108&gt;1,COUNTIFS($A$2:$A$1001,A108,$B$2:$B$1001,B108-1,$G$2:$G$1001,"&gt;0")=0),"违规：须先完成上一次加仓",IF(AND(B108&gt;1,E108&lt;SUMIFS($E$2:$E$1001,$A$2:$A$1001,A108,$B$2:$B$1001,B108-1)),"违规：新止损价不得低于上一次",IF(AND(B108&gt;1,F108&gt;SUMIFS($F$2:$F$1001,$A$2:$A$1001,A108,$B$2:$B$1001,B108-1)),"违规：风险预算须逐次不增加",IF(OR(_LockStatus="已锁仓",_LockStatus="解锁信息不完整"),"违规：锁仓期间禁止加仓",IF(G108="","计划可执行：建议股数见N列",IF(OR(G108&lt;=0,G108&lt;&gt;INT(G108),MOD(G108,100)&lt;&gt;0),"违规：实际股数须为100股整数倍",IF(G108&gt;N108,"违规：实际股数超过风险或金字塔上限",IF(AND(B108&gt;1,G108&gt;SUMIFS($G$2:$G$1001,$A$2:$A$1001,A108,$B$2:$B$1001,B108-1)),"违规：加仓股数须逐次不增加",IF(Q108&gt;F108,"违规：止损风险超过本次预算","通过")))))))))))))))</f>
        <v>违规：实际股数超过风险或金字塔上限</v>
      </c>
    </row>
    <row r="109" ht="17" spans="1:18">
      <c r="A109" s="13">
        <v>42</v>
      </c>
      <c r="B109" s="14">
        <v>2</v>
      </c>
      <c r="C109" s="15">
        <v>43225</v>
      </c>
      <c r="D109" s="16">
        <v>31.44</v>
      </c>
      <c r="E109" s="16">
        <v>30</v>
      </c>
      <c r="F109" s="16">
        <v>1</v>
      </c>
      <c r="G109" s="14">
        <v>4000</v>
      </c>
      <c r="H109" s="17">
        <f t="shared" si="8"/>
        <v>125760</v>
      </c>
      <c r="I109" s="18">
        <f>IF(OR(A109="",B109=""),"",IFERROR(LOOKUP(2,1/(单次交易!$A$2:$A$201=A109),单次交易!$H$2:$H$201),0)+SUMIFS($G$2:$G$1001,$A$2:$A$1001,A109,$B$2:$B$1001,"&lt;"&amp;B109))</f>
        <v>7500</v>
      </c>
      <c r="J109" s="17">
        <f>IF(OR(A109="",B109=""),"",IFERROR(LOOKUP(2,1/(单次交易!$A$2:$A$201=A109),单次交易!$E$2:$E$201)*LOOKUP(2,1/(单次交易!$A$2:$A$201=A109),单次交易!$H$2:$H$201),0)+SUMIFS($H$2:$H$1001,$A$2:$A$1001,A109,$B$2:$B$1001,"&lt;"&amp;B109))</f>
        <v>209530</v>
      </c>
      <c r="K109" s="17">
        <f t="shared" si="9"/>
        <v>15470</v>
      </c>
      <c r="L109" s="18">
        <f t="shared" si="10"/>
        <v>10700</v>
      </c>
      <c r="M109" s="18">
        <f t="shared" si="11"/>
        <v>4000</v>
      </c>
      <c r="N109" s="18">
        <f t="shared" si="12"/>
        <v>4000</v>
      </c>
      <c r="O109" s="18">
        <f t="shared" si="13"/>
        <v>11500</v>
      </c>
      <c r="P109" s="17">
        <f t="shared" si="14"/>
        <v>29.155652173913</v>
      </c>
      <c r="Q109" s="17">
        <f t="shared" si="15"/>
        <v>0</v>
      </c>
      <c r="R109" s="19" t="str">
        <f ca="1">IF(A109="","",IF(COUNTIF(_TradeIds,A109)=0,"违规：交易编号不存在",IF(OR(B109="",B109&lt;1,B109&gt;5,B109&lt;&gt;INT(B109)),"违规：加仓序号须为1到5的整数",IF(COUNTIFS($A$2:$A$1001,A109,$B$2:$B$1001,B109)&gt;1,"违规：同一交易的加仓序号重复",IF(OR(D109="",E109="",F109=""),"计划不完整：请填写加仓价、新止损价和风险预算",IF(OR(D109&lt;=0,E109&lt;=0,F109&lt;=0,D109&lt;=E109),"违规：加仓价必须高于新止损价，金额须大于0",IF(AND(B109&gt;1,COUNTIFS($A$2:$A$1001,A109,$B$2:$B$1001,B109-1,$G$2:$G$1001,"&gt;0")=0),"违规：须先完成上一次加仓",IF(AND(B109&gt;1,E109&lt;SUMIFS($E$2:$E$1001,$A$2:$A$1001,A109,$B$2:$B$1001,B109-1)),"违规：新止损价不得低于上一次",IF(AND(B109&gt;1,F109&gt;SUMIFS($F$2:$F$1001,$A$2:$A$1001,A109,$B$2:$B$1001,B109-1)),"违规：风险预算须逐次不增加",IF(OR(_LockStatus="已锁仓",_LockStatus="解锁信息不完整"),"违规：锁仓期间禁止加仓",IF(G109="","计划可执行：建议股数见N列",IF(OR(G109&lt;=0,G109&lt;&gt;INT(G109),MOD(G109,100)&lt;&gt;0),"违规：实际股数须为100股整数倍",IF(G109&gt;N109,"违规：实际股数超过风险或金字塔上限",IF(AND(B109&gt;1,G109&gt;SUMIFS($G$2:$G$1001,$A$2:$A$1001,A109,$B$2:$B$1001,B109-1)),"违规：加仓股数须逐次不增加",IF(Q109&gt;F109,"违规：止损风险超过本次预算","通过")))))))))))))))</f>
        <v>通过</v>
      </c>
    </row>
    <row r="110" ht="17" spans="1:18">
      <c r="A110" s="13">
        <v>45</v>
      </c>
      <c r="B110" s="14">
        <v>1</v>
      </c>
      <c r="C110" s="15">
        <v>43454</v>
      </c>
      <c r="D110" s="16">
        <v>17.54</v>
      </c>
      <c r="E110" s="16">
        <v>16.5</v>
      </c>
      <c r="F110" s="16">
        <v>1</v>
      </c>
      <c r="G110" s="14">
        <v>3000</v>
      </c>
      <c r="H110" s="17">
        <f t="shared" si="8"/>
        <v>52620</v>
      </c>
      <c r="I110" s="18">
        <f>IF(OR(A110="",B110=""),"",IFERROR(LOOKUP(2,1/(单次交易!$A$2:$A$201=A110),单次交易!$H$2:$H$201),0)+SUMIFS($G$2:$G$1001,$A$2:$A$1001,A110,$B$2:$B$1001,"&lt;"&amp;B110))</f>
        <v>6700</v>
      </c>
      <c r="J110" s="17">
        <f>IF(OR(A110="",B110=""),"",IFERROR(LOOKUP(2,1/(单次交易!$A$2:$A$201=A110),单次交易!$E$2:$E$201)*LOOKUP(2,1/(单次交易!$A$2:$A$201=A110),单次交易!$H$2:$H$201),0)+SUMIFS($H$2:$H$1001,$A$2:$A$1001,A110,$B$2:$B$1001,"&lt;"&amp;B110))</f>
        <v>119930</v>
      </c>
      <c r="K110" s="17">
        <f t="shared" si="9"/>
        <v>0</v>
      </c>
      <c r="L110" s="18">
        <f t="shared" si="10"/>
        <v>0</v>
      </c>
      <c r="M110" s="18">
        <f t="shared" si="11"/>
        <v>0</v>
      </c>
      <c r="N110" s="18">
        <f t="shared" si="12"/>
        <v>0</v>
      </c>
      <c r="O110" s="18">
        <f t="shared" si="13"/>
        <v>9700</v>
      </c>
      <c r="P110" s="17">
        <f t="shared" si="14"/>
        <v>17.7886597938144</v>
      </c>
      <c r="Q110" s="17">
        <f t="shared" si="15"/>
        <v>12500</v>
      </c>
      <c r="R110" s="19" t="str">
        <f ca="1">IF(A110="","",IF(COUNTIF(_TradeIds,A110)=0,"违规：交易编号不存在",IF(OR(B110="",B110&lt;1,B110&gt;5,B110&lt;&gt;INT(B110)),"违规：加仓序号须为1到5的整数",IF(COUNTIFS($A$2:$A$1001,A110,$B$2:$B$1001,B110)&gt;1,"违规：同一交易的加仓序号重复",IF(OR(D110="",E110="",F110=""),"计划不完整：请填写加仓价、新止损价和风险预算",IF(OR(D110&lt;=0,E110&lt;=0,F110&lt;=0,D110&lt;=E110),"违规：加仓价必须高于新止损价，金额须大于0",IF(AND(B110&gt;1,COUNTIFS($A$2:$A$1001,A110,$B$2:$B$1001,B110-1,$G$2:$G$1001,"&gt;0")=0),"违规：须先完成上一次加仓",IF(AND(B110&gt;1,E110&lt;SUMIFS($E$2:$E$1001,$A$2:$A$1001,A110,$B$2:$B$1001,B110-1)),"违规：新止损价不得低于上一次",IF(AND(B110&gt;1,F110&gt;SUMIFS($F$2:$F$1001,$A$2:$A$1001,A110,$B$2:$B$1001,B110-1)),"违规：风险预算须逐次不增加",IF(OR(_LockStatus="已锁仓",_LockStatus="解锁信息不完整"),"违规：锁仓期间禁止加仓",IF(G110="","计划可执行：建议股数见N列",IF(OR(G110&lt;=0,G110&lt;&gt;INT(G110),MOD(G110,100)&lt;&gt;0),"违规：实际股数须为100股整数倍",IF(G110&gt;N110,"违规：实际股数超过风险或金字塔上限",IF(AND(B110&gt;1,G110&gt;SUMIFS($G$2:$G$1001,$A$2:$A$1001,A110,$B$2:$B$1001,B110-1)),"违规：加仓股数须逐次不增加",IF(Q110&gt;F110,"违规：止损风险超过本次预算","通过")))))))))))))))</f>
        <v>违规：实际股数超过风险或金字塔上限</v>
      </c>
    </row>
    <row r="111" ht="17" spans="1:18">
      <c r="A111" s="13">
        <v>45</v>
      </c>
      <c r="B111" s="14">
        <v>2</v>
      </c>
      <c r="C111" s="15">
        <v>43483</v>
      </c>
      <c r="D111" s="16">
        <v>17.55</v>
      </c>
      <c r="E111" s="16">
        <v>15</v>
      </c>
      <c r="F111" s="16">
        <v>1</v>
      </c>
      <c r="G111" s="14">
        <v>3000</v>
      </c>
      <c r="H111" s="17">
        <f t="shared" si="8"/>
        <v>52650</v>
      </c>
      <c r="I111" s="18">
        <f>IF(OR(A111="",B111=""),"",IFERROR(LOOKUP(2,1/(单次交易!$A$2:$A$201=A111),单次交易!$H$2:$H$201),0)+SUMIFS($G$2:$G$1001,$A$2:$A$1001,A111,$B$2:$B$1001,"&lt;"&amp;B111))</f>
        <v>9700</v>
      </c>
      <c r="J111" s="17">
        <f>IF(OR(A111="",B111=""),"",IFERROR(LOOKUP(2,1/(单次交易!$A$2:$A$201=A111),单次交易!$E$2:$E$201)*LOOKUP(2,1/(单次交易!$A$2:$A$201=A111),单次交易!$H$2:$H$201),0)+SUMIFS($H$2:$H$1001,$A$2:$A$1001,A111,$B$2:$B$1001,"&lt;"&amp;B111))</f>
        <v>172550</v>
      </c>
      <c r="K111" s="17">
        <f t="shared" si="9"/>
        <v>0</v>
      </c>
      <c r="L111" s="18">
        <f t="shared" si="10"/>
        <v>0</v>
      </c>
      <c r="M111" s="18">
        <f t="shared" si="11"/>
        <v>3000</v>
      </c>
      <c r="N111" s="18">
        <f t="shared" si="12"/>
        <v>0</v>
      </c>
      <c r="O111" s="18">
        <f t="shared" si="13"/>
        <v>12700</v>
      </c>
      <c r="P111" s="17">
        <f t="shared" si="14"/>
        <v>17.7322834645669</v>
      </c>
      <c r="Q111" s="17">
        <f t="shared" si="15"/>
        <v>34700</v>
      </c>
      <c r="R111" s="19" t="str">
        <f ca="1">IF(A111="","",IF(COUNTIF(_TradeIds,A111)=0,"违规：交易编号不存在",IF(OR(B111="",B111&lt;1,B111&gt;5,B111&lt;&gt;INT(B111)),"违规：加仓序号须为1到5的整数",IF(COUNTIFS($A$2:$A$1001,A111,$B$2:$B$1001,B111)&gt;1,"违规：同一交易的加仓序号重复",IF(OR(D111="",E111="",F111=""),"计划不完整：请填写加仓价、新止损价和风险预算",IF(OR(D111&lt;=0,E111&lt;=0,F111&lt;=0,D111&lt;=E111),"违规：加仓价必须高于新止损价，金额须大于0",IF(AND(B111&gt;1,COUNTIFS($A$2:$A$1001,A111,$B$2:$B$1001,B111-1,$G$2:$G$1001,"&gt;0")=0),"违规：须先完成上一次加仓",IF(AND(B111&gt;1,E111&lt;SUMIFS($E$2:$E$1001,$A$2:$A$1001,A111,$B$2:$B$1001,B111-1)),"违规：新止损价不得低于上一次",IF(AND(B111&gt;1,F111&gt;SUMIFS($F$2:$F$1001,$A$2:$A$1001,A111,$B$2:$B$1001,B111-1)),"违规：风险预算须逐次不增加",IF(OR(_LockStatus="已锁仓",_LockStatus="解锁信息不完整"),"违规：锁仓期间禁止加仓",IF(G111="","计划可执行：建议股数见N列",IF(OR(G111&lt;=0,G111&lt;&gt;INT(G111),MOD(G111,100)&lt;&gt;0),"违规：实际股数须为100股整数倍",IF(G111&gt;N111,"违规：实际股数超过风险或金字塔上限",IF(AND(B111&gt;1,G111&gt;SUMIFS($G$2:$G$1001,$A$2:$A$1001,A111,$B$2:$B$1001,B111-1)),"违规：加仓股数须逐次不增加",IF(Q111&gt;F111,"违规：止损风险超过本次预算","通过")))))))))))))))</f>
        <v>违规：新止损价不得低于上一次</v>
      </c>
    </row>
    <row r="112" ht="17" spans="1:18">
      <c r="A112" s="13">
        <v>45</v>
      </c>
      <c r="B112" s="14">
        <v>3</v>
      </c>
      <c r="C112" s="15">
        <v>43507</v>
      </c>
      <c r="D112" s="16">
        <v>18.72</v>
      </c>
      <c r="E112" s="16">
        <v>17.5</v>
      </c>
      <c r="F112" s="16">
        <v>1</v>
      </c>
      <c r="G112" s="14">
        <v>3000</v>
      </c>
      <c r="H112" s="17">
        <f t="shared" si="8"/>
        <v>56160</v>
      </c>
      <c r="I112" s="18">
        <f>IF(OR(A112="",B112=""),"",IFERROR(LOOKUP(2,1/(单次交易!$A$2:$A$201=A112),单次交易!$H$2:$H$201),0)+SUMIFS($G$2:$G$1001,$A$2:$A$1001,A112,$B$2:$B$1001,"&lt;"&amp;B112))</f>
        <v>12700</v>
      </c>
      <c r="J112" s="17">
        <f>IF(OR(A112="",B112=""),"",IFERROR(LOOKUP(2,1/(单次交易!$A$2:$A$201=A112),单次交易!$E$2:$E$201)*LOOKUP(2,1/(单次交易!$A$2:$A$201=A112),单次交易!$H$2:$H$201),0)+SUMIFS($H$2:$H$1001,$A$2:$A$1001,A112,$B$2:$B$1001,"&lt;"&amp;B112))</f>
        <v>225200</v>
      </c>
      <c r="K112" s="17">
        <f t="shared" si="9"/>
        <v>0</v>
      </c>
      <c r="L112" s="18">
        <f t="shared" si="10"/>
        <v>0</v>
      </c>
      <c r="M112" s="18">
        <f t="shared" si="11"/>
        <v>3000</v>
      </c>
      <c r="N112" s="18">
        <f t="shared" si="12"/>
        <v>0</v>
      </c>
      <c r="O112" s="18">
        <f t="shared" si="13"/>
        <v>15700</v>
      </c>
      <c r="P112" s="17">
        <f t="shared" si="14"/>
        <v>17.9210191082803</v>
      </c>
      <c r="Q112" s="17">
        <f t="shared" si="15"/>
        <v>6610</v>
      </c>
      <c r="R112" s="19" t="str">
        <f ca="1">IF(A112="","",IF(COUNTIF(_TradeIds,A112)=0,"违规：交易编号不存在",IF(OR(B112="",B112&lt;1,B112&gt;5,B112&lt;&gt;INT(B112)),"违规：加仓序号须为1到5的整数",IF(COUNTIFS($A$2:$A$1001,A112,$B$2:$B$1001,B112)&gt;1,"违规：同一交易的加仓序号重复",IF(OR(D112="",E112="",F112=""),"计划不完整：请填写加仓价、新止损价和风险预算",IF(OR(D112&lt;=0,E112&lt;=0,F112&lt;=0,D112&lt;=E112),"违规：加仓价必须高于新止损价，金额须大于0",IF(AND(B112&gt;1,COUNTIFS($A$2:$A$1001,A112,$B$2:$B$1001,B112-1,$G$2:$G$1001,"&gt;0")=0),"违规：须先完成上一次加仓",IF(AND(B112&gt;1,E112&lt;SUMIFS($E$2:$E$1001,$A$2:$A$1001,A112,$B$2:$B$1001,B112-1)),"违规：新止损价不得低于上一次",IF(AND(B112&gt;1,F112&gt;SUMIFS($F$2:$F$1001,$A$2:$A$1001,A112,$B$2:$B$1001,B112-1)),"违规：风险预算须逐次不增加",IF(OR(_LockStatus="已锁仓",_LockStatus="解锁信息不完整"),"违规：锁仓期间禁止加仓",IF(G112="","计划可执行：建议股数见N列",IF(OR(G112&lt;=0,G112&lt;&gt;INT(G112),MOD(G112,100)&lt;&gt;0),"违规：实际股数须为100股整数倍",IF(G112&gt;N112,"违规：实际股数超过风险或金字塔上限",IF(AND(B112&gt;1,G112&gt;SUMIFS($G$2:$G$1001,$A$2:$A$1001,A112,$B$2:$B$1001,B112-1)),"违规：加仓股数须逐次不增加",IF(Q112&gt;F112,"违规：止损风险超过本次预算","通过")))))))))))))))</f>
        <v>违规：实际股数超过风险或金字塔上限</v>
      </c>
    </row>
    <row r="113" ht="17" spans="1:18">
      <c r="A113" s="13">
        <v>45</v>
      </c>
      <c r="B113" s="14">
        <v>4</v>
      </c>
      <c r="C113" s="15">
        <v>43516</v>
      </c>
      <c r="D113" s="16">
        <v>18.62</v>
      </c>
      <c r="E113" s="16">
        <v>17.5</v>
      </c>
      <c r="F113" s="16">
        <v>1</v>
      </c>
      <c r="G113" s="14">
        <v>5000</v>
      </c>
      <c r="H113" s="17">
        <f t="shared" si="8"/>
        <v>93100</v>
      </c>
      <c r="I113" s="18">
        <f>IF(OR(A113="",B113=""),"",IFERROR(LOOKUP(2,1/(单次交易!$A$2:$A$201=A113),单次交易!$H$2:$H$201),0)+SUMIFS($G$2:$G$1001,$A$2:$A$1001,A113,$B$2:$B$1001,"&lt;"&amp;B113))</f>
        <v>15700</v>
      </c>
      <c r="J113" s="17">
        <f>IF(OR(A113="",B113=""),"",IFERROR(LOOKUP(2,1/(单次交易!$A$2:$A$201=A113),单次交易!$E$2:$E$201)*LOOKUP(2,1/(单次交易!$A$2:$A$201=A113),单次交易!$H$2:$H$201),0)+SUMIFS($H$2:$H$1001,$A$2:$A$1001,A113,$B$2:$B$1001,"&lt;"&amp;B113))</f>
        <v>281360</v>
      </c>
      <c r="K113" s="17">
        <f t="shared" si="9"/>
        <v>0</v>
      </c>
      <c r="L113" s="18">
        <f t="shared" si="10"/>
        <v>0</v>
      </c>
      <c r="M113" s="18">
        <f t="shared" si="11"/>
        <v>3000</v>
      </c>
      <c r="N113" s="18">
        <f t="shared" si="12"/>
        <v>0</v>
      </c>
      <c r="O113" s="18">
        <f t="shared" si="13"/>
        <v>20700</v>
      </c>
      <c r="P113" s="17">
        <f t="shared" si="14"/>
        <v>18.0898550724638</v>
      </c>
      <c r="Q113" s="17">
        <f t="shared" si="15"/>
        <v>12210</v>
      </c>
      <c r="R113" s="19" t="str">
        <f ca="1">IF(A113="","",IF(COUNTIF(_TradeIds,A113)=0,"违规：交易编号不存在",IF(OR(B113="",B113&lt;1,B113&gt;5,B113&lt;&gt;INT(B113)),"违规：加仓序号须为1到5的整数",IF(COUNTIFS($A$2:$A$1001,A113,$B$2:$B$1001,B113)&gt;1,"违规：同一交易的加仓序号重复",IF(OR(D113="",E113="",F113=""),"计划不完整：请填写加仓价、新止损价和风险预算",IF(OR(D113&lt;=0,E113&lt;=0,F113&lt;=0,D113&lt;=E113),"违规：加仓价必须高于新止损价，金额须大于0",IF(AND(B113&gt;1,COUNTIFS($A$2:$A$1001,A113,$B$2:$B$1001,B113-1,$G$2:$G$1001,"&gt;0")=0),"违规：须先完成上一次加仓",IF(AND(B113&gt;1,E113&lt;SUMIFS($E$2:$E$1001,$A$2:$A$1001,A113,$B$2:$B$1001,B113-1)),"违规：新止损价不得低于上一次",IF(AND(B113&gt;1,F113&gt;SUMIFS($F$2:$F$1001,$A$2:$A$1001,A113,$B$2:$B$1001,B113-1)),"违规：风险预算须逐次不增加",IF(OR(_LockStatus="已锁仓",_LockStatus="解锁信息不完整"),"违规：锁仓期间禁止加仓",IF(G113="","计划可执行：建议股数见N列",IF(OR(G113&lt;=0,G113&lt;&gt;INT(G113),MOD(G113,100)&lt;&gt;0),"违规：实际股数须为100股整数倍",IF(G113&gt;N113,"违规：实际股数超过风险或金字塔上限",IF(AND(B113&gt;1,G113&gt;SUMIFS($G$2:$G$1001,$A$2:$A$1001,A113,$B$2:$B$1001,B113-1)),"违规：加仓股数须逐次不增加",IF(Q113&gt;F113,"违规：止损风险超过本次预算","通过")))))))))))))))</f>
        <v>违规：实际股数超过风险或金字塔上限</v>
      </c>
    </row>
    <row r="114" ht="17" spans="1:18">
      <c r="A114" s="13">
        <v>45</v>
      </c>
      <c r="B114" s="14">
        <v>5</v>
      </c>
      <c r="C114" s="15">
        <v>43535</v>
      </c>
      <c r="D114" s="16">
        <v>20.62</v>
      </c>
      <c r="E114" s="16">
        <v>19.5</v>
      </c>
      <c r="F114" s="16">
        <v>1</v>
      </c>
      <c r="G114" s="14">
        <v>4000</v>
      </c>
      <c r="H114" s="17">
        <f t="shared" si="8"/>
        <v>82480</v>
      </c>
      <c r="I114" s="18">
        <f>IF(OR(A114="",B114=""),"",IFERROR(LOOKUP(2,1/(单次交易!$A$2:$A$201=A114),单次交易!$H$2:$H$201),0)+SUMIFS($G$2:$G$1001,$A$2:$A$1001,A114,$B$2:$B$1001,"&lt;"&amp;B114))</f>
        <v>20700</v>
      </c>
      <c r="J114" s="17">
        <f>IF(OR(A114="",B114=""),"",IFERROR(LOOKUP(2,1/(单次交易!$A$2:$A$201=A114),单次交易!$E$2:$E$201)*LOOKUP(2,1/(单次交易!$A$2:$A$201=A114),单次交易!$H$2:$H$201),0)+SUMIFS($H$2:$H$1001,$A$2:$A$1001,A114,$B$2:$B$1001,"&lt;"&amp;B114))</f>
        <v>374460</v>
      </c>
      <c r="K114" s="17">
        <f t="shared" si="9"/>
        <v>29190</v>
      </c>
      <c r="L114" s="18">
        <f t="shared" si="10"/>
        <v>26000</v>
      </c>
      <c r="M114" s="18">
        <f t="shared" si="11"/>
        <v>5000</v>
      </c>
      <c r="N114" s="18">
        <f t="shared" si="12"/>
        <v>5000</v>
      </c>
      <c r="O114" s="18">
        <f t="shared" si="13"/>
        <v>24700</v>
      </c>
      <c r="P114" s="17">
        <f t="shared" si="14"/>
        <v>18.4995951417004</v>
      </c>
      <c r="Q114" s="17">
        <f t="shared" si="15"/>
        <v>0</v>
      </c>
      <c r="R114" s="19" t="str">
        <f ca="1">IF(A114="","",IF(COUNTIF(_TradeIds,A114)=0,"违规：交易编号不存在",IF(OR(B114="",B114&lt;1,B114&gt;5,B114&lt;&gt;INT(B114)),"违规：加仓序号须为1到5的整数",IF(COUNTIFS($A$2:$A$1001,A114,$B$2:$B$1001,B114)&gt;1,"违规：同一交易的加仓序号重复",IF(OR(D114="",E114="",F114=""),"计划不完整：请填写加仓价、新止损价和风险预算",IF(OR(D114&lt;=0,E114&lt;=0,F114&lt;=0,D114&lt;=E114),"违规：加仓价必须高于新止损价，金额须大于0",IF(AND(B114&gt;1,COUNTIFS($A$2:$A$1001,A114,$B$2:$B$1001,B114-1,$G$2:$G$1001,"&gt;0")=0),"违规：须先完成上一次加仓",IF(AND(B114&gt;1,E114&lt;SUMIFS($E$2:$E$1001,$A$2:$A$1001,A114,$B$2:$B$1001,B114-1)),"违规：新止损价不得低于上一次",IF(AND(B114&gt;1,F114&gt;SUMIFS($F$2:$F$1001,$A$2:$A$1001,A114,$B$2:$B$1001,B114-1)),"违规：风险预算须逐次不增加",IF(OR(_LockStatus="已锁仓",_LockStatus="解锁信息不完整"),"违规：锁仓期间禁止加仓",IF(G114="","计划可执行：建议股数见N列",IF(OR(G114&lt;=0,G114&lt;&gt;INT(G114),MOD(G114,100)&lt;&gt;0),"违规：实际股数须为100股整数倍",IF(G114&gt;N114,"违规：实际股数超过风险或金字塔上限",IF(AND(B114&gt;1,G114&gt;SUMIFS($G$2:$G$1001,$A$2:$A$1001,A114,$B$2:$B$1001,B114-1)),"违规：加仓股数须逐次不增加",IF(Q114&gt;F114,"违规：止损风险超过本次预算","通过")))))))))))))))</f>
        <v>通过</v>
      </c>
    </row>
    <row r="115" ht="17" spans="1:18">
      <c r="A115" s="13">
        <v>48</v>
      </c>
      <c r="B115" s="14">
        <v>1</v>
      </c>
      <c r="C115" s="15">
        <v>43832</v>
      </c>
      <c r="D115" s="16">
        <v>20.2</v>
      </c>
      <c r="E115" s="16">
        <v>19.5</v>
      </c>
      <c r="F115" s="16">
        <v>1</v>
      </c>
      <c r="G115" s="14">
        <v>5000</v>
      </c>
      <c r="H115" s="17">
        <f t="shared" si="8"/>
        <v>101000</v>
      </c>
      <c r="I115" s="18">
        <f>IF(OR(A115="",B115=""),"",IFERROR(LOOKUP(2,1/(单次交易!$A$2:$A$201=A115),单次交易!$H$2:$H$201),0)+SUMIFS($G$2:$G$1001,$A$2:$A$1001,A115,$B$2:$B$1001,"&lt;"&amp;B115))</f>
        <v>6400</v>
      </c>
      <c r="J115" s="17">
        <f>IF(OR(A115="",B115=""),"",IFERROR(LOOKUP(2,1/(单次交易!$A$2:$A$201=A115),单次交易!$E$2:$E$201)*LOOKUP(2,1/(单次交易!$A$2:$A$201=A115),单次交易!$H$2:$H$201),0)+SUMIFS($H$2:$H$1001,$A$2:$A$1001,A115,$B$2:$B$1001,"&lt;"&amp;B115))</f>
        <v>130176</v>
      </c>
      <c r="K115" s="17">
        <f t="shared" si="9"/>
        <v>0</v>
      </c>
      <c r="L115" s="18">
        <f t="shared" si="10"/>
        <v>0</v>
      </c>
      <c r="M115" s="18">
        <f t="shared" si="11"/>
        <v>0</v>
      </c>
      <c r="N115" s="18">
        <f t="shared" si="12"/>
        <v>0</v>
      </c>
      <c r="O115" s="18">
        <f t="shared" si="13"/>
        <v>11400</v>
      </c>
      <c r="P115" s="17">
        <f t="shared" si="14"/>
        <v>20.2785964912281</v>
      </c>
      <c r="Q115" s="17">
        <f t="shared" si="15"/>
        <v>8876</v>
      </c>
      <c r="R115" s="19" t="str">
        <f ca="1">IF(A115="","",IF(COUNTIF(_TradeIds,A115)=0,"违规：交易编号不存在",IF(OR(B115="",B115&lt;1,B115&gt;5,B115&lt;&gt;INT(B115)),"违规：加仓序号须为1到5的整数",IF(COUNTIFS($A$2:$A$1001,A115,$B$2:$B$1001,B115)&gt;1,"违规：同一交易的加仓序号重复",IF(OR(D115="",E115="",F115=""),"计划不完整：请填写加仓价、新止损价和风险预算",IF(OR(D115&lt;=0,E115&lt;=0,F115&lt;=0,D115&lt;=E115),"违规：加仓价必须高于新止损价，金额须大于0",IF(AND(B115&gt;1,COUNTIFS($A$2:$A$1001,A115,$B$2:$B$1001,B115-1,$G$2:$G$1001,"&gt;0")=0),"违规：须先完成上一次加仓",IF(AND(B115&gt;1,E115&lt;SUMIFS($E$2:$E$1001,$A$2:$A$1001,A115,$B$2:$B$1001,B115-1)),"违规：新止损价不得低于上一次",IF(AND(B115&gt;1,F115&gt;SUMIFS($F$2:$F$1001,$A$2:$A$1001,A115,$B$2:$B$1001,B115-1)),"违规：风险预算须逐次不增加",IF(OR(_LockStatus="已锁仓",_LockStatus="解锁信息不完整"),"违规：锁仓期间禁止加仓",IF(G115="","计划可执行：建议股数见N列",IF(OR(G115&lt;=0,G115&lt;&gt;INT(G115),MOD(G115,100)&lt;&gt;0),"违规：实际股数须为100股整数倍",IF(G115&gt;N115,"违规：实际股数超过风险或金字塔上限",IF(AND(B115&gt;1,G115&gt;SUMIFS($G$2:$G$1001,$A$2:$A$1001,A115,$B$2:$B$1001,B115-1)),"违规：加仓股数须逐次不增加",IF(Q115&gt;F115,"违规：止损风险超过本次预算","通过")))))))))))))))</f>
        <v>违规：实际股数超过风险或金字塔上限</v>
      </c>
    </row>
    <row r="116" ht="17" spans="1:18">
      <c r="A116" s="13">
        <v>48</v>
      </c>
      <c r="B116" s="14">
        <v>2</v>
      </c>
      <c r="C116" s="15">
        <v>43852</v>
      </c>
      <c r="D116" s="16">
        <v>21.43</v>
      </c>
      <c r="E116" s="16">
        <v>20.5</v>
      </c>
      <c r="F116" s="16">
        <v>1</v>
      </c>
      <c r="G116" s="14">
        <v>5000</v>
      </c>
      <c r="H116" s="17">
        <f t="shared" si="8"/>
        <v>107150</v>
      </c>
      <c r="I116" s="18">
        <f>IF(OR(A116="",B116=""),"",IFERROR(LOOKUP(2,1/(单次交易!$A$2:$A$201=A116),单次交易!$H$2:$H$201),0)+SUMIFS($G$2:$G$1001,$A$2:$A$1001,A116,$B$2:$B$1001,"&lt;"&amp;B116))</f>
        <v>11400</v>
      </c>
      <c r="J116" s="17">
        <f>IF(OR(A116="",B116=""),"",IFERROR(LOOKUP(2,1/(单次交易!$A$2:$A$201=A116),单次交易!$E$2:$E$201)*LOOKUP(2,1/(单次交易!$A$2:$A$201=A116),单次交易!$H$2:$H$201),0)+SUMIFS($H$2:$H$1001,$A$2:$A$1001,A116,$B$2:$B$1001,"&lt;"&amp;B116))</f>
        <v>231176</v>
      </c>
      <c r="K116" s="17">
        <f t="shared" si="9"/>
        <v>2524</v>
      </c>
      <c r="L116" s="18">
        <f t="shared" si="10"/>
        <v>2700</v>
      </c>
      <c r="M116" s="18">
        <f t="shared" si="11"/>
        <v>5000</v>
      </c>
      <c r="N116" s="18">
        <f t="shared" si="12"/>
        <v>2700</v>
      </c>
      <c r="O116" s="18">
        <f t="shared" si="13"/>
        <v>16400</v>
      </c>
      <c r="P116" s="17">
        <f t="shared" si="14"/>
        <v>20.6296341463415</v>
      </c>
      <c r="Q116" s="17">
        <f t="shared" si="15"/>
        <v>2126</v>
      </c>
      <c r="R116" s="19" t="str">
        <f ca="1">IF(A116="","",IF(COUNTIF(_TradeIds,A116)=0,"违规：交易编号不存在",IF(OR(B116="",B116&lt;1,B116&gt;5,B116&lt;&gt;INT(B116)),"违规：加仓序号须为1到5的整数",IF(COUNTIFS($A$2:$A$1001,A116,$B$2:$B$1001,B116)&gt;1,"违规：同一交易的加仓序号重复",IF(OR(D116="",E116="",F116=""),"计划不完整：请填写加仓价、新止损价和风险预算",IF(OR(D116&lt;=0,E116&lt;=0,F116&lt;=0,D116&lt;=E116),"违规：加仓价必须高于新止损价，金额须大于0",IF(AND(B116&gt;1,COUNTIFS($A$2:$A$1001,A116,$B$2:$B$1001,B116-1,$G$2:$G$1001,"&gt;0")=0),"违规：须先完成上一次加仓",IF(AND(B116&gt;1,E116&lt;SUMIFS($E$2:$E$1001,$A$2:$A$1001,A116,$B$2:$B$1001,B116-1)),"违规：新止损价不得低于上一次",IF(AND(B116&gt;1,F116&gt;SUMIFS($F$2:$F$1001,$A$2:$A$1001,A116,$B$2:$B$1001,B116-1)),"违规：风险预算须逐次不增加",IF(OR(_LockStatus="已锁仓",_LockStatus="解锁信息不完整"),"违规：锁仓期间禁止加仓",IF(G116="","计划可执行：建议股数见N列",IF(OR(G116&lt;=0,G116&lt;&gt;INT(G116),MOD(G116,100)&lt;&gt;0),"违规：实际股数须为100股整数倍",IF(G116&gt;N116,"违规：实际股数超过风险或金字塔上限",IF(AND(B116&gt;1,G116&gt;SUMIFS($G$2:$G$1001,$A$2:$A$1001,A116,$B$2:$B$1001,B116-1)),"违规：加仓股数须逐次不增加",IF(Q116&gt;F116,"违规：止损风险超过本次预算","通过")))))))))))))))</f>
        <v>违规：实际股数超过风险或金字塔上限</v>
      </c>
    </row>
    <row r="117" ht="17" spans="1:18">
      <c r="A117" s="13">
        <v>48</v>
      </c>
      <c r="B117" s="14">
        <v>3</v>
      </c>
      <c r="C117" s="15">
        <v>43864</v>
      </c>
      <c r="D117" s="16">
        <v>19.85</v>
      </c>
      <c r="E117" s="16">
        <v>19.5</v>
      </c>
      <c r="F117" s="16">
        <v>1</v>
      </c>
      <c r="G117" s="14">
        <v>10000</v>
      </c>
      <c r="H117" s="17">
        <f t="shared" si="8"/>
        <v>198500</v>
      </c>
      <c r="I117" s="18">
        <f>IF(OR(A117="",B117=""),"",IFERROR(LOOKUP(2,1/(单次交易!$A$2:$A$201=A117),单次交易!$H$2:$H$201),0)+SUMIFS($G$2:$G$1001,$A$2:$A$1001,A117,$B$2:$B$1001,"&lt;"&amp;B117))</f>
        <v>16400</v>
      </c>
      <c r="J117" s="17">
        <f>IF(OR(A117="",B117=""),"",IFERROR(LOOKUP(2,1/(单次交易!$A$2:$A$201=A117),单次交易!$E$2:$E$201)*LOOKUP(2,1/(单次交易!$A$2:$A$201=A117),单次交易!$H$2:$H$201),0)+SUMIFS($H$2:$H$1001,$A$2:$A$1001,A117,$B$2:$B$1001,"&lt;"&amp;B117))</f>
        <v>338326</v>
      </c>
      <c r="K117" s="17">
        <f t="shared" si="9"/>
        <v>0</v>
      </c>
      <c r="L117" s="18">
        <f t="shared" si="10"/>
        <v>0</v>
      </c>
      <c r="M117" s="18">
        <f t="shared" si="11"/>
        <v>5000</v>
      </c>
      <c r="N117" s="18">
        <f t="shared" si="12"/>
        <v>0</v>
      </c>
      <c r="O117" s="18">
        <f t="shared" si="13"/>
        <v>26400</v>
      </c>
      <c r="P117" s="17">
        <f t="shared" si="14"/>
        <v>20.3343181818182</v>
      </c>
      <c r="Q117" s="17">
        <f t="shared" si="15"/>
        <v>22026</v>
      </c>
      <c r="R117" s="19" t="str">
        <f ca="1">IF(A117="","",IF(COUNTIF(_TradeIds,A117)=0,"违规：交易编号不存在",IF(OR(B117="",B117&lt;1,B117&gt;5,B117&lt;&gt;INT(B117)),"违规：加仓序号须为1到5的整数",IF(COUNTIFS($A$2:$A$1001,A117,$B$2:$B$1001,B117)&gt;1,"违规：同一交易的加仓序号重复",IF(OR(D117="",E117="",F117=""),"计划不完整：请填写加仓价、新止损价和风险预算",IF(OR(D117&lt;=0,E117&lt;=0,F117&lt;=0,D117&lt;=E117),"违规：加仓价必须高于新止损价，金额须大于0",IF(AND(B117&gt;1,COUNTIFS($A$2:$A$1001,A117,$B$2:$B$1001,B117-1,$G$2:$G$1001,"&gt;0")=0),"违规：须先完成上一次加仓",IF(AND(B117&gt;1,E117&lt;SUMIFS($E$2:$E$1001,$A$2:$A$1001,A117,$B$2:$B$1001,B117-1)),"违规：新止损价不得低于上一次",IF(AND(B117&gt;1,F117&gt;SUMIFS($F$2:$F$1001,$A$2:$A$1001,A117,$B$2:$B$1001,B117-1)),"违规：风险预算须逐次不增加",IF(OR(_LockStatus="已锁仓",_LockStatus="解锁信息不完整"),"违规：锁仓期间禁止加仓",IF(G117="","计划可执行：建议股数见N列",IF(OR(G117&lt;=0,G117&lt;&gt;INT(G117),MOD(G117,100)&lt;&gt;0),"违规：实际股数须为100股整数倍",IF(G117&gt;N117,"违规：实际股数超过风险或金字塔上限",IF(AND(B117&gt;1,G117&gt;SUMIFS($G$2:$G$1001,$A$2:$A$1001,A117,$B$2:$B$1001,B117-1)),"违规：加仓股数须逐次不增加",IF(Q117&gt;F117,"违规：止损风险超过本次预算","通过")))))))))))))))</f>
        <v>违规：新止损价不得低于上一次</v>
      </c>
    </row>
    <row r="118" ht="17" spans="1:18">
      <c r="A118" s="13">
        <v>48</v>
      </c>
      <c r="B118" s="14">
        <v>4</v>
      </c>
      <c r="C118" s="15">
        <v>43867</v>
      </c>
      <c r="D118" s="16">
        <v>22.86</v>
      </c>
      <c r="E118" s="16">
        <v>21</v>
      </c>
      <c r="F118" s="16">
        <v>1</v>
      </c>
      <c r="G118" s="14">
        <v>2000</v>
      </c>
      <c r="H118" s="17">
        <f t="shared" si="8"/>
        <v>45720</v>
      </c>
      <c r="I118" s="18">
        <f>IF(OR(A118="",B118=""),"",IFERROR(LOOKUP(2,1/(单次交易!$A$2:$A$201=A118),单次交易!$H$2:$H$201),0)+SUMIFS($G$2:$G$1001,$A$2:$A$1001,A118,$B$2:$B$1001,"&lt;"&amp;B118))</f>
        <v>26400</v>
      </c>
      <c r="J118" s="17">
        <f>IF(OR(A118="",B118=""),"",IFERROR(LOOKUP(2,1/(单次交易!$A$2:$A$201=A118),单次交易!$E$2:$E$201)*LOOKUP(2,1/(单次交易!$A$2:$A$201=A118),单次交易!$H$2:$H$201),0)+SUMIFS($H$2:$H$1001,$A$2:$A$1001,A118,$B$2:$B$1001,"&lt;"&amp;B118))</f>
        <v>536826</v>
      </c>
      <c r="K118" s="17">
        <f t="shared" si="9"/>
        <v>17574</v>
      </c>
      <c r="L118" s="18">
        <f t="shared" si="10"/>
        <v>9400</v>
      </c>
      <c r="M118" s="18">
        <f t="shared" si="11"/>
        <v>10000</v>
      </c>
      <c r="N118" s="18">
        <f t="shared" si="12"/>
        <v>9400</v>
      </c>
      <c r="O118" s="18">
        <f t="shared" si="13"/>
        <v>28400</v>
      </c>
      <c r="P118" s="17">
        <f t="shared" si="14"/>
        <v>20.5121830985915</v>
      </c>
      <c r="Q118" s="17">
        <f t="shared" si="15"/>
        <v>0</v>
      </c>
      <c r="R118" s="19" t="str">
        <f ca="1">IF(A118="","",IF(COUNTIF(_TradeIds,A118)=0,"违规：交易编号不存在",IF(OR(B118="",B118&lt;1,B118&gt;5,B118&lt;&gt;INT(B118)),"违规：加仓序号须为1到5的整数",IF(COUNTIFS($A$2:$A$1001,A118,$B$2:$B$1001,B118)&gt;1,"违规：同一交易的加仓序号重复",IF(OR(D118="",E118="",F118=""),"计划不完整：请填写加仓价、新止损价和风险预算",IF(OR(D118&lt;=0,E118&lt;=0,F118&lt;=0,D118&lt;=E118),"违规：加仓价必须高于新止损价，金额须大于0",IF(AND(B118&gt;1,COUNTIFS($A$2:$A$1001,A118,$B$2:$B$1001,B118-1,$G$2:$G$1001,"&gt;0")=0),"违规：须先完成上一次加仓",IF(AND(B118&gt;1,E118&lt;SUMIFS($E$2:$E$1001,$A$2:$A$1001,A118,$B$2:$B$1001,B118-1)),"违规：新止损价不得低于上一次",IF(AND(B118&gt;1,F118&gt;SUMIFS($F$2:$F$1001,$A$2:$A$1001,A118,$B$2:$B$1001,B118-1)),"违规：风险预算须逐次不增加",IF(OR(_LockStatus="已锁仓",_LockStatus="解锁信息不完整"),"违规：锁仓期间禁止加仓",IF(G118="","计划可执行：建议股数见N列",IF(OR(G118&lt;=0,G118&lt;&gt;INT(G118),MOD(G118,100)&lt;&gt;0),"违规：实际股数须为100股整数倍",IF(G118&gt;N118,"违规：实际股数超过风险或金字塔上限",IF(AND(B118&gt;1,G118&gt;SUMIFS($G$2:$G$1001,$A$2:$A$1001,A118,$B$2:$B$1001,B118-1)),"违规：加仓股数须逐次不增加",IF(Q118&gt;F118,"违规：止损风险超过本次预算","通过")))))))))))))))</f>
        <v>通过</v>
      </c>
    </row>
    <row r="119" ht="17" spans="1:18">
      <c r="A119" s="13">
        <v>49</v>
      </c>
      <c r="B119" s="14">
        <v>1</v>
      </c>
      <c r="C119" s="15">
        <v>44465</v>
      </c>
      <c r="D119" s="16">
        <v>15.25</v>
      </c>
      <c r="E119" s="16">
        <v>15</v>
      </c>
      <c r="F119" s="16">
        <v>1</v>
      </c>
      <c r="G119" s="14">
        <v>5000</v>
      </c>
      <c r="H119" s="17">
        <f t="shared" si="8"/>
        <v>76250</v>
      </c>
      <c r="I119" s="18">
        <f>IF(OR(A119="",B119=""),"",IFERROR(LOOKUP(2,1/(单次交易!$A$2:$A$201=A119),单次交易!$H$2:$H$201),0)+SUMIFS($G$2:$G$1001,$A$2:$A$1001,A119,$B$2:$B$1001,"&lt;"&amp;B119))</f>
        <v>9200</v>
      </c>
      <c r="J119" s="17">
        <f>IF(OR(A119="",B119=""),"",IFERROR(LOOKUP(2,1/(单次交易!$A$2:$A$201=A119),单次交易!$E$2:$E$201)*LOOKUP(2,1/(单次交易!$A$2:$A$201=A119),单次交易!$H$2:$H$201),0)+SUMIFS($H$2:$H$1001,$A$2:$A$1001,A119,$B$2:$B$1001,"&lt;"&amp;B119))</f>
        <v>138644</v>
      </c>
      <c r="K119" s="17">
        <f t="shared" si="9"/>
        <v>0</v>
      </c>
      <c r="L119" s="18">
        <f t="shared" si="10"/>
        <v>0</v>
      </c>
      <c r="M119" s="18">
        <f t="shared" si="11"/>
        <v>0</v>
      </c>
      <c r="N119" s="18">
        <f t="shared" si="12"/>
        <v>0</v>
      </c>
      <c r="O119" s="18">
        <f t="shared" si="13"/>
        <v>14200</v>
      </c>
      <c r="P119" s="17">
        <f t="shared" si="14"/>
        <v>15.1333802816901</v>
      </c>
      <c r="Q119" s="17">
        <f t="shared" si="15"/>
        <v>1894</v>
      </c>
      <c r="R119" s="19" t="str">
        <f ca="1">IF(A119="","",IF(COUNTIF(_TradeIds,A119)=0,"违规：交易编号不存在",IF(OR(B119="",B119&lt;1,B119&gt;5,B119&lt;&gt;INT(B119)),"违规：加仓序号须为1到5的整数",IF(COUNTIFS($A$2:$A$1001,A119,$B$2:$B$1001,B119)&gt;1,"违规：同一交易的加仓序号重复",IF(OR(D119="",E119="",F119=""),"计划不完整：请填写加仓价、新止损价和风险预算",IF(OR(D119&lt;=0,E119&lt;=0,F119&lt;=0,D119&lt;=E119),"违规：加仓价必须高于新止损价，金额须大于0",IF(AND(B119&gt;1,COUNTIFS($A$2:$A$1001,A119,$B$2:$B$1001,B119-1,$G$2:$G$1001,"&gt;0")=0),"违规：须先完成上一次加仓",IF(AND(B119&gt;1,E119&lt;SUMIFS($E$2:$E$1001,$A$2:$A$1001,A119,$B$2:$B$1001,B119-1)),"违规：新止损价不得低于上一次",IF(AND(B119&gt;1,F119&gt;SUMIFS($F$2:$F$1001,$A$2:$A$1001,A119,$B$2:$B$1001,B119-1)),"违规：风险预算须逐次不增加",IF(OR(_LockStatus="已锁仓",_LockStatus="解锁信息不完整"),"违规：锁仓期间禁止加仓",IF(G119="","计划可执行：建议股数见N列",IF(OR(G119&lt;=0,G119&lt;&gt;INT(G119),MOD(G119,100)&lt;&gt;0),"违规：实际股数须为100股整数倍",IF(G119&gt;N119,"违规：实际股数超过风险或金字塔上限",IF(AND(B119&gt;1,G119&gt;SUMIFS($G$2:$G$1001,$A$2:$A$1001,A119,$B$2:$B$1001,B119-1)),"违规：加仓股数须逐次不增加",IF(Q119&gt;F119,"违规：止损风险超过本次预算","通过")))))))))))))))</f>
        <v>违规：实际股数超过风险或金字塔上限</v>
      </c>
    </row>
    <row r="120" ht="17" spans="1:18">
      <c r="A120" s="13">
        <v>49</v>
      </c>
      <c r="B120" s="14">
        <v>2</v>
      </c>
      <c r="C120" s="15">
        <v>44453</v>
      </c>
      <c r="D120" s="16">
        <v>15</v>
      </c>
      <c r="E120" s="16">
        <v>14.5</v>
      </c>
      <c r="F120" s="16">
        <v>1</v>
      </c>
      <c r="G120" s="14">
        <v>5000</v>
      </c>
      <c r="H120" s="17">
        <f t="shared" si="8"/>
        <v>75000</v>
      </c>
      <c r="I120" s="18">
        <f>IF(OR(A120="",B120=""),"",IFERROR(LOOKUP(2,1/(单次交易!$A$2:$A$201=A120),单次交易!$H$2:$H$201),0)+SUMIFS($G$2:$G$1001,$A$2:$A$1001,A120,$B$2:$B$1001,"&lt;"&amp;B120))</f>
        <v>14200</v>
      </c>
      <c r="J120" s="17">
        <f>IF(OR(A120="",B120=""),"",IFERROR(LOOKUP(2,1/(单次交易!$A$2:$A$201=A120),单次交易!$E$2:$E$201)*LOOKUP(2,1/(单次交易!$A$2:$A$201=A120),单次交易!$H$2:$H$201),0)+SUMIFS($H$2:$H$1001,$A$2:$A$1001,A120,$B$2:$B$1001,"&lt;"&amp;B120))</f>
        <v>214894</v>
      </c>
      <c r="K120" s="17">
        <f t="shared" si="9"/>
        <v>0</v>
      </c>
      <c r="L120" s="18">
        <f t="shared" si="10"/>
        <v>0</v>
      </c>
      <c r="M120" s="18">
        <f t="shared" si="11"/>
        <v>5000</v>
      </c>
      <c r="N120" s="18">
        <f t="shared" si="12"/>
        <v>0</v>
      </c>
      <c r="O120" s="18">
        <f t="shared" si="13"/>
        <v>19200</v>
      </c>
      <c r="P120" s="17">
        <f t="shared" si="14"/>
        <v>15.0986458333333</v>
      </c>
      <c r="Q120" s="17">
        <f t="shared" si="15"/>
        <v>11494</v>
      </c>
      <c r="R120" s="19" t="str">
        <f ca="1">IF(A120="","",IF(COUNTIF(_TradeIds,A120)=0,"违规：交易编号不存在",IF(OR(B120="",B120&lt;1,B120&gt;5,B120&lt;&gt;INT(B120)),"违规：加仓序号须为1到5的整数",IF(COUNTIFS($A$2:$A$1001,A120,$B$2:$B$1001,B120)&gt;1,"违规：同一交易的加仓序号重复",IF(OR(D120="",E120="",F120=""),"计划不完整：请填写加仓价、新止损价和风险预算",IF(OR(D120&lt;=0,E120&lt;=0,F120&lt;=0,D120&lt;=E120),"违规：加仓价必须高于新止损价，金额须大于0",IF(AND(B120&gt;1,COUNTIFS($A$2:$A$1001,A120,$B$2:$B$1001,B120-1,$G$2:$G$1001,"&gt;0")=0),"违规：须先完成上一次加仓",IF(AND(B120&gt;1,E120&lt;SUMIFS($E$2:$E$1001,$A$2:$A$1001,A120,$B$2:$B$1001,B120-1)),"违规：新止损价不得低于上一次",IF(AND(B120&gt;1,F120&gt;SUMIFS($F$2:$F$1001,$A$2:$A$1001,A120,$B$2:$B$1001,B120-1)),"违规：风险预算须逐次不增加",IF(OR(_LockStatus="已锁仓",_LockStatus="解锁信息不完整"),"违规：锁仓期间禁止加仓",IF(G120="","计划可执行：建议股数见N列",IF(OR(G120&lt;=0,G120&lt;&gt;INT(G120),MOD(G120,100)&lt;&gt;0),"违规：实际股数须为100股整数倍",IF(G120&gt;N120,"违规：实际股数超过风险或金字塔上限",IF(AND(B120&gt;1,G120&gt;SUMIFS($G$2:$G$1001,$A$2:$A$1001,A120,$B$2:$B$1001,B120-1)),"违规：加仓股数须逐次不增加",IF(Q120&gt;F120,"违规：止损风险超过本次预算","通过")))))))))))))))</f>
        <v>违规：新止损价不得低于上一次</v>
      </c>
    </row>
    <row r="121" ht="17" spans="1:18">
      <c r="A121" s="13">
        <v>49</v>
      </c>
      <c r="B121" s="14">
        <v>3</v>
      </c>
      <c r="C121" s="15">
        <v>44456</v>
      </c>
      <c r="D121" s="16">
        <v>14.82</v>
      </c>
      <c r="E121" s="16">
        <v>14</v>
      </c>
      <c r="F121" s="16">
        <v>1</v>
      </c>
      <c r="G121" s="14">
        <v>5000</v>
      </c>
      <c r="H121" s="17">
        <f t="shared" si="8"/>
        <v>74100</v>
      </c>
      <c r="I121" s="18">
        <f>IF(OR(A121="",B121=""),"",IFERROR(LOOKUP(2,1/(单次交易!$A$2:$A$201=A121),单次交易!$H$2:$H$201),0)+SUMIFS($G$2:$G$1001,$A$2:$A$1001,A121,$B$2:$B$1001,"&lt;"&amp;B121))</f>
        <v>19200</v>
      </c>
      <c r="J121" s="17">
        <f>IF(OR(A121="",B121=""),"",IFERROR(LOOKUP(2,1/(单次交易!$A$2:$A$201=A121),单次交易!$E$2:$E$201)*LOOKUP(2,1/(单次交易!$A$2:$A$201=A121),单次交易!$H$2:$H$201),0)+SUMIFS($H$2:$H$1001,$A$2:$A$1001,A121,$B$2:$B$1001,"&lt;"&amp;B121))</f>
        <v>289894</v>
      </c>
      <c r="K121" s="17">
        <f t="shared" si="9"/>
        <v>0</v>
      </c>
      <c r="L121" s="18">
        <f t="shared" si="10"/>
        <v>0</v>
      </c>
      <c r="M121" s="18">
        <f t="shared" si="11"/>
        <v>5000</v>
      </c>
      <c r="N121" s="18">
        <f t="shared" si="12"/>
        <v>0</v>
      </c>
      <c r="O121" s="18">
        <f t="shared" si="13"/>
        <v>24200</v>
      </c>
      <c r="P121" s="17">
        <f t="shared" si="14"/>
        <v>15.0410743801653</v>
      </c>
      <c r="Q121" s="17">
        <f t="shared" si="15"/>
        <v>25194</v>
      </c>
      <c r="R121" s="19" t="str">
        <f ca="1">IF(A121="","",IF(COUNTIF(_TradeIds,A121)=0,"违规：交易编号不存在",IF(OR(B121="",B121&lt;1,B121&gt;5,B121&lt;&gt;INT(B121)),"违规：加仓序号须为1到5的整数",IF(COUNTIFS($A$2:$A$1001,A121,$B$2:$B$1001,B121)&gt;1,"违规：同一交易的加仓序号重复",IF(OR(D121="",E121="",F121=""),"计划不完整：请填写加仓价、新止损价和风险预算",IF(OR(D121&lt;=0,E121&lt;=0,F121&lt;=0,D121&lt;=E121),"违规：加仓价必须高于新止损价，金额须大于0",IF(AND(B121&gt;1,COUNTIFS($A$2:$A$1001,A121,$B$2:$B$1001,B121-1,$G$2:$G$1001,"&gt;0")=0),"违规：须先完成上一次加仓",IF(AND(B121&gt;1,E121&lt;SUMIFS($E$2:$E$1001,$A$2:$A$1001,A121,$B$2:$B$1001,B121-1)),"违规：新止损价不得低于上一次",IF(AND(B121&gt;1,F121&gt;SUMIFS($F$2:$F$1001,$A$2:$A$1001,A121,$B$2:$B$1001,B121-1)),"违规：风险预算须逐次不增加",IF(OR(_LockStatus="已锁仓",_LockStatus="解锁信息不完整"),"违规：锁仓期间禁止加仓",IF(G121="","计划可执行：建议股数见N列",IF(OR(G121&lt;=0,G121&lt;&gt;INT(G121),MOD(G121,100)&lt;&gt;0),"违规：实际股数须为100股整数倍",IF(G121&gt;N121,"违规：实际股数超过风险或金字塔上限",IF(AND(B121&gt;1,G121&gt;SUMIFS($G$2:$G$1001,$A$2:$A$1001,A121,$B$2:$B$1001,B121-1)),"违规：加仓股数须逐次不增加",IF(Q121&gt;F121,"违规：止损风险超过本次预算","通过")))))))))))))))</f>
        <v>违规：新止损价不得低于上一次</v>
      </c>
    </row>
    <row r="122" ht="17" spans="1:18">
      <c r="A122" s="13">
        <v>49</v>
      </c>
      <c r="B122" s="14">
        <v>4</v>
      </c>
      <c r="C122" s="15">
        <v>44484</v>
      </c>
      <c r="D122" s="16">
        <v>15.056</v>
      </c>
      <c r="E122" s="16">
        <v>14.5</v>
      </c>
      <c r="F122" s="16">
        <v>1</v>
      </c>
      <c r="G122" s="14">
        <v>2000</v>
      </c>
      <c r="H122" s="17">
        <f t="shared" si="8"/>
        <v>30112</v>
      </c>
      <c r="I122" s="18">
        <f>IF(OR(A122="",B122=""),"",IFERROR(LOOKUP(2,1/(单次交易!$A$2:$A$201=A122),单次交易!$H$2:$H$201),0)+SUMIFS($G$2:$G$1001,$A$2:$A$1001,A122,$B$2:$B$1001,"&lt;"&amp;B122))</f>
        <v>24200</v>
      </c>
      <c r="J122" s="17">
        <f>IF(OR(A122="",B122=""),"",IFERROR(LOOKUP(2,1/(单次交易!$A$2:$A$201=A122),单次交易!$E$2:$E$201)*LOOKUP(2,1/(单次交易!$A$2:$A$201=A122),单次交易!$H$2:$H$201),0)+SUMIFS($H$2:$H$1001,$A$2:$A$1001,A122,$B$2:$B$1001,"&lt;"&amp;B122))</f>
        <v>363994</v>
      </c>
      <c r="K122" s="17">
        <f t="shared" si="9"/>
        <v>0</v>
      </c>
      <c r="L122" s="18">
        <f t="shared" si="10"/>
        <v>0</v>
      </c>
      <c r="M122" s="18">
        <f t="shared" si="11"/>
        <v>5000</v>
      </c>
      <c r="N122" s="18">
        <f t="shared" si="12"/>
        <v>0</v>
      </c>
      <c r="O122" s="18">
        <f t="shared" si="13"/>
        <v>26200</v>
      </c>
      <c r="P122" s="17">
        <f t="shared" si="14"/>
        <v>15.042213740458</v>
      </c>
      <c r="Q122" s="17">
        <f t="shared" si="15"/>
        <v>14206</v>
      </c>
      <c r="R122" s="19" t="str">
        <f ca="1">IF(A122="","",IF(COUNTIF(_TradeIds,A122)=0,"违规：交易编号不存在",IF(OR(B122="",B122&lt;1,B122&gt;5,B122&lt;&gt;INT(B122)),"违规：加仓序号须为1到5的整数",IF(COUNTIFS($A$2:$A$1001,A122,$B$2:$B$1001,B122)&gt;1,"违规：同一交易的加仓序号重复",IF(OR(D122="",E122="",F122=""),"计划不完整：请填写加仓价、新止损价和风险预算",IF(OR(D122&lt;=0,E122&lt;=0,F122&lt;=0,D122&lt;=E122),"违规：加仓价必须高于新止损价，金额须大于0",IF(AND(B122&gt;1,COUNTIFS($A$2:$A$1001,A122,$B$2:$B$1001,B122-1,$G$2:$G$1001,"&gt;0")=0),"违规：须先完成上一次加仓",IF(AND(B122&gt;1,E122&lt;SUMIFS($E$2:$E$1001,$A$2:$A$1001,A122,$B$2:$B$1001,B122-1)),"违规：新止损价不得低于上一次",IF(AND(B122&gt;1,F122&gt;SUMIFS($F$2:$F$1001,$A$2:$A$1001,A122,$B$2:$B$1001,B122-1)),"违规：风险预算须逐次不增加",IF(OR(_LockStatus="已锁仓",_LockStatus="解锁信息不完整"),"违规：锁仓期间禁止加仓",IF(G122="","计划可执行：建议股数见N列",IF(OR(G122&lt;=0,G122&lt;&gt;INT(G122),MOD(G122,100)&lt;&gt;0),"违规：实际股数须为100股整数倍",IF(G122&gt;N122,"违规：实际股数超过风险或金字塔上限",IF(AND(B122&gt;1,G122&gt;SUMIFS($G$2:$G$1001,$A$2:$A$1001,A122,$B$2:$B$1001,B122-1)),"违规：加仓股数须逐次不增加",IF(Q122&gt;F122,"违规：止损风险超过本次预算","通过")))))))))))))))</f>
        <v>违规：实际股数超过风险或金字塔上限</v>
      </c>
    </row>
    <row r="123" ht="17" spans="1:18">
      <c r="A123" s="13">
        <v>50</v>
      </c>
      <c r="B123" s="14">
        <v>1</v>
      </c>
      <c r="C123" s="15">
        <v>44789</v>
      </c>
      <c r="D123" s="16">
        <v>19.35</v>
      </c>
      <c r="E123" s="16">
        <v>18</v>
      </c>
      <c r="F123" s="16">
        <v>1</v>
      </c>
      <c r="G123" s="14">
        <v>5000</v>
      </c>
      <c r="H123" s="17">
        <f t="shared" si="8"/>
        <v>96750</v>
      </c>
      <c r="I123" s="18">
        <f>IF(OR(A123="",B123=""),"",IFERROR(LOOKUP(2,1/(单次交易!$A$2:$A$201=A123),单次交易!$H$2:$H$201),0)+SUMIFS($G$2:$G$1001,$A$2:$A$1001,A123,$B$2:$B$1001,"&lt;"&amp;B123))</f>
        <v>5200</v>
      </c>
      <c r="J123" s="17">
        <f>IF(OR(A123="",B123=""),"",IFERROR(LOOKUP(2,1/(单次交易!$A$2:$A$201=A123),单次交易!$E$2:$E$201)*LOOKUP(2,1/(单次交易!$A$2:$A$201=A123),单次交易!$H$2:$H$201),0)+SUMIFS($H$2:$H$1001,$A$2:$A$1001,A123,$B$2:$B$1001,"&lt;"&amp;B123))</f>
        <v>103636</v>
      </c>
      <c r="K123" s="17">
        <f t="shared" si="9"/>
        <v>0</v>
      </c>
      <c r="L123" s="18">
        <f t="shared" si="10"/>
        <v>0</v>
      </c>
      <c r="M123" s="18">
        <f t="shared" si="11"/>
        <v>0</v>
      </c>
      <c r="N123" s="18">
        <f t="shared" si="12"/>
        <v>0</v>
      </c>
      <c r="O123" s="18">
        <f t="shared" si="13"/>
        <v>10200</v>
      </c>
      <c r="P123" s="17">
        <f t="shared" si="14"/>
        <v>19.6456862745098</v>
      </c>
      <c r="Q123" s="17">
        <f t="shared" si="15"/>
        <v>16786</v>
      </c>
      <c r="R123" s="19" t="str">
        <f ca="1">IF(A123="","",IF(COUNTIF(_TradeIds,A123)=0,"违规：交易编号不存在",IF(OR(B123="",B123&lt;1,B123&gt;5,B123&lt;&gt;INT(B123)),"违规：加仓序号须为1到5的整数",IF(COUNTIFS($A$2:$A$1001,A123,$B$2:$B$1001,B123)&gt;1,"违规：同一交易的加仓序号重复",IF(OR(D123="",E123="",F123=""),"计划不完整：请填写加仓价、新止损价和风险预算",IF(OR(D123&lt;=0,E123&lt;=0,F123&lt;=0,D123&lt;=E123),"违规：加仓价必须高于新止损价，金额须大于0",IF(AND(B123&gt;1,COUNTIFS($A$2:$A$1001,A123,$B$2:$B$1001,B123-1,$G$2:$G$1001,"&gt;0")=0),"违规：须先完成上一次加仓",IF(AND(B123&gt;1,E123&lt;SUMIFS($E$2:$E$1001,$A$2:$A$1001,A123,$B$2:$B$1001,B123-1)),"违规：新止损价不得低于上一次",IF(AND(B123&gt;1,F123&gt;SUMIFS($F$2:$F$1001,$A$2:$A$1001,A123,$B$2:$B$1001,B123-1)),"违规：风险预算须逐次不增加",IF(OR(_LockStatus="已锁仓",_LockStatus="解锁信息不完整"),"违规：锁仓期间禁止加仓",IF(G123="","计划可执行：建议股数见N列",IF(OR(G123&lt;=0,G123&lt;&gt;INT(G123),MOD(G123,100)&lt;&gt;0),"违规：实际股数须为100股整数倍",IF(G123&gt;N123,"违规：实际股数超过风险或金字塔上限",IF(AND(B123&gt;1,G123&gt;SUMIFS($G$2:$G$1001,$A$2:$A$1001,A123,$B$2:$B$1001,B123-1)),"违规：加仓股数须逐次不增加",IF(Q123&gt;F123,"违规：止损风险超过本次预算","通过")))))))))))))))</f>
        <v>违规：实际股数超过风险或金字塔上限</v>
      </c>
    </row>
    <row r="124" ht="17" spans="1:18">
      <c r="A124" s="13">
        <v>50</v>
      </c>
      <c r="B124" s="14">
        <v>2</v>
      </c>
      <c r="C124" s="15">
        <v>44805</v>
      </c>
      <c r="D124" s="16">
        <v>18.62</v>
      </c>
      <c r="E124" s="16">
        <v>18</v>
      </c>
      <c r="F124" s="16">
        <v>1</v>
      </c>
      <c r="G124" s="14">
        <v>5000</v>
      </c>
      <c r="H124" s="17">
        <f t="shared" si="8"/>
        <v>93100</v>
      </c>
      <c r="I124" s="18">
        <f>IF(OR(A124="",B124=""),"",IFERROR(LOOKUP(2,1/(单次交易!$A$2:$A$201=A124),单次交易!$H$2:$H$201),0)+SUMIFS($G$2:$G$1001,$A$2:$A$1001,A124,$B$2:$B$1001,"&lt;"&amp;B124))</f>
        <v>10200</v>
      </c>
      <c r="J124" s="17">
        <f>IF(OR(A124="",B124=""),"",IFERROR(LOOKUP(2,1/(单次交易!$A$2:$A$201=A124),单次交易!$E$2:$E$201)*LOOKUP(2,1/(单次交易!$A$2:$A$201=A124),单次交易!$H$2:$H$201),0)+SUMIFS($H$2:$H$1001,$A$2:$A$1001,A124,$B$2:$B$1001,"&lt;"&amp;B124))</f>
        <v>200386</v>
      </c>
      <c r="K124" s="17">
        <f t="shared" si="9"/>
        <v>0</v>
      </c>
      <c r="L124" s="18">
        <f t="shared" si="10"/>
        <v>0</v>
      </c>
      <c r="M124" s="18">
        <f t="shared" si="11"/>
        <v>5000</v>
      </c>
      <c r="N124" s="18">
        <f t="shared" si="12"/>
        <v>0</v>
      </c>
      <c r="O124" s="18">
        <f t="shared" si="13"/>
        <v>15200</v>
      </c>
      <c r="P124" s="17">
        <f t="shared" si="14"/>
        <v>19.3082894736842</v>
      </c>
      <c r="Q124" s="17">
        <f t="shared" si="15"/>
        <v>19886</v>
      </c>
      <c r="R124" s="19" t="str">
        <f ca="1">IF(A124="","",IF(COUNTIF(_TradeIds,A124)=0,"违规：交易编号不存在",IF(OR(B124="",B124&lt;1,B124&gt;5,B124&lt;&gt;INT(B124)),"违规：加仓序号须为1到5的整数",IF(COUNTIFS($A$2:$A$1001,A124,$B$2:$B$1001,B124)&gt;1,"违规：同一交易的加仓序号重复",IF(OR(D124="",E124="",F124=""),"计划不完整：请填写加仓价、新止损价和风险预算",IF(OR(D124&lt;=0,E124&lt;=0,F124&lt;=0,D124&lt;=E124),"违规：加仓价必须高于新止损价，金额须大于0",IF(AND(B124&gt;1,COUNTIFS($A$2:$A$1001,A124,$B$2:$B$1001,B124-1,$G$2:$G$1001,"&gt;0")=0),"违规：须先完成上一次加仓",IF(AND(B124&gt;1,E124&lt;SUMIFS($E$2:$E$1001,$A$2:$A$1001,A124,$B$2:$B$1001,B124-1)),"违规：新止损价不得低于上一次",IF(AND(B124&gt;1,F124&gt;SUMIFS($F$2:$F$1001,$A$2:$A$1001,A124,$B$2:$B$1001,B124-1)),"违规：风险预算须逐次不增加",IF(OR(_LockStatus="已锁仓",_LockStatus="解锁信息不完整"),"违规：锁仓期间禁止加仓",IF(G124="","计划可执行：建议股数见N列",IF(OR(G124&lt;=0,G124&lt;&gt;INT(G124),MOD(G124,100)&lt;&gt;0),"违规：实际股数须为100股整数倍",IF(G124&gt;N124,"违规：实际股数超过风险或金字塔上限",IF(AND(B124&gt;1,G124&gt;SUMIFS($G$2:$G$1001,$A$2:$A$1001,A124,$B$2:$B$1001,B124-1)),"违规：加仓股数须逐次不增加",IF(Q124&gt;F124,"违规：止损风险超过本次预算","通过")))))))))))))))</f>
        <v>违规：实际股数超过风险或金字塔上限</v>
      </c>
    </row>
    <row r="125" ht="17" spans="1:18">
      <c r="A125" s="13">
        <v>50</v>
      </c>
      <c r="B125" s="14">
        <v>3</v>
      </c>
      <c r="C125" s="15">
        <v>44818</v>
      </c>
      <c r="D125" s="16">
        <v>18.74</v>
      </c>
      <c r="E125" s="16">
        <v>18</v>
      </c>
      <c r="F125" s="16">
        <v>1</v>
      </c>
      <c r="G125" s="14">
        <v>2500</v>
      </c>
      <c r="H125" s="17">
        <f t="shared" si="8"/>
        <v>46850</v>
      </c>
      <c r="I125" s="18">
        <f>IF(OR(A125="",B125=""),"",IFERROR(LOOKUP(2,1/(单次交易!$A$2:$A$201=A125),单次交易!$H$2:$H$201),0)+SUMIFS($G$2:$G$1001,$A$2:$A$1001,A125,$B$2:$B$1001,"&lt;"&amp;B125))</f>
        <v>15200</v>
      </c>
      <c r="J125" s="17">
        <f>IF(OR(A125="",B125=""),"",IFERROR(LOOKUP(2,1/(单次交易!$A$2:$A$201=A125),单次交易!$E$2:$E$201)*LOOKUP(2,1/(单次交易!$A$2:$A$201=A125),单次交易!$H$2:$H$201),0)+SUMIFS($H$2:$H$1001,$A$2:$A$1001,A125,$B$2:$B$1001,"&lt;"&amp;B125))</f>
        <v>293486</v>
      </c>
      <c r="K125" s="17">
        <f t="shared" si="9"/>
        <v>0</v>
      </c>
      <c r="L125" s="18">
        <f t="shared" si="10"/>
        <v>0</v>
      </c>
      <c r="M125" s="18">
        <f t="shared" si="11"/>
        <v>5000</v>
      </c>
      <c r="N125" s="18">
        <f t="shared" si="12"/>
        <v>0</v>
      </c>
      <c r="O125" s="18">
        <f t="shared" si="13"/>
        <v>17700</v>
      </c>
      <c r="P125" s="17">
        <f t="shared" si="14"/>
        <v>19.2280225988701</v>
      </c>
      <c r="Q125" s="17">
        <f t="shared" si="15"/>
        <v>21736</v>
      </c>
      <c r="R125" s="19" t="str">
        <f ca="1">IF(A125="","",IF(COUNTIF(_TradeIds,A125)=0,"违规：交易编号不存在",IF(OR(B125="",B125&lt;1,B125&gt;5,B125&lt;&gt;INT(B125)),"违规：加仓序号须为1到5的整数",IF(COUNTIFS($A$2:$A$1001,A125,$B$2:$B$1001,B125)&gt;1,"违规：同一交易的加仓序号重复",IF(OR(D125="",E125="",F125=""),"计划不完整：请填写加仓价、新止损价和风险预算",IF(OR(D125&lt;=0,E125&lt;=0,F125&lt;=0,D125&lt;=E125),"违规：加仓价必须高于新止损价，金额须大于0",IF(AND(B125&gt;1,COUNTIFS($A$2:$A$1001,A125,$B$2:$B$1001,B125-1,$G$2:$G$1001,"&gt;0")=0),"违规：须先完成上一次加仓",IF(AND(B125&gt;1,E125&lt;SUMIFS($E$2:$E$1001,$A$2:$A$1001,A125,$B$2:$B$1001,B125-1)),"违规：新止损价不得低于上一次",IF(AND(B125&gt;1,F125&gt;SUMIFS($F$2:$F$1001,$A$2:$A$1001,A125,$B$2:$B$1001,B125-1)),"违规：风险预算须逐次不增加",IF(OR(_LockStatus="已锁仓",_LockStatus="解锁信息不完整"),"违规：锁仓期间禁止加仓",IF(G125="","计划可执行：建议股数见N列",IF(OR(G125&lt;=0,G125&lt;&gt;INT(G125),MOD(G125,100)&lt;&gt;0),"违规：实际股数须为100股整数倍",IF(G125&gt;N125,"违规：实际股数超过风险或金字塔上限",IF(AND(B125&gt;1,G125&gt;SUMIFS($G$2:$G$1001,$A$2:$A$1001,A125,$B$2:$B$1001,B125-1)),"违规：加仓股数须逐次不增加",IF(Q125&gt;F125,"违规：止损风险超过本次预算","通过")))))))))))))))</f>
        <v>违规：实际股数超过风险或金字塔上限</v>
      </c>
    </row>
    <row r="126" ht="17" spans="1:18">
      <c r="A126" s="13">
        <v>51</v>
      </c>
      <c r="B126" s="14">
        <v>1</v>
      </c>
      <c r="C126" s="15">
        <v>44844</v>
      </c>
      <c r="D126" s="16">
        <v>18.88</v>
      </c>
      <c r="E126" s="16">
        <v>18</v>
      </c>
      <c r="F126" s="16">
        <v>1</v>
      </c>
      <c r="G126" s="14">
        <v>5000</v>
      </c>
      <c r="H126" s="17">
        <f t="shared" si="8"/>
        <v>94400</v>
      </c>
      <c r="I126" s="18">
        <f>IF(OR(A126="",B126=""),"",IFERROR(LOOKUP(2,1/(单次交易!$A$2:$A$201=A126),单次交易!$H$2:$H$201),0)+SUMIFS($G$2:$G$1001,$A$2:$A$1001,A126,$B$2:$B$1001,"&lt;"&amp;B126))</f>
        <v>11800</v>
      </c>
      <c r="J126" s="17">
        <f>IF(OR(A126="",B126=""),"",IFERROR(LOOKUP(2,1/(单次交易!$A$2:$A$201=A126),单次交易!$E$2:$E$201)*LOOKUP(2,1/(单次交易!$A$2:$A$201=A126),单次交易!$H$2:$H$201),0)+SUMIFS($H$2:$H$1001,$A$2:$A$1001,A126,$B$2:$B$1001,"&lt;"&amp;B126))</f>
        <v>221840</v>
      </c>
      <c r="K126" s="17">
        <f t="shared" si="9"/>
        <v>0</v>
      </c>
      <c r="L126" s="18">
        <f t="shared" si="10"/>
        <v>0</v>
      </c>
      <c r="M126" s="18">
        <f t="shared" si="11"/>
        <v>0</v>
      </c>
      <c r="N126" s="18">
        <f t="shared" si="12"/>
        <v>0</v>
      </c>
      <c r="O126" s="18">
        <f t="shared" si="13"/>
        <v>16800</v>
      </c>
      <c r="P126" s="17">
        <f t="shared" si="14"/>
        <v>18.8238095238095</v>
      </c>
      <c r="Q126" s="17">
        <f t="shared" si="15"/>
        <v>13840</v>
      </c>
      <c r="R126" s="19" t="str">
        <f ca="1">IF(A126="","",IF(COUNTIF(_TradeIds,A126)=0,"违规：交易编号不存在",IF(OR(B126="",B126&lt;1,B126&gt;5,B126&lt;&gt;INT(B126)),"违规：加仓序号须为1到5的整数",IF(COUNTIFS($A$2:$A$1001,A126,$B$2:$B$1001,B126)&gt;1,"违规：同一交易的加仓序号重复",IF(OR(D126="",E126="",F126=""),"计划不完整：请填写加仓价、新止损价和风险预算",IF(OR(D126&lt;=0,E126&lt;=0,F126&lt;=0,D126&lt;=E126),"违规：加仓价必须高于新止损价，金额须大于0",IF(AND(B126&gt;1,COUNTIFS($A$2:$A$1001,A126,$B$2:$B$1001,B126-1,$G$2:$G$1001,"&gt;0")=0),"违规：须先完成上一次加仓",IF(AND(B126&gt;1,E126&lt;SUMIFS($E$2:$E$1001,$A$2:$A$1001,A126,$B$2:$B$1001,B126-1)),"违规：新止损价不得低于上一次",IF(AND(B126&gt;1,F126&gt;SUMIFS($F$2:$F$1001,$A$2:$A$1001,A126,$B$2:$B$1001,B126-1)),"违规：风险预算须逐次不增加",IF(OR(_LockStatus="已锁仓",_LockStatus="解锁信息不完整"),"违规：锁仓期间禁止加仓",IF(G126="","计划可执行：建议股数见N列",IF(OR(G126&lt;=0,G126&lt;&gt;INT(G126),MOD(G126,100)&lt;&gt;0),"违规：实际股数须为100股整数倍",IF(G126&gt;N126,"违规：实际股数超过风险或金字塔上限",IF(AND(B126&gt;1,G126&gt;SUMIFS($G$2:$G$1001,$A$2:$A$1001,A126,$B$2:$B$1001,B126-1)),"违规：加仓股数须逐次不增加",IF(Q126&gt;F126,"违规：止损风险超过本次预算","通过")))))))))))))))</f>
        <v>违规：实际股数超过风险或金字塔上限</v>
      </c>
    </row>
    <row r="127" ht="17" spans="1:18">
      <c r="A127" s="13">
        <v>51</v>
      </c>
      <c r="B127" s="14">
        <v>2</v>
      </c>
      <c r="C127" s="15">
        <v>44852</v>
      </c>
      <c r="D127" s="16">
        <v>23.03</v>
      </c>
      <c r="E127" s="16">
        <v>21.5</v>
      </c>
      <c r="F127" s="16">
        <v>1</v>
      </c>
      <c r="G127" s="14">
        <v>2500</v>
      </c>
      <c r="H127" s="17">
        <f t="shared" si="8"/>
        <v>57575</v>
      </c>
      <c r="I127" s="18">
        <f>IF(OR(A127="",B127=""),"",IFERROR(LOOKUP(2,1/(单次交易!$A$2:$A$201=A127),单次交易!$H$2:$H$201),0)+SUMIFS($G$2:$G$1001,$A$2:$A$1001,A127,$B$2:$B$1001,"&lt;"&amp;B127))</f>
        <v>16800</v>
      </c>
      <c r="J127" s="17">
        <f>IF(OR(A127="",B127=""),"",IFERROR(LOOKUP(2,1/(单次交易!$A$2:$A$201=A127),单次交易!$E$2:$E$201)*LOOKUP(2,1/(单次交易!$A$2:$A$201=A127),单次交易!$H$2:$H$201),0)+SUMIFS($H$2:$H$1001,$A$2:$A$1001,A127,$B$2:$B$1001,"&lt;"&amp;B127))</f>
        <v>316240</v>
      </c>
      <c r="K127" s="17">
        <f t="shared" si="9"/>
        <v>44960</v>
      </c>
      <c r="L127" s="18">
        <f t="shared" si="10"/>
        <v>29300</v>
      </c>
      <c r="M127" s="18">
        <f t="shared" si="11"/>
        <v>5000</v>
      </c>
      <c r="N127" s="18">
        <f t="shared" si="12"/>
        <v>5000</v>
      </c>
      <c r="O127" s="18">
        <f t="shared" si="13"/>
        <v>19300</v>
      </c>
      <c r="P127" s="17">
        <f t="shared" si="14"/>
        <v>19.3686528497409</v>
      </c>
      <c r="Q127" s="17">
        <f t="shared" si="15"/>
        <v>0</v>
      </c>
      <c r="R127" s="19" t="str">
        <f ca="1">IF(A127="","",IF(COUNTIF(_TradeIds,A127)=0,"违规：交易编号不存在",IF(OR(B127="",B127&lt;1,B127&gt;5,B127&lt;&gt;INT(B127)),"违规：加仓序号须为1到5的整数",IF(COUNTIFS($A$2:$A$1001,A127,$B$2:$B$1001,B127)&gt;1,"违规：同一交易的加仓序号重复",IF(OR(D127="",E127="",F127=""),"计划不完整：请填写加仓价、新止损价和风险预算",IF(OR(D127&lt;=0,E127&lt;=0,F127&lt;=0,D127&lt;=E127),"违规：加仓价必须高于新止损价，金额须大于0",IF(AND(B127&gt;1,COUNTIFS($A$2:$A$1001,A127,$B$2:$B$1001,B127-1,$G$2:$G$1001,"&gt;0")=0),"违规：须先完成上一次加仓",IF(AND(B127&gt;1,E127&lt;SUMIFS($E$2:$E$1001,$A$2:$A$1001,A127,$B$2:$B$1001,B127-1)),"违规：新止损价不得低于上一次",IF(AND(B127&gt;1,F127&gt;SUMIFS($F$2:$F$1001,$A$2:$A$1001,A127,$B$2:$B$1001,B127-1)),"违规：风险预算须逐次不增加",IF(OR(_LockStatus="已锁仓",_LockStatus="解锁信息不完整"),"违规：锁仓期间禁止加仓",IF(G127="","计划可执行：建议股数见N列",IF(OR(G127&lt;=0,G127&lt;&gt;INT(G127),MOD(G127,100)&lt;&gt;0),"违规：实际股数须为100股整数倍",IF(G127&gt;N127,"违规：实际股数超过风险或金字塔上限",IF(AND(B127&gt;1,G127&gt;SUMIFS($G$2:$G$1001,$A$2:$A$1001,A127,$B$2:$B$1001,B127-1)),"违规：加仓股数须逐次不增加",IF(Q127&gt;F127,"违规：止损风险超过本次预算","通过")))))))))))))))</f>
        <v>通过</v>
      </c>
    </row>
    <row r="128" ht="17" spans="1:18">
      <c r="A128" s="13">
        <v>51</v>
      </c>
      <c r="B128" s="14">
        <v>3</v>
      </c>
      <c r="C128" s="15">
        <v>44858</v>
      </c>
      <c r="D128" s="16">
        <v>22.12</v>
      </c>
      <c r="E128" s="16">
        <v>21.5</v>
      </c>
      <c r="F128" s="16">
        <v>1</v>
      </c>
      <c r="G128" s="14">
        <v>2500</v>
      </c>
      <c r="H128" s="17">
        <f t="shared" si="8"/>
        <v>55300</v>
      </c>
      <c r="I128" s="18">
        <f>IF(OR(A128="",B128=""),"",IFERROR(LOOKUP(2,1/(单次交易!$A$2:$A$201=A128),单次交易!$H$2:$H$201),0)+SUMIFS($G$2:$G$1001,$A$2:$A$1001,A128,$B$2:$B$1001,"&lt;"&amp;B128))</f>
        <v>19300</v>
      </c>
      <c r="J128" s="17">
        <f>IF(OR(A128="",B128=""),"",IFERROR(LOOKUP(2,1/(单次交易!$A$2:$A$201=A128),单次交易!$E$2:$E$201)*LOOKUP(2,1/(单次交易!$A$2:$A$201=A128),单次交易!$H$2:$H$201),0)+SUMIFS($H$2:$H$1001,$A$2:$A$1001,A128,$B$2:$B$1001,"&lt;"&amp;B128))</f>
        <v>373815</v>
      </c>
      <c r="K128" s="17">
        <f t="shared" si="9"/>
        <v>41135</v>
      </c>
      <c r="L128" s="18">
        <f t="shared" si="10"/>
        <v>66300</v>
      </c>
      <c r="M128" s="18">
        <f t="shared" si="11"/>
        <v>2500</v>
      </c>
      <c r="N128" s="18">
        <f t="shared" si="12"/>
        <v>2500</v>
      </c>
      <c r="O128" s="18">
        <f t="shared" si="13"/>
        <v>21800</v>
      </c>
      <c r="P128" s="17">
        <f t="shared" si="14"/>
        <v>19.6841743119266</v>
      </c>
      <c r="Q128" s="17">
        <f t="shared" si="15"/>
        <v>0</v>
      </c>
      <c r="R128" s="19" t="str">
        <f ca="1">IF(A128="","",IF(COUNTIF(_TradeIds,A128)=0,"违规：交易编号不存在",IF(OR(B128="",B128&lt;1,B128&gt;5,B128&lt;&gt;INT(B128)),"违规：加仓序号须为1到5的整数",IF(COUNTIFS($A$2:$A$1001,A128,$B$2:$B$1001,B128)&gt;1,"违规：同一交易的加仓序号重复",IF(OR(D128="",E128="",F128=""),"计划不完整：请填写加仓价、新止损价和风险预算",IF(OR(D128&lt;=0,E128&lt;=0,F128&lt;=0,D128&lt;=E128),"违规：加仓价必须高于新止损价，金额须大于0",IF(AND(B128&gt;1,COUNTIFS($A$2:$A$1001,A128,$B$2:$B$1001,B128-1,$G$2:$G$1001,"&gt;0")=0),"违规：须先完成上一次加仓",IF(AND(B128&gt;1,E128&lt;SUMIFS($E$2:$E$1001,$A$2:$A$1001,A128,$B$2:$B$1001,B128-1)),"违规：新止损价不得低于上一次",IF(AND(B128&gt;1,F128&gt;SUMIFS($F$2:$F$1001,$A$2:$A$1001,A128,$B$2:$B$1001,B128-1)),"违规：风险预算须逐次不增加",IF(OR(_LockStatus="已锁仓",_LockStatus="解锁信息不完整"),"违规：锁仓期间禁止加仓",IF(G128="","计划可执行：建议股数见N列",IF(OR(G128&lt;=0,G128&lt;&gt;INT(G128),MOD(G128,100)&lt;&gt;0),"违规：实际股数须为100股整数倍",IF(G128&gt;N128,"违规：实际股数超过风险或金字塔上限",IF(AND(B128&gt;1,G128&gt;SUMIFS($G$2:$G$1001,$A$2:$A$1001,A128,$B$2:$B$1001,B128-1)),"违规：加仓股数须逐次不增加",IF(Q128&gt;F128,"违规：止损风险超过本次预算","通过")))))))))))))))</f>
        <v>通过</v>
      </c>
    </row>
    <row r="129" ht="17" spans="1:18">
      <c r="A129" s="13">
        <v>51</v>
      </c>
      <c r="B129" s="14">
        <v>4</v>
      </c>
      <c r="C129" s="15">
        <v>44866</v>
      </c>
      <c r="D129" s="16">
        <v>21.58</v>
      </c>
      <c r="E129" s="16">
        <v>21.5</v>
      </c>
      <c r="F129" s="16">
        <v>1</v>
      </c>
      <c r="G129" s="14">
        <v>1500</v>
      </c>
      <c r="H129" s="17">
        <f t="shared" si="8"/>
        <v>32370</v>
      </c>
      <c r="I129" s="18">
        <f>IF(OR(A129="",B129=""),"",IFERROR(LOOKUP(2,1/(单次交易!$A$2:$A$201=A129),单次交易!$H$2:$H$201),0)+SUMIFS($G$2:$G$1001,$A$2:$A$1001,A129,$B$2:$B$1001,"&lt;"&amp;B129))</f>
        <v>21800</v>
      </c>
      <c r="J129" s="17">
        <f>IF(OR(A129="",B129=""),"",IFERROR(LOOKUP(2,1/(单次交易!$A$2:$A$201=A129),单次交易!$E$2:$E$201)*LOOKUP(2,1/(单次交易!$A$2:$A$201=A129),单次交易!$H$2:$H$201),0)+SUMIFS($H$2:$H$1001,$A$2:$A$1001,A129,$B$2:$B$1001,"&lt;"&amp;B129))</f>
        <v>429115</v>
      </c>
      <c r="K129" s="17">
        <f t="shared" si="9"/>
        <v>39585</v>
      </c>
      <c r="L129" s="18">
        <f t="shared" si="10"/>
        <v>494800</v>
      </c>
      <c r="M129" s="18">
        <f t="shared" si="11"/>
        <v>2500</v>
      </c>
      <c r="N129" s="18">
        <f t="shared" si="12"/>
        <v>2500</v>
      </c>
      <c r="O129" s="18">
        <f t="shared" si="13"/>
        <v>23300</v>
      </c>
      <c r="P129" s="17">
        <f t="shared" si="14"/>
        <v>19.8062231759657</v>
      </c>
      <c r="Q129" s="17">
        <f t="shared" si="15"/>
        <v>0</v>
      </c>
      <c r="R129" s="19" t="str">
        <f ca="1">IF(A129="","",IF(COUNTIF(_TradeIds,A129)=0,"违规：交易编号不存在",IF(OR(B129="",B129&lt;1,B129&gt;5,B129&lt;&gt;INT(B129)),"违规：加仓序号须为1到5的整数",IF(COUNTIFS($A$2:$A$1001,A129,$B$2:$B$1001,B129)&gt;1,"违规：同一交易的加仓序号重复",IF(OR(D129="",E129="",F129=""),"计划不完整：请填写加仓价、新止损价和风险预算",IF(OR(D129&lt;=0,E129&lt;=0,F129&lt;=0,D129&lt;=E129),"违规：加仓价必须高于新止损价，金额须大于0",IF(AND(B129&gt;1,COUNTIFS($A$2:$A$1001,A129,$B$2:$B$1001,B129-1,$G$2:$G$1001,"&gt;0")=0),"违规：须先完成上一次加仓",IF(AND(B129&gt;1,E129&lt;SUMIFS($E$2:$E$1001,$A$2:$A$1001,A129,$B$2:$B$1001,B129-1)),"违规：新止损价不得低于上一次",IF(AND(B129&gt;1,F129&gt;SUMIFS($F$2:$F$1001,$A$2:$A$1001,A129,$B$2:$B$1001,B129-1)),"违规：风险预算须逐次不增加",IF(OR(_LockStatus="已锁仓",_LockStatus="解锁信息不完整"),"违规：锁仓期间禁止加仓",IF(G129="","计划可执行：建议股数见N列",IF(OR(G129&lt;=0,G129&lt;&gt;INT(G129),MOD(G129,100)&lt;&gt;0),"违规：实际股数须为100股整数倍",IF(G129&gt;N129,"违规：实际股数超过风险或金字塔上限",IF(AND(B129&gt;1,G129&gt;SUMIFS($G$2:$G$1001,$A$2:$A$1001,A129,$B$2:$B$1001,B129-1)),"违规：加仓股数须逐次不增加",IF(Q129&gt;F129,"违规：止损风险超过本次预算","通过")))))))))))))))</f>
        <v>通过</v>
      </c>
    </row>
    <row r="130" ht="17" spans="1:18">
      <c r="A130" s="13">
        <v>52</v>
      </c>
      <c r="B130" s="14">
        <v>1</v>
      </c>
      <c r="C130" s="15">
        <v>44908</v>
      </c>
      <c r="D130" s="16">
        <v>20.94</v>
      </c>
      <c r="E130" s="16">
        <v>20</v>
      </c>
      <c r="F130" s="16">
        <v>1</v>
      </c>
      <c r="G130" s="14">
        <v>5000</v>
      </c>
      <c r="H130" s="17">
        <f t="shared" ref="H130:H193" si="16">IF(OR(A130="",D130="",G130=""),"",D130*G130)</f>
        <v>104700</v>
      </c>
      <c r="I130" s="18">
        <f>IF(OR(A130="",B130=""),"",IFERROR(LOOKUP(2,1/(单次交易!$A$2:$A$201=A130),单次交易!$H$2:$H$201),0)+SUMIFS($G$2:$G$1001,$A$2:$A$1001,A130,$B$2:$B$1001,"&lt;"&amp;B130))</f>
        <v>11800</v>
      </c>
      <c r="J130" s="17">
        <f>IF(OR(A130="",B130=""),"",IFERROR(LOOKUP(2,1/(单次交易!$A$2:$A$201=A130),单次交易!$E$2:$E$201)*LOOKUP(2,1/(单次交易!$A$2:$A$201=A130),单次交易!$H$2:$H$201),0)+SUMIFS($H$2:$H$1001,$A$2:$A$1001,A130,$B$2:$B$1001,"&lt;"&amp;B130))</f>
        <v>245912</v>
      </c>
      <c r="K130" s="17">
        <f t="shared" ref="K130:K193" si="17">IF(OR(E130="",I130="",J130=""),"",MAX(E130*I130-J130,0))</f>
        <v>0</v>
      </c>
      <c r="L130" s="18">
        <f t="shared" ref="L130:L193" si="18">IF(OR(D130="",E130="",F130="",D130&lt;=E130),"",FLOOR((F130+K130)/(D130-E130),100))</f>
        <v>0</v>
      </c>
      <c r="M130" s="18">
        <f t="shared" ref="M130:M193" si="19">IF(OR(A130="",B130="",L130=""),"",IF(B130=1,L130,IFERROR(SUMIFS($G$2:$G$1001,$A$2:$A$1001,A130,$B$2:$B$1001,B130-1),0)))</f>
        <v>0</v>
      </c>
      <c r="N130" s="18">
        <f t="shared" ref="N130:N193" si="20">IF(OR(L130="",M130=""),"",MIN(L130,M130))</f>
        <v>0</v>
      </c>
      <c r="O130" s="18">
        <f t="shared" ref="O130:O193" si="21">IF(OR(I130="",G130=""),"",I130+G130)</f>
        <v>16800</v>
      </c>
      <c r="P130" s="17">
        <f t="shared" ref="P130:P193" si="22">IF(OR(O130="",O130=0),"",(J130+H130)/O130)</f>
        <v>20.8697619047619</v>
      </c>
      <c r="Q130" s="17">
        <f t="shared" ref="Q130:Q193" si="23">IF(OR(O130="",E130=""),"",MAX(J130+H130-E130*O130,0))</f>
        <v>14612</v>
      </c>
      <c r="R130" s="19" t="str">
        <f ca="1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>违规：实际股数超过风险或金字塔上限</v>
      </c>
    </row>
    <row r="131" ht="17" spans="1:18">
      <c r="A131" s="13">
        <v>52</v>
      </c>
      <c r="B131" s="14">
        <v>2</v>
      </c>
      <c r="C131" s="15">
        <v>44910</v>
      </c>
      <c r="D131" s="16">
        <v>19.99</v>
      </c>
      <c r="E131" s="16">
        <v>19.5</v>
      </c>
      <c r="F131" s="16">
        <v>1</v>
      </c>
      <c r="G131" s="14">
        <v>5000</v>
      </c>
      <c r="H131" s="17">
        <f t="shared" si="16"/>
        <v>99950</v>
      </c>
      <c r="I131" s="18">
        <f>IF(OR(A131="",B131=""),"",IFERROR(LOOKUP(2,1/(单次交易!$A$2:$A$201=A131),单次交易!$H$2:$H$201),0)+SUMIFS($G$2:$G$1001,$A$2:$A$1001,A131,$B$2:$B$1001,"&lt;"&amp;B131))</f>
        <v>16800</v>
      </c>
      <c r="J131" s="17">
        <f>IF(OR(A131="",B131=""),"",IFERROR(LOOKUP(2,1/(单次交易!$A$2:$A$201=A131),单次交易!$E$2:$E$201)*LOOKUP(2,1/(单次交易!$A$2:$A$201=A131),单次交易!$H$2:$H$201),0)+SUMIFS($H$2:$H$1001,$A$2:$A$1001,A131,$B$2:$B$1001,"&lt;"&amp;B131))</f>
        <v>350612</v>
      </c>
      <c r="K131" s="17">
        <f t="shared" si="17"/>
        <v>0</v>
      </c>
      <c r="L131" s="18">
        <f t="shared" si="18"/>
        <v>0</v>
      </c>
      <c r="M131" s="18">
        <f t="shared" si="19"/>
        <v>5000</v>
      </c>
      <c r="N131" s="18">
        <f t="shared" si="20"/>
        <v>0</v>
      </c>
      <c r="O131" s="18">
        <f t="shared" si="21"/>
        <v>21800</v>
      </c>
      <c r="P131" s="17">
        <f t="shared" si="22"/>
        <v>20.6679816513761</v>
      </c>
      <c r="Q131" s="17">
        <f t="shared" si="23"/>
        <v>25462</v>
      </c>
      <c r="R131" s="19" t="str">
        <f ca="1">IF(A131="","",IF(COUNTIF(_TradeIds,A131)=0,"违规：交易编号不存在",IF(OR(B131="",B131&lt;1,B131&gt;5,B131&lt;&gt;INT(B131)),"违规：加仓序号须为1到5的整数",IF(COUNTIFS($A$2:$A$1001,A131,$B$2:$B$1001,B131)&gt;1,"违规：同一交易的加仓序号重复",IF(OR(D131="",E131="",F131=""),"计划不完整：请填写加仓价、新止损价和风险预算",IF(OR(D131&lt;=0,E131&lt;=0,F131&lt;=0,D131&lt;=E131),"违规：加仓价必须高于新止损价，金额须大于0",IF(AND(B131&gt;1,COUNTIFS($A$2:$A$1001,A131,$B$2:$B$1001,B131-1,$G$2:$G$1001,"&gt;0")=0),"违规：须先完成上一次加仓",IF(AND(B131&gt;1,E131&lt;SUMIFS($E$2:$E$1001,$A$2:$A$1001,A131,$B$2:$B$1001,B131-1)),"违规：新止损价不得低于上一次",IF(AND(B131&gt;1,F131&gt;SUMIFS($F$2:$F$1001,$A$2:$A$1001,A131,$B$2:$B$1001,B131-1)),"违规：风险预算须逐次不增加",IF(OR(_LockStatus="已锁仓",_LockStatus="解锁信息不完整"),"违规：锁仓期间禁止加仓",IF(G131="","计划可执行：建议股数见N列",IF(OR(G131&lt;=0,G131&lt;&gt;INT(G131),MOD(G131,100)&lt;&gt;0),"违规：实际股数须为100股整数倍",IF(G131&gt;N131,"违规：实际股数超过风险或金字塔上限",IF(AND(B131&gt;1,G131&gt;SUMIFS($G$2:$G$1001,$A$2:$A$1001,A131,$B$2:$B$1001,B131-1)),"违规：加仓股数须逐次不增加",IF(Q131&gt;F131,"违规：止损风险超过本次预算","通过")))))))))))))))</f>
        <v>违规：新止损价不得低于上一次</v>
      </c>
    </row>
    <row r="132" ht="17" spans="1:18">
      <c r="A132" s="13">
        <v>52</v>
      </c>
      <c r="B132" s="14">
        <v>3</v>
      </c>
      <c r="C132" s="15">
        <v>44914</v>
      </c>
      <c r="D132" s="16">
        <v>19.71</v>
      </c>
      <c r="E132" s="16">
        <v>19.5</v>
      </c>
      <c r="F132" s="16">
        <v>1</v>
      </c>
      <c r="G132" s="14">
        <v>2000</v>
      </c>
      <c r="H132" s="17">
        <f t="shared" si="16"/>
        <v>39420</v>
      </c>
      <c r="I132" s="18">
        <f>IF(OR(A132="",B132=""),"",IFERROR(LOOKUP(2,1/(单次交易!$A$2:$A$201=A132),单次交易!$H$2:$H$201),0)+SUMIFS($G$2:$G$1001,$A$2:$A$1001,A132,$B$2:$B$1001,"&lt;"&amp;B132))</f>
        <v>21800</v>
      </c>
      <c r="J132" s="17">
        <f>IF(OR(A132="",B132=""),"",IFERROR(LOOKUP(2,1/(单次交易!$A$2:$A$201=A132),单次交易!$E$2:$E$201)*LOOKUP(2,1/(单次交易!$A$2:$A$201=A132),单次交易!$H$2:$H$201),0)+SUMIFS($H$2:$H$1001,$A$2:$A$1001,A132,$B$2:$B$1001,"&lt;"&amp;B132))</f>
        <v>450562</v>
      </c>
      <c r="K132" s="17">
        <f t="shared" si="17"/>
        <v>0</v>
      </c>
      <c r="L132" s="18">
        <f t="shared" si="18"/>
        <v>0</v>
      </c>
      <c r="M132" s="18">
        <f t="shared" si="19"/>
        <v>5000</v>
      </c>
      <c r="N132" s="18">
        <f t="shared" si="20"/>
        <v>0</v>
      </c>
      <c r="O132" s="18">
        <f t="shared" si="21"/>
        <v>23800</v>
      </c>
      <c r="P132" s="17">
        <f t="shared" si="22"/>
        <v>20.5874789915966</v>
      </c>
      <c r="Q132" s="17">
        <f t="shared" si="23"/>
        <v>25882</v>
      </c>
      <c r="R132" s="19" t="str">
        <f ca="1">IF(A132="","",IF(COUNTIF(_TradeIds,A132)=0,"违规：交易编号不存在",IF(OR(B132="",B132&lt;1,B132&gt;5,B132&lt;&gt;INT(B132)),"违规：加仓序号须为1到5的整数",IF(COUNTIFS($A$2:$A$1001,A132,$B$2:$B$1001,B132)&gt;1,"违规：同一交易的加仓序号重复",IF(OR(D132="",E132="",F132=""),"计划不完整：请填写加仓价、新止损价和风险预算",IF(OR(D132&lt;=0,E132&lt;=0,F132&lt;=0,D132&lt;=E132),"违规：加仓价必须高于新止损价，金额须大于0",IF(AND(B132&gt;1,COUNTIFS($A$2:$A$1001,A132,$B$2:$B$1001,B132-1,$G$2:$G$1001,"&gt;0")=0),"违规：须先完成上一次加仓",IF(AND(B132&gt;1,E132&lt;SUMIFS($E$2:$E$1001,$A$2:$A$1001,A132,$B$2:$B$1001,B132-1)),"违规：新止损价不得低于上一次",IF(AND(B132&gt;1,F132&gt;SUMIFS($F$2:$F$1001,$A$2:$A$1001,A132,$B$2:$B$1001,B132-1)),"违规：风险预算须逐次不增加",IF(OR(_LockStatus="已锁仓",_LockStatus="解锁信息不完整"),"违规：锁仓期间禁止加仓",IF(G132="","计划可执行：建议股数见N列",IF(OR(G132&lt;=0,G132&lt;&gt;INT(G132),MOD(G132,100)&lt;&gt;0),"违规：实际股数须为100股整数倍",IF(G132&gt;N132,"违规：实际股数超过风险或金字塔上限",IF(AND(B132&gt;1,G132&gt;SUMIFS($G$2:$G$1001,$A$2:$A$1001,A132,$B$2:$B$1001,B132-1)),"违规：加仓股数须逐次不增加",IF(Q132&gt;F132,"违规：止损风险超过本次预算","通过")))))))))))))))</f>
        <v>违规：实际股数超过风险或金字塔上限</v>
      </c>
    </row>
    <row r="133" ht="17" spans="1:18">
      <c r="A133" s="13">
        <v>53</v>
      </c>
      <c r="B133" s="14">
        <v>1</v>
      </c>
      <c r="C133" s="15">
        <v>45026</v>
      </c>
      <c r="D133" s="16">
        <v>27.02</v>
      </c>
      <c r="E133" s="16">
        <v>15</v>
      </c>
      <c r="F133" s="16">
        <v>1</v>
      </c>
      <c r="G133" s="14">
        <v>10000</v>
      </c>
      <c r="H133" s="17">
        <f t="shared" si="16"/>
        <v>270200</v>
      </c>
      <c r="I133" s="18">
        <f>IF(OR(A133="",B133=""),"",IFERROR(LOOKUP(2,1/(单次交易!$A$2:$A$201=A133),单次交易!$H$2:$H$201),0)+SUMIFS($G$2:$G$1001,$A$2:$A$1001,A133,$B$2:$B$1001,"&lt;"&amp;B133))</f>
        <v>11800</v>
      </c>
      <c r="J133" s="17">
        <f>IF(OR(A133="",B133=""),"",IFERROR(LOOKUP(2,1/(单次交易!$A$2:$A$201=A133),单次交易!$E$2:$E$201)*LOOKUP(2,1/(单次交易!$A$2:$A$201=A133),单次交易!$H$2:$H$201),0)+SUMIFS($H$2:$H$1001,$A$2:$A$1001,A133,$B$2:$B$1001,"&lt;"&amp;B133))</f>
        <v>282256</v>
      </c>
      <c r="K133" s="17">
        <f t="shared" si="17"/>
        <v>0</v>
      </c>
      <c r="L133" s="18">
        <f t="shared" si="18"/>
        <v>0</v>
      </c>
      <c r="M133" s="18">
        <f t="shared" si="19"/>
        <v>0</v>
      </c>
      <c r="N133" s="18">
        <f t="shared" si="20"/>
        <v>0</v>
      </c>
      <c r="O133" s="18">
        <f t="shared" si="21"/>
        <v>21800</v>
      </c>
      <c r="P133" s="17">
        <f t="shared" si="22"/>
        <v>25.3420183486239</v>
      </c>
      <c r="Q133" s="17">
        <f t="shared" si="23"/>
        <v>225456</v>
      </c>
      <c r="R133" s="19" t="str">
        <f ca="1">IF(A133="","",IF(COUNTIF(_TradeIds,A133)=0,"违规：交易编号不存在",IF(OR(B133="",B133&lt;1,B133&gt;5,B133&lt;&gt;INT(B133)),"违规：加仓序号须为1到5的整数",IF(COUNTIFS($A$2:$A$1001,A133,$B$2:$B$1001,B133)&gt;1,"违规：同一交易的加仓序号重复",IF(OR(D133="",E133="",F133=""),"计划不完整：请填写加仓价、新止损价和风险预算",IF(OR(D133&lt;=0,E133&lt;=0,F133&lt;=0,D133&lt;=E133),"违规：加仓价必须高于新止损价，金额须大于0",IF(AND(B133&gt;1,COUNTIFS($A$2:$A$1001,A133,$B$2:$B$1001,B133-1,$G$2:$G$1001,"&gt;0")=0),"违规：须先完成上一次加仓",IF(AND(B133&gt;1,E133&lt;SUMIFS($E$2:$E$1001,$A$2:$A$1001,A133,$B$2:$B$1001,B133-1)),"违规：新止损价不得低于上一次",IF(AND(B133&gt;1,F133&gt;SUMIFS($F$2:$F$1001,$A$2:$A$1001,A133,$B$2:$B$1001,B133-1)),"违规：风险预算须逐次不增加",IF(OR(_LockStatus="已锁仓",_LockStatus="解锁信息不完整"),"违规：锁仓期间禁止加仓",IF(G133="","计划可执行：建议股数见N列",IF(OR(G133&lt;=0,G133&lt;&gt;INT(G133),MOD(G133,100)&lt;&gt;0),"违规：实际股数须为100股整数倍",IF(G133&gt;N133,"违规：实际股数超过风险或金字塔上限",IF(AND(B133&gt;1,G133&gt;SUMIFS($G$2:$G$1001,$A$2:$A$1001,A133,$B$2:$B$1001,B133-1)),"违规：加仓股数须逐次不增加",IF(Q133&gt;F133,"违规：止损风险超过本次预算","通过")))))))))))))))</f>
        <v>违规：实际股数超过风险或金字塔上限</v>
      </c>
    </row>
    <row r="134" ht="17" spans="1:18">
      <c r="A134" s="13">
        <v>54</v>
      </c>
      <c r="B134" s="14">
        <v>1</v>
      </c>
      <c r="C134" s="15">
        <v>45075</v>
      </c>
      <c r="D134" s="16">
        <v>30.59</v>
      </c>
      <c r="E134" s="16">
        <v>29.5</v>
      </c>
      <c r="F134" s="16">
        <v>1</v>
      </c>
      <c r="G134" s="14">
        <v>3000</v>
      </c>
      <c r="H134" s="17">
        <f t="shared" si="16"/>
        <v>91770</v>
      </c>
      <c r="I134" s="18">
        <f>IF(OR(A134="",B134=""),"",IFERROR(LOOKUP(2,1/(单次交易!$A$2:$A$201=A134),单次交易!$H$2:$H$201),0)+SUMIFS($G$2:$G$1001,$A$2:$A$1001,A134,$B$2:$B$1001,"&lt;"&amp;B134))</f>
        <v>10000</v>
      </c>
      <c r="J134" s="17">
        <f>IF(OR(A134="",B134=""),"",IFERROR(LOOKUP(2,1/(单次交易!$A$2:$A$201=A134),单次交易!$E$2:$E$201)*LOOKUP(2,1/(单次交易!$A$2:$A$201=A134),单次交易!$H$2:$H$201),0)+SUMIFS($H$2:$H$1001,$A$2:$A$1001,A134,$B$2:$B$1001,"&lt;"&amp;B134))</f>
        <v>290900</v>
      </c>
      <c r="K134" s="17">
        <f t="shared" si="17"/>
        <v>4100</v>
      </c>
      <c r="L134" s="18">
        <f t="shared" si="18"/>
        <v>3700</v>
      </c>
      <c r="M134" s="18">
        <f t="shared" si="19"/>
        <v>3700</v>
      </c>
      <c r="N134" s="18">
        <f t="shared" si="20"/>
        <v>3700</v>
      </c>
      <c r="O134" s="18">
        <f t="shared" si="21"/>
        <v>13000</v>
      </c>
      <c r="P134" s="17">
        <f t="shared" si="22"/>
        <v>29.4361538461538</v>
      </c>
      <c r="Q134" s="17">
        <f t="shared" si="23"/>
        <v>0</v>
      </c>
      <c r="R134" s="19" t="str">
        <f ca="1">IF(A134="","",IF(COUNTIF(_TradeIds,A134)=0,"违规：交易编号不存在",IF(OR(B134="",B134&lt;1,B134&gt;5,B134&lt;&gt;INT(B134)),"违规：加仓序号须为1到5的整数",IF(COUNTIFS($A$2:$A$1001,A134,$B$2:$B$1001,B134)&gt;1,"违规：同一交易的加仓序号重复",IF(OR(D134="",E134="",F134=""),"计划不完整：请填写加仓价、新止损价和风险预算",IF(OR(D134&lt;=0,E134&lt;=0,F134&lt;=0,D134&lt;=E134),"违规：加仓价必须高于新止损价，金额须大于0",IF(AND(B134&gt;1,COUNTIFS($A$2:$A$1001,A134,$B$2:$B$1001,B134-1,$G$2:$G$1001,"&gt;0")=0),"违规：须先完成上一次加仓",IF(AND(B134&gt;1,E134&lt;SUMIFS($E$2:$E$1001,$A$2:$A$1001,A134,$B$2:$B$1001,B134-1)),"违规：新止损价不得低于上一次",IF(AND(B134&gt;1,F134&gt;SUMIFS($F$2:$F$1001,$A$2:$A$1001,A134,$B$2:$B$1001,B134-1)),"违规：风险预算须逐次不增加",IF(OR(_LockStatus="已锁仓",_LockStatus="解锁信息不完整"),"违规：锁仓期间禁止加仓",IF(G134="","计划可执行：建议股数见N列",IF(OR(G134&lt;=0,G134&lt;&gt;INT(G134),MOD(G134,100)&lt;&gt;0),"违规：实际股数须为100股整数倍",IF(G134&gt;N134,"违规：实际股数超过风险或金字塔上限",IF(AND(B134&gt;1,G134&gt;SUMIFS($G$2:$G$1001,$A$2:$A$1001,A134,$B$2:$B$1001,B134-1)),"违规：加仓股数须逐次不增加",IF(Q134&gt;F134,"违规：止损风险超过本次预算","通过")))))))))))))))</f>
        <v>通过</v>
      </c>
    </row>
    <row r="135" ht="17" spans="1:18">
      <c r="A135" s="13">
        <v>55</v>
      </c>
      <c r="B135" s="14">
        <v>1</v>
      </c>
      <c r="C135" s="15">
        <v>45112</v>
      </c>
      <c r="D135" s="16">
        <v>25.96</v>
      </c>
      <c r="E135" s="16">
        <v>25.5</v>
      </c>
      <c r="F135" s="16">
        <v>1</v>
      </c>
      <c r="G135" s="14">
        <v>5000</v>
      </c>
      <c r="H135" s="17">
        <f t="shared" si="16"/>
        <v>129800</v>
      </c>
      <c r="I135" s="18">
        <f>IF(OR(A135="",B135=""),"",IFERROR(LOOKUP(2,1/(单次交易!$A$2:$A$201=A135),单次交易!$H$2:$H$201),0)+SUMIFS($G$2:$G$1001,$A$2:$A$1001,A135,$B$2:$B$1001,"&lt;"&amp;B135))</f>
        <v>8000</v>
      </c>
      <c r="J135" s="17">
        <f>IF(OR(A135="",B135=""),"",IFERROR(LOOKUP(2,1/(单次交易!$A$2:$A$201=A135),单次交易!$E$2:$E$201)*LOOKUP(2,1/(单次交易!$A$2:$A$201=A135),单次交易!$H$2:$H$201),0)+SUMIFS($H$2:$H$1001,$A$2:$A$1001,A135,$B$2:$B$1001,"&lt;"&amp;B135))</f>
        <v>217920</v>
      </c>
      <c r="K135" s="17">
        <f t="shared" si="17"/>
        <v>0</v>
      </c>
      <c r="L135" s="18">
        <f t="shared" si="18"/>
        <v>0</v>
      </c>
      <c r="M135" s="18">
        <f t="shared" si="19"/>
        <v>0</v>
      </c>
      <c r="N135" s="18">
        <f t="shared" si="20"/>
        <v>0</v>
      </c>
      <c r="O135" s="18">
        <f t="shared" si="21"/>
        <v>13000</v>
      </c>
      <c r="P135" s="17">
        <f t="shared" si="22"/>
        <v>26.7476923076923</v>
      </c>
      <c r="Q135" s="17">
        <f t="shared" si="23"/>
        <v>16220</v>
      </c>
      <c r="R135" s="19" t="str">
        <f ca="1">IF(A135="","",IF(COUNTIF(_TradeIds,A135)=0,"违规：交易编号不存在",IF(OR(B135="",B135&lt;1,B135&gt;5,B135&lt;&gt;INT(B135)),"违规：加仓序号须为1到5的整数",IF(COUNTIFS($A$2:$A$1001,A135,$B$2:$B$1001,B135)&gt;1,"违规：同一交易的加仓序号重复",IF(OR(D135="",E135="",F135=""),"计划不完整：请填写加仓价、新止损价和风险预算",IF(OR(D135&lt;=0,E135&lt;=0,F135&lt;=0,D135&lt;=E135),"违规：加仓价必须高于新止损价，金额须大于0",IF(AND(B135&gt;1,COUNTIFS($A$2:$A$1001,A135,$B$2:$B$1001,B135-1,$G$2:$G$1001,"&gt;0")=0),"违规：须先完成上一次加仓",IF(AND(B135&gt;1,E135&lt;SUMIFS($E$2:$E$1001,$A$2:$A$1001,A135,$B$2:$B$1001,B135-1)),"违规：新止损价不得低于上一次",IF(AND(B135&gt;1,F135&gt;SUMIFS($F$2:$F$1001,$A$2:$A$1001,A135,$B$2:$B$1001,B135-1)),"违规：风险预算须逐次不增加",IF(OR(_LockStatus="已锁仓",_LockStatus="解锁信息不完整"),"违规：锁仓期间禁止加仓",IF(G135="","计划可执行：建议股数见N列",IF(OR(G135&lt;=0,G135&lt;&gt;INT(G135),MOD(G135,100)&lt;&gt;0),"违规：实际股数须为100股整数倍",IF(G135&gt;N135,"违规：实际股数超过风险或金字塔上限",IF(AND(B135&gt;1,G135&gt;SUMIFS($G$2:$G$1001,$A$2:$A$1001,A135,$B$2:$B$1001,B135-1)),"违规：加仓股数须逐次不增加",IF(Q135&gt;F135,"违规：止损风险超过本次预算","通过")))))))))))))))</f>
        <v>违规：实际股数超过风险或金字塔上限</v>
      </c>
    </row>
    <row r="136" ht="17" spans="1:18">
      <c r="A136" s="13">
        <v>56</v>
      </c>
      <c r="B136" s="14">
        <v>1</v>
      </c>
      <c r="C136" s="15">
        <v>45196</v>
      </c>
      <c r="D136" s="16">
        <v>27.06</v>
      </c>
      <c r="E136" s="16">
        <v>25.5</v>
      </c>
      <c r="F136" s="16">
        <v>1</v>
      </c>
      <c r="G136" s="14">
        <v>4000</v>
      </c>
      <c r="H136" s="17">
        <f t="shared" si="16"/>
        <v>108240</v>
      </c>
      <c r="I136" s="18">
        <f>IF(OR(A136="",B136=""),"",IFERROR(LOOKUP(2,1/(单次交易!$A$2:$A$201=A136),单次交易!$H$2:$H$201),0)+SUMIFS($G$2:$G$1001,$A$2:$A$1001,A136,$B$2:$B$1001,"&lt;"&amp;B136))</f>
        <v>10200</v>
      </c>
      <c r="J136" s="17">
        <f>IF(OR(A136="",B136=""),"",IFERROR(LOOKUP(2,1/(单次交易!$A$2:$A$201=A136),单次交易!$E$2:$E$201)*LOOKUP(2,1/(单次交易!$A$2:$A$201=A136),单次交易!$H$2:$H$201),0)+SUMIFS($H$2:$H$1001,$A$2:$A$1001,A136,$B$2:$B$1001,"&lt;"&amp;B136))</f>
        <v>247554</v>
      </c>
      <c r="K136" s="17">
        <f t="shared" si="17"/>
        <v>12546</v>
      </c>
      <c r="L136" s="18">
        <f t="shared" si="18"/>
        <v>8000</v>
      </c>
      <c r="M136" s="18">
        <f t="shared" si="19"/>
        <v>8000</v>
      </c>
      <c r="N136" s="18">
        <f t="shared" si="20"/>
        <v>8000</v>
      </c>
      <c r="O136" s="18">
        <f t="shared" si="21"/>
        <v>14200</v>
      </c>
      <c r="P136" s="17">
        <f t="shared" si="22"/>
        <v>25.0559154929577</v>
      </c>
      <c r="Q136" s="17">
        <f t="shared" si="23"/>
        <v>0</v>
      </c>
      <c r="R136" s="19" t="str">
        <f ca="1">IF(A136="","",IF(COUNTIF(_TradeIds,A136)=0,"违规：交易编号不存在",IF(OR(B136="",B136&lt;1,B136&gt;5,B136&lt;&gt;INT(B136)),"违规：加仓序号须为1到5的整数",IF(COUNTIFS($A$2:$A$1001,A136,$B$2:$B$1001,B136)&gt;1,"违规：同一交易的加仓序号重复",IF(OR(D136="",E136="",F136=""),"计划不完整：请填写加仓价、新止损价和风险预算",IF(OR(D136&lt;=0,E136&lt;=0,F136&lt;=0,D136&lt;=E136),"违规：加仓价必须高于新止损价，金额须大于0",IF(AND(B136&gt;1,COUNTIFS($A$2:$A$1001,A136,$B$2:$B$1001,B136-1,$G$2:$G$1001,"&gt;0")=0),"违规：须先完成上一次加仓",IF(AND(B136&gt;1,E136&lt;SUMIFS($E$2:$E$1001,$A$2:$A$1001,A136,$B$2:$B$1001,B136-1)),"违规：新止损价不得低于上一次",IF(AND(B136&gt;1,F136&gt;SUMIFS($F$2:$F$1001,$A$2:$A$1001,A136,$B$2:$B$1001,B136-1)),"违规：风险预算须逐次不增加",IF(OR(_LockStatus="已锁仓",_LockStatus="解锁信息不完整"),"违规：锁仓期间禁止加仓",IF(G136="","计划可执行：建议股数见N列",IF(OR(G136&lt;=0,G136&lt;&gt;INT(G136),MOD(G136,100)&lt;&gt;0),"违规：实际股数须为100股整数倍",IF(G136&gt;N136,"违规：实际股数超过风险或金字塔上限",IF(AND(B136&gt;1,G136&gt;SUMIFS($G$2:$G$1001,$A$2:$A$1001,A136,$B$2:$B$1001,B136-1)),"违规：加仓股数须逐次不增加",IF(Q136&gt;F136,"违规：止损风险超过本次预算","通过")))))))))))))))</f>
        <v>通过</v>
      </c>
    </row>
    <row r="137" ht="17" spans="1:18">
      <c r="A137" s="13">
        <v>57</v>
      </c>
      <c r="B137" s="14">
        <v>1</v>
      </c>
      <c r="C137" s="15">
        <v>45226</v>
      </c>
      <c r="D137" s="16">
        <v>25.27</v>
      </c>
      <c r="E137" s="16">
        <v>23.5</v>
      </c>
      <c r="F137" s="16">
        <v>1</v>
      </c>
      <c r="G137" s="14">
        <v>5000</v>
      </c>
      <c r="H137" s="17">
        <f t="shared" si="16"/>
        <v>126350</v>
      </c>
      <c r="I137" s="18">
        <f>IF(OR(A137="",B137=""),"",IFERROR(LOOKUP(2,1/(单次交易!$A$2:$A$201=A137),单次交易!$H$2:$H$201),0)+SUMIFS($G$2:$G$1001,$A$2:$A$1001,A137,$B$2:$B$1001,"&lt;"&amp;B137))</f>
        <v>16600</v>
      </c>
      <c r="J137" s="17">
        <f>IF(OR(A137="",B137=""),"",IFERROR(LOOKUP(2,1/(单次交易!$A$2:$A$201=A137),单次交易!$E$2:$E$201)*LOOKUP(2,1/(单次交易!$A$2:$A$201=A137),单次交易!$H$2:$H$201),0)+SUMIFS($H$2:$H$1001,$A$2:$A$1001,A137,$B$2:$B$1001,"&lt;"&amp;B137))</f>
        <v>381468</v>
      </c>
      <c r="K137" s="17">
        <f t="shared" si="17"/>
        <v>8632</v>
      </c>
      <c r="L137" s="18">
        <f t="shared" si="18"/>
        <v>4800</v>
      </c>
      <c r="M137" s="18">
        <f t="shared" si="19"/>
        <v>4800</v>
      </c>
      <c r="N137" s="18">
        <f t="shared" si="20"/>
        <v>4800</v>
      </c>
      <c r="O137" s="18">
        <f t="shared" si="21"/>
        <v>21600</v>
      </c>
      <c r="P137" s="17">
        <f t="shared" si="22"/>
        <v>23.5100925925926</v>
      </c>
      <c r="Q137" s="17">
        <f t="shared" si="23"/>
        <v>218</v>
      </c>
      <c r="R137" s="19" t="str">
        <f ca="1">IF(A137="","",IF(COUNTIF(_TradeIds,A137)=0,"违规：交易编号不存在",IF(OR(B137="",B137&lt;1,B137&gt;5,B137&lt;&gt;INT(B137)),"违规：加仓序号须为1到5的整数",IF(COUNTIFS($A$2:$A$1001,A137,$B$2:$B$1001,B137)&gt;1,"违规：同一交易的加仓序号重复",IF(OR(D137="",E137="",F137=""),"计划不完整：请填写加仓价、新止损价和风险预算",IF(OR(D137&lt;=0,E137&lt;=0,F137&lt;=0,D137&lt;=E137),"违规：加仓价必须高于新止损价，金额须大于0",IF(AND(B137&gt;1,COUNTIFS($A$2:$A$1001,A137,$B$2:$B$1001,B137-1,$G$2:$G$1001,"&gt;0")=0),"违规：须先完成上一次加仓",IF(AND(B137&gt;1,E137&lt;SUMIFS($E$2:$E$1001,$A$2:$A$1001,A137,$B$2:$B$1001,B137-1)),"违规：新止损价不得低于上一次",IF(AND(B137&gt;1,F137&gt;SUMIFS($F$2:$F$1001,$A$2:$A$1001,A137,$B$2:$B$1001,B137-1)),"违规：风险预算须逐次不增加",IF(OR(_LockStatus="已锁仓",_LockStatus="解锁信息不完整"),"违规：锁仓期间禁止加仓",IF(G137="","计划可执行：建议股数见N列",IF(OR(G137&lt;=0,G137&lt;&gt;INT(G137),MOD(G137,100)&lt;&gt;0),"违规：实际股数须为100股整数倍",IF(G137&gt;N137,"违规：实际股数超过风险或金字塔上限",IF(AND(B137&gt;1,G137&gt;SUMIFS($G$2:$G$1001,$A$2:$A$1001,A137,$B$2:$B$1001,B137-1)),"违规：加仓股数须逐次不增加",IF(Q137&gt;F137,"违规：止损风险超过本次预算","通过")))))))))))))))</f>
        <v>违规：实际股数超过风险或金字塔上限</v>
      </c>
    </row>
    <row r="138" ht="17" spans="1:18">
      <c r="A138" s="13">
        <v>57</v>
      </c>
      <c r="B138" s="14">
        <v>2</v>
      </c>
      <c r="C138" s="15">
        <v>41586</v>
      </c>
      <c r="D138" s="16">
        <v>26.25</v>
      </c>
      <c r="E138" s="16">
        <v>25</v>
      </c>
      <c r="F138" s="16">
        <v>1</v>
      </c>
      <c r="G138" s="14">
        <v>2500</v>
      </c>
      <c r="H138" s="17">
        <f t="shared" si="16"/>
        <v>65625</v>
      </c>
      <c r="I138" s="18">
        <f>IF(OR(A138="",B138=""),"",IFERROR(LOOKUP(2,1/(单次交易!$A$2:$A$201=A138),单次交易!$H$2:$H$201),0)+SUMIFS($G$2:$G$1001,$A$2:$A$1001,A138,$B$2:$B$1001,"&lt;"&amp;B138))</f>
        <v>21600</v>
      </c>
      <c r="J138" s="17">
        <f>IF(OR(A138="",B138=""),"",IFERROR(LOOKUP(2,1/(单次交易!$A$2:$A$201=A138),单次交易!$E$2:$E$201)*LOOKUP(2,1/(单次交易!$A$2:$A$201=A138),单次交易!$H$2:$H$201),0)+SUMIFS($H$2:$H$1001,$A$2:$A$1001,A138,$B$2:$B$1001,"&lt;"&amp;B138))</f>
        <v>507818</v>
      </c>
      <c r="K138" s="17">
        <f t="shared" si="17"/>
        <v>32182</v>
      </c>
      <c r="L138" s="18">
        <f t="shared" si="18"/>
        <v>25700</v>
      </c>
      <c r="M138" s="18">
        <f t="shared" si="19"/>
        <v>5000</v>
      </c>
      <c r="N138" s="18">
        <f t="shared" si="20"/>
        <v>5000</v>
      </c>
      <c r="O138" s="18">
        <f t="shared" si="21"/>
        <v>24100</v>
      </c>
      <c r="P138" s="17">
        <f t="shared" si="22"/>
        <v>23.7943153526971</v>
      </c>
      <c r="Q138" s="17">
        <f t="shared" si="23"/>
        <v>0</v>
      </c>
      <c r="R138" s="19" t="str">
        <f ca="1">IF(A138="","",IF(COUNTIF(_TradeIds,A138)=0,"违规：交易编号不存在",IF(OR(B138="",B138&lt;1,B138&gt;5,B138&lt;&gt;INT(B138)),"违规：加仓序号须为1到5的整数",IF(COUNTIFS($A$2:$A$1001,A138,$B$2:$B$1001,B138)&gt;1,"违规：同一交易的加仓序号重复",IF(OR(D138="",E138="",F138=""),"计划不完整：请填写加仓价、新止损价和风险预算",IF(OR(D138&lt;=0,E138&lt;=0,F138&lt;=0,D138&lt;=E138),"违规：加仓价必须高于新止损价，金额须大于0",IF(AND(B138&gt;1,COUNTIFS($A$2:$A$1001,A138,$B$2:$B$1001,B138-1,$G$2:$G$1001,"&gt;0")=0),"违规：须先完成上一次加仓",IF(AND(B138&gt;1,E138&lt;SUMIFS($E$2:$E$1001,$A$2:$A$1001,A138,$B$2:$B$1001,B138-1)),"违规：新止损价不得低于上一次",IF(AND(B138&gt;1,F138&gt;SUMIFS($F$2:$F$1001,$A$2:$A$1001,A138,$B$2:$B$1001,B138-1)),"违规：风险预算须逐次不增加",IF(OR(_LockStatus="已锁仓",_LockStatus="解锁信息不完整"),"违规：锁仓期间禁止加仓",IF(G138="","计划可执行：建议股数见N列",IF(OR(G138&lt;=0,G138&lt;&gt;INT(G138),MOD(G138,100)&lt;&gt;0),"违规：实际股数须为100股整数倍",IF(G138&gt;N138,"违规：实际股数超过风险或金字塔上限",IF(AND(B138&gt;1,G138&gt;SUMIFS($G$2:$G$1001,$A$2:$A$1001,A138,$B$2:$B$1001,B138-1)),"违规：加仓股数须逐次不增加",IF(Q138&gt;F138,"违规：止损风险超过本次预算","通过")))))))))))))))</f>
        <v>通过</v>
      </c>
    </row>
    <row r="139" ht="17" spans="1:18">
      <c r="A139" s="13">
        <v>57</v>
      </c>
      <c r="B139" s="14">
        <v>3</v>
      </c>
      <c r="C139" s="15">
        <v>41626</v>
      </c>
      <c r="D139" s="16">
        <v>27</v>
      </c>
      <c r="E139" s="16">
        <v>26</v>
      </c>
      <c r="F139" s="16">
        <v>1</v>
      </c>
      <c r="G139" s="14">
        <v>2500</v>
      </c>
      <c r="H139" s="17">
        <f t="shared" si="16"/>
        <v>67500</v>
      </c>
      <c r="I139" s="18">
        <f>IF(OR(A139="",B139=""),"",IFERROR(LOOKUP(2,1/(单次交易!$A$2:$A$201=A139),单次交易!$H$2:$H$201),0)+SUMIFS($G$2:$G$1001,$A$2:$A$1001,A139,$B$2:$B$1001,"&lt;"&amp;B139))</f>
        <v>24100</v>
      </c>
      <c r="J139" s="17">
        <f>IF(OR(A139="",B139=""),"",IFERROR(LOOKUP(2,1/(单次交易!$A$2:$A$201=A139),单次交易!$E$2:$E$201)*LOOKUP(2,1/(单次交易!$A$2:$A$201=A139),单次交易!$H$2:$H$201),0)+SUMIFS($H$2:$H$1001,$A$2:$A$1001,A139,$B$2:$B$1001,"&lt;"&amp;B139))</f>
        <v>573443</v>
      </c>
      <c r="K139" s="17">
        <f t="shared" si="17"/>
        <v>53157</v>
      </c>
      <c r="L139" s="18">
        <f t="shared" si="18"/>
        <v>53100</v>
      </c>
      <c r="M139" s="18">
        <f t="shared" si="19"/>
        <v>2500</v>
      </c>
      <c r="N139" s="18">
        <f t="shared" si="20"/>
        <v>2500</v>
      </c>
      <c r="O139" s="18">
        <f t="shared" si="21"/>
        <v>26600</v>
      </c>
      <c r="P139" s="17">
        <f t="shared" si="22"/>
        <v>24.0956015037594</v>
      </c>
      <c r="Q139" s="17">
        <f t="shared" si="23"/>
        <v>0</v>
      </c>
      <c r="R139" s="19" t="str">
        <f ca="1">IF(A139="","",IF(COUNTIF(_TradeIds,A139)=0,"违规：交易编号不存在",IF(OR(B139="",B139&lt;1,B139&gt;5,B139&lt;&gt;INT(B139)),"违规：加仓序号须为1到5的整数",IF(COUNTIFS($A$2:$A$1001,A139,$B$2:$B$1001,B139)&gt;1,"违规：同一交易的加仓序号重复",IF(OR(D139="",E139="",F139=""),"计划不完整：请填写加仓价、新止损价和风险预算",IF(OR(D139&lt;=0,E139&lt;=0,F139&lt;=0,D139&lt;=E139),"违规：加仓价必须高于新止损价，金额须大于0",IF(AND(B139&gt;1,COUNTIFS($A$2:$A$1001,A139,$B$2:$B$1001,B139-1,$G$2:$G$1001,"&gt;0")=0),"违规：须先完成上一次加仓",IF(AND(B139&gt;1,E139&lt;SUMIFS($E$2:$E$1001,$A$2:$A$1001,A139,$B$2:$B$1001,B139-1)),"违规：新止损价不得低于上一次",IF(AND(B139&gt;1,F139&gt;SUMIFS($F$2:$F$1001,$A$2:$A$1001,A139,$B$2:$B$1001,B139-1)),"违规：风险预算须逐次不增加",IF(OR(_LockStatus="已锁仓",_LockStatus="解锁信息不完整"),"违规：锁仓期间禁止加仓",IF(G139="","计划可执行：建议股数见N列",IF(OR(G139&lt;=0,G139&lt;&gt;INT(G139),MOD(G139,100)&lt;&gt;0),"违规：实际股数须为100股整数倍",IF(G139&gt;N139,"违规：实际股数超过风险或金字塔上限",IF(AND(B139&gt;1,G139&gt;SUMIFS($G$2:$G$1001,$A$2:$A$1001,A139,$B$2:$B$1001,B139-1)),"违规：加仓股数须逐次不增加",IF(Q139&gt;F139,"违规：止损风险超过本次预算","通过")))))))))))))))</f>
        <v>通过</v>
      </c>
    </row>
    <row r="140" ht="17" spans="1:18">
      <c r="A140" s="13">
        <v>60</v>
      </c>
      <c r="B140" s="14">
        <v>1</v>
      </c>
      <c r="C140" s="15">
        <v>45329</v>
      </c>
      <c r="D140" s="16">
        <v>24.44</v>
      </c>
      <c r="E140" s="16">
        <v>22.44</v>
      </c>
      <c r="F140" s="16">
        <v>1</v>
      </c>
      <c r="G140" s="14">
        <v>10000</v>
      </c>
      <c r="H140" s="17">
        <f t="shared" si="16"/>
        <v>244400</v>
      </c>
      <c r="I140" s="18">
        <f>IF(OR(A140="",B140=""),"",IFERROR(LOOKUP(2,1/(单次交易!$A$2:$A$201=A140),单次交易!$H$2:$H$201),0)+SUMIFS($G$2:$G$1001,$A$2:$A$1001,A140,$B$2:$B$1001,"&lt;"&amp;B140))</f>
        <v>10000</v>
      </c>
      <c r="J140" s="17">
        <f>IF(OR(A140="",B140=""),"",IFERROR(LOOKUP(2,1/(单次交易!$A$2:$A$201=A140),单次交易!$E$2:$E$201)*LOOKUP(2,1/(单次交易!$A$2:$A$201=A140),单次交易!$H$2:$H$201),0)+SUMIFS($H$2:$H$1001,$A$2:$A$1001,A140,$B$2:$B$1001,"&lt;"&amp;B140))</f>
        <v>205300</v>
      </c>
      <c r="K140" s="17">
        <f t="shared" si="17"/>
        <v>19100</v>
      </c>
      <c r="L140" s="18">
        <f t="shared" si="18"/>
        <v>9500</v>
      </c>
      <c r="M140" s="18">
        <f t="shared" si="19"/>
        <v>9500</v>
      </c>
      <c r="N140" s="18">
        <f t="shared" si="20"/>
        <v>9500</v>
      </c>
      <c r="O140" s="18">
        <f t="shared" si="21"/>
        <v>20000</v>
      </c>
      <c r="P140" s="17">
        <f t="shared" si="22"/>
        <v>22.485</v>
      </c>
      <c r="Q140" s="17">
        <f t="shared" si="23"/>
        <v>900</v>
      </c>
      <c r="R140" s="19" t="str">
        <f ca="1">IF(A140="","",IF(COUNTIF(_TradeIds,A140)=0,"违规：交易编号不存在",IF(OR(B140="",B140&lt;1,B140&gt;5,B140&lt;&gt;INT(B140)),"违规：加仓序号须为1到5的整数",IF(COUNTIFS($A$2:$A$1001,A140,$B$2:$B$1001,B140)&gt;1,"违规：同一交易的加仓序号重复",IF(OR(D140="",E140="",F140=""),"计划不完整：请填写加仓价、新止损价和风险预算",IF(OR(D140&lt;=0,E140&lt;=0,F140&lt;=0,D140&lt;=E140),"违规：加仓价必须高于新止损价，金额须大于0",IF(AND(B140&gt;1,COUNTIFS($A$2:$A$1001,A140,$B$2:$B$1001,B140-1,$G$2:$G$1001,"&gt;0")=0),"违规：须先完成上一次加仓",IF(AND(B140&gt;1,E140&lt;SUMIFS($E$2:$E$1001,$A$2:$A$1001,A140,$B$2:$B$1001,B140-1)),"违规：新止损价不得低于上一次",IF(AND(B140&gt;1,F140&gt;SUMIFS($F$2:$F$1001,$A$2:$A$1001,A140,$B$2:$B$1001,B140-1)),"违规：风险预算须逐次不增加",IF(OR(_LockStatus="已锁仓",_LockStatus="解锁信息不完整"),"违规：锁仓期间禁止加仓",IF(G140="","计划可执行：建议股数见N列",IF(OR(G140&lt;=0,G140&lt;&gt;INT(G140),MOD(G140,100)&lt;&gt;0),"违规：实际股数须为100股整数倍",IF(G140&gt;N140,"违规：实际股数超过风险或金字塔上限",IF(AND(B140&gt;1,G140&gt;SUMIFS($G$2:$G$1001,$A$2:$A$1001,A140,$B$2:$B$1001,B140-1)),"违规：加仓股数须逐次不增加",IF(Q140&gt;F140,"违规：止损风险超过本次预算","通过")))))))))))))))</f>
        <v>违规：实际股数超过风险或金字塔上限</v>
      </c>
    </row>
    <row r="141" ht="17" spans="1:18">
      <c r="A141" s="13">
        <v>60</v>
      </c>
      <c r="B141" s="14">
        <v>2</v>
      </c>
      <c r="C141" s="15">
        <v>45355</v>
      </c>
      <c r="D141" s="16">
        <v>26.29</v>
      </c>
      <c r="E141" s="16">
        <v>25</v>
      </c>
      <c r="F141" s="16">
        <v>1</v>
      </c>
      <c r="G141" s="14">
        <v>8000</v>
      </c>
      <c r="H141" s="17">
        <f t="shared" si="16"/>
        <v>210320</v>
      </c>
      <c r="I141" s="18">
        <f>IF(OR(A141="",B141=""),"",IFERROR(LOOKUP(2,1/(单次交易!$A$2:$A$201=A141),单次交易!$H$2:$H$201),0)+SUMIFS($G$2:$G$1001,$A$2:$A$1001,A141,$B$2:$B$1001,"&lt;"&amp;B141))</f>
        <v>20000</v>
      </c>
      <c r="J141" s="17">
        <f>IF(OR(A141="",B141=""),"",IFERROR(LOOKUP(2,1/(单次交易!$A$2:$A$201=A141),单次交易!$E$2:$E$201)*LOOKUP(2,1/(单次交易!$A$2:$A$201=A141),单次交易!$H$2:$H$201),0)+SUMIFS($H$2:$H$1001,$A$2:$A$1001,A141,$B$2:$B$1001,"&lt;"&amp;B141))</f>
        <v>449700</v>
      </c>
      <c r="K141" s="17">
        <f t="shared" si="17"/>
        <v>50300</v>
      </c>
      <c r="L141" s="18">
        <f t="shared" si="18"/>
        <v>38900</v>
      </c>
      <c r="M141" s="18">
        <f t="shared" si="19"/>
        <v>10000</v>
      </c>
      <c r="N141" s="18">
        <f t="shared" si="20"/>
        <v>10000</v>
      </c>
      <c r="O141" s="18">
        <f t="shared" si="21"/>
        <v>28000</v>
      </c>
      <c r="P141" s="17">
        <f t="shared" si="22"/>
        <v>23.5721428571429</v>
      </c>
      <c r="Q141" s="17">
        <f t="shared" si="23"/>
        <v>0</v>
      </c>
      <c r="R141" s="19" t="str">
        <f ca="1">IF(A141="","",IF(COUNTIF(_TradeIds,A141)=0,"违规：交易编号不存在",IF(OR(B141="",B141&lt;1,B141&gt;5,B141&lt;&gt;INT(B141)),"违规：加仓序号须为1到5的整数",IF(COUNTIFS($A$2:$A$1001,A141,$B$2:$B$1001,B141)&gt;1,"违规：同一交易的加仓序号重复",IF(OR(D141="",E141="",F141=""),"计划不完整：请填写加仓价、新止损价和风险预算",IF(OR(D141&lt;=0,E141&lt;=0,F141&lt;=0,D141&lt;=E141),"违规：加仓价必须高于新止损价，金额须大于0",IF(AND(B141&gt;1,COUNTIFS($A$2:$A$1001,A141,$B$2:$B$1001,B141-1,$G$2:$G$1001,"&gt;0")=0),"违规：须先完成上一次加仓",IF(AND(B141&gt;1,E141&lt;SUMIFS($E$2:$E$1001,$A$2:$A$1001,A141,$B$2:$B$1001,B141-1)),"违规：新止损价不得低于上一次",IF(AND(B141&gt;1,F141&gt;SUMIFS($F$2:$F$1001,$A$2:$A$1001,A141,$B$2:$B$1001,B141-1)),"违规：风险预算须逐次不增加",IF(OR(_LockStatus="已锁仓",_LockStatus="解锁信息不完整"),"违规：锁仓期间禁止加仓",IF(G141="","计划可执行：建议股数见N列",IF(OR(G141&lt;=0,G141&lt;&gt;INT(G141),MOD(G141,100)&lt;&gt;0),"违规：实际股数须为100股整数倍",IF(G141&gt;N141,"违规：实际股数超过风险或金字塔上限",IF(AND(B141&gt;1,G141&gt;SUMIFS($G$2:$G$1001,$A$2:$A$1001,A141,$B$2:$B$1001,B141-1)),"违规：加仓股数须逐次不增加",IF(Q141&gt;F141,"违规：止损风险超过本次预算","通过")))))))))))))))</f>
        <v>通过</v>
      </c>
    </row>
    <row r="142" ht="17" spans="1:18">
      <c r="A142" s="13">
        <v>61</v>
      </c>
      <c r="B142" s="14">
        <v>1</v>
      </c>
      <c r="C142" s="15">
        <v>45393</v>
      </c>
      <c r="D142" s="16">
        <v>27.83</v>
      </c>
      <c r="E142" s="16">
        <v>27</v>
      </c>
      <c r="F142" s="16">
        <v>1</v>
      </c>
      <c r="G142" s="14">
        <v>5000</v>
      </c>
      <c r="H142" s="17">
        <f t="shared" si="16"/>
        <v>139150</v>
      </c>
      <c r="I142" s="18">
        <f>IF(OR(A142="",B142=""),"",IFERROR(LOOKUP(2,1/(单次交易!$A$2:$A$201=A142),单次交易!$H$2:$H$201),0)+SUMIFS($G$2:$G$1001,$A$2:$A$1001,A142,$B$2:$B$1001,"&lt;"&amp;B142))</f>
        <v>17300</v>
      </c>
      <c r="J142" s="17">
        <f>IF(OR(A142="",B142=""),"",IFERROR(LOOKUP(2,1/(单次交易!$A$2:$A$201=A142),单次交易!$E$2:$E$201)*LOOKUP(2,1/(单次交易!$A$2:$A$201=A142),单次交易!$H$2:$H$201),0)+SUMIFS($H$2:$H$1001,$A$2:$A$1001,A142,$B$2:$B$1001,"&lt;"&amp;B142))</f>
        <v>481286</v>
      </c>
      <c r="K142" s="17">
        <f t="shared" si="17"/>
        <v>0</v>
      </c>
      <c r="L142" s="18">
        <f t="shared" si="18"/>
        <v>0</v>
      </c>
      <c r="M142" s="18">
        <f t="shared" si="19"/>
        <v>0</v>
      </c>
      <c r="N142" s="18">
        <f t="shared" si="20"/>
        <v>0</v>
      </c>
      <c r="O142" s="18">
        <f t="shared" si="21"/>
        <v>22300</v>
      </c>
      <c r="P142" s="17">
        <f t="shared" si="22"/>
        <v>27.8222421524664</v>
      </c>
      <c r="Q142" s="17">
        <f t="shared" si="23"/>
        <v>18336</v>
      </c>
      <c r="R142" s="19" t="str">
        <f ca="1">IF(A142="","",IF(COUNTIF(_TradeIds,A142)=0,"违规：交易编号不存在",IF(OR(B142="",B142&lt;1,B142&gt;5,B142&lt;&gt;INT(B142)),"违规：加仓序号须为1到5的整数",IF(COUNTIFS($A$2:$A$1001,A142,$B$2:$B$1001,B142)&gt;1,"违规：同一交易的加仓序号重复",IF(OR(D142="",E142="",F142=""),"计划不完整：请填写加仓价、新止损价和风险预算",IF(OR(D142&lt;=0,E142&lt;=0,F142&lt;=0,D142&lt;=E142),"违规：加仓价必须高于新止损价，金额须大于0",IF(AND(B142&gt;1,COUNTIFS($A$2:$A$1001,A142,$B$2:$B$1001,B142-1,$G$2:$G$1001,"&gt;0")=0),"违规：须先完成上一次加仓",IF(AND(B142&gt;1,E142&lt;SUMIFS($E$2:$E$1001,$A$2:$A$1001,A142,$B$2:$B$1001,B142-1)),"违规：新止损价不得低于上一次",IF(AND(B142&gt;1,F142&gt;SUMIFS($F$2:$F$1001,$A$2:$A$1001,A142,$B$2:$B$1001,B142-1)),"违规：风险预算须逐次不增加",IF(OR(_LockStatus="已锁仓",_LockStatus="解锁信息不完整"),"违规：锁仓期间禁止加仓",IF(G142="","计划可执行：建议股数见N列",IF(OR(G142&lt;=0,G142&lt;&gt;INT(G142),MOD(G142,100)&lt;&gt;0),"违规：实际股数须为100股整数倍",IF(G142&gt;N142,"违规：实际股数超过风险或金字塔上限",IF(AND(B142&gt;1,G142&gt;SUMIFS($G$2:$G$1001,$A$2:$A$1001,A142,$B$2:$B$1001,B142-1)),"违规：加仓股数须逐次不增加",IF(Q142&gt;F142,"违规：止损风险超过本次预算","通过")))))))))))))))</f>
        <v>违规：实际股数超过风险或金字塔上限</v>
      </c>
    </row>
    <row r="143" ht="17" spans="1:18">
      <c r="A143" s="13">
        <v>61</v>
      </c>
      <c r="B143" s="14">
        <v>2</v>
      </c>
      <c r="C143" s="15">
        <v>45407</v>
      </c>
      <c r="D143" s="16">
        <v>29.14</v>
      </c>
      <c r="E143" s="16">
        <v>27</v>
      </c>
      <c r="F143" s="16">
        <v>1</v>
      </c>
      <c r="G143" s="14">
        <v>3000</v>
      </c>
      <c r="H143" s="17">
        <f t="shared" si="16"/>
        <v>87420</v>
      </c>
      <c r="I143" s="18">
        <f>IF(OR(A143="",B143=""),"",IFERROR(LOOKUP(2,1/(单次交易!$A$2:$A$201=A143),单次交易!$H$2:$H$201),0)+SUMIFS($G$2:$G$1001,$A$2:$A$1001,A143,$B$2:$B$1001,"&lt;"&amp;B143))</f>
        <v>22300</v>
      </c>
      <c r="J143" s="17">
        <f>IF(OR(A143="",B143=""),"",IFERROR(LOOKUP(2,1/(单次交易!$A$2:$A$201=A143),单次交易!$E$2:$E$201)*LOOKUP(2,1/(单次交易!$A$2:$A$201=A143),单次交易!$H$2:$H$201),0)+SUMIFS($H$2:$H$1001,$A$2:$A$1001,A143,$B$2:$B$1001,"&lt;"&amp;B143))</f>
        <v>620436</v>
      </c>
      <c r="K143" s="17">
        <f t="shared" si="17"/>
        <v>0</v>
      </c>
      <c r="L143" s="18">
        <f t="shared" si="18"/>
        <v>0</v>
      </c>
      <c r="M143" s="18">
        <f t="shared" si="19"/>
        <v>5000</v>
      </c>
      <c r="N143" s="18">
        <f t="shared" si="20"/>
        <v>0</v>
      </c>
      <c r="O143" s="18">
        <f t="shared" si="21"/>
        <v>25300</v>
      </c>
      <c r="P143" s="17">
        <f t="shared" si="22"/>
        <v>27.9784980237154</v>
      </c>
      <c r="Q143" s="17">
        <f t="shared" si="23"/>
        <v>24756</v>
      </c>
      <c r="R143" s="19" t="str">
        <f ca="1">IF(A143="","",IF(COUNTIF(_TradeIds,A143)=0,"违规：交易编号不存在",IF(OR(B143="",B143&lt;1,B143&gt;5,B143&lt;&gt;INT(B143)),"违规：加仓序号须为1到5的整数",IF(COUNTIFS($A$2:$A$1001,A143,$B$2:$B$1001,B143)&gt;1,"违规：同一交易的加仓序号重复",IF(OR(D143="",E143="",F143=""),"计划不完整：请填写加仓价、新止损价和风险预算",IF(OR(D143&lt;=0,E143&lt;=0,F143&lt;=0,D143&lt;=E143),"违规：加仓价必须高于新止损价，金额须大于0",IF(AND(B143&gt;1,COUNTIFS($A$2:$A$1001,A143,$B$2:$B$1001,B143-1,$G$2:$G$1001,"&gt;0")=0),"违规：须先完成上一次加仓",IF(AND(B143&gt;1,E143&lt;SUMIFS($E$2:$E$1001,$A$2:$A$1001,A143,$B$2:$B$1001,B143-1)),"违规：新止损价不得低于上一次",IF(AND(B143&gt;1,F143&gt;SUMIFS($F$2:$F$1001,$A$2:$A$1001,A143,$B$2:$B$1001,B143-1)),"违规：风险预算须逐次不增加",IF(OR(_LockStatus="已锁仓",_LockStatus="解锁信息不完整"),"违规：锁仓期间禁止加仓",IF(G143="","计划可执行：建议股数见N列",IF(OR(G143&lt;=0,G143&lt;&gt;INT(G143),MOD(G143,100)&lt;&gt;0),"违规：实际股数须为100股整数倍",IF(G143&gt;N143,"违规：实际股数超过风险或金字塔上限",IF(AND(B143&gt;1,G143&gt;SUMIFS($G$2:$G$1001,$A$2:$A$1001,A143,$B$2:$B$1001,B143-1)),"违规：加仓股数须逐次不增加",IF(Q143&gt;F143,"违规：止损风险超过本次预算","通过")))))))))))))))</f>
        <v>违规：实际股数超过风险或金字塔上限</v>
      </c>
    </row>
    <row r="144" ht="17" spans="1:18">
      <c r="A144" s="13">
        <v>62</v>
      </c>
      <c r="B144" s="14">
        <v>1</v>
      </c>
      <c r="C144" s="15">
        <v>45492</v>
      </c>
      <c r="D144" s="16">
        <v>30.67</v>
      </c>
      <c r="E144" s="16">
        <v>29.5</v>
      </c>
      <c r="F144" s="16">
        <v>1</v>
      </c>
      <c r="G144" s="14">
        <v>2000</v>
      </c>
      <c r="H144" s="17">
        <f t="shared" si="16"/>
        <v>61340</v>
      </c>
      <c r="I144" s="18">
        <f>IF(OR(A144="",B144=""),"",IFERROR(LOOKUP(2,1/(单次交易!$A$2:$A$201=A144),单次交易!$H$2:$H$201),0)+SUMIFS($G$2:$G$1001,$A$2:$A$1001,A144,$B$2:$B$1001,"&lt;"&amp;B144))</f>
        <v>6000</v>
      </c>
      <c r="J144" s="17">
        <f>IF(OR(A144="",B144=""),"",IFERROR(LOOKUP(2,1/(单次交易!$A$2:$A$201=A144),单次交易!$E$2:$E$201)*LOOKUP(2,1/(单次交易!$A$2:$A$201=A144),单次交易!$H$2:$H$201),0)+SUMIFS($H$2:$H$1001,$A$2:$A$1001,A144,$B$2:$B$1001,"&lt;"&amp;B144))</f>
        <v>185340</v>
      </c>
      <c r="K144" s="17">
        <f t="shared" si="17"/>
        <v>0</v>
      </c>
      <c r="L144" s="18">
        <f t="shared" si="18"/>
        <v>0</v>
      </c>
      <c r="M144" s="18">
        <f t="shared" si="19"/>
        <v>0</v>
      </c>
      <c r="N144" s="18">
        <f t="shared" si="20"/>
        <v>0</v>
      </c>
      <c r="O144" s="18">
        <f t="shared" si="21"/>
        <v>8000</v>
      </c>
      <c r="P144" s="17">
        <f t="shared" si="22"/>
        <v>30.835</v>
      </c>
      <c r="Q144" s="17">
        <f t="shared" si="23"/>
        <v>10680</v>
      </c>
      <c r="R144" s="19" t="str">
        <f ca="1">IF(A144="","",IF(COUNTIF(_TradeIds,A144)=0,"违规：交易编号不存在",IF(OR(B144="",B144&lt;1,B144&gt;5,B144&lt;&gt;INT(B144)),"违规：加仓序号须为1到5的整数",IF(COUNTIFS($A$2:$A$1001,A144,$B$2:$B$1001,B144)&gt;1,"违规：同一交易的加仓序号重复",IF(OR(D144="",E144="",F144=""),"计划不完整：请填写加仓价、新止损价和风险预算",IF(OR(D144&lt;=0,E144&lt;=0,F144&lt;=0,D144&lt;=E144),"违规：加仓价必须高于新止损价，金额须大于0",IF(AND(B144&gt;1,COUNTIFS($A$2:$A$1001,A144,$B$2:$B$1001,B144-1,$G$2:$G$1001,"&gt;0")=0),"违规：须先完成上一次加仓",IF(AND(B144&gt;1,E144&lt;SUMIFS($E$2:$E$1001,$A$2:$A$1001,A144,$B$2:$B$1001,B144-1)),"违规：新止损价不得低于上一次",IF(AND(B144&gt;1,F144&gt;SUMIFS($F$2:$F$1001,$A$2:$A$1001,A144,$B$2:$B$1001,B144-1)),"违规：风险预算须逐次不增加",IF(OR(_LockStatus="已锁仓",_LockStatus="解锁信息不完整"),"违规：锁仓期间禁止加仓",IF(G144="","计划可执行：建议股数见N列",IF(OR(G144&lt;=0,G144&lt;&gt;INT(G144),MOD(G144,100)&lt;&gt;0),"违规：实际股数须为100股整数倍",IF(G144&gt;N144,"违规：实际股数超过风险或金字塔上限",IF(AND(B144&gt;1,G144&gt;SUMIFS($G$2:$G$1001,$A$2:$A$1001,A144,$B$2:$B$1001,B144-1)),"违规：加仓股数须逐次不增加",IF(Q144&gt;F144,"违规：止损风险超过本次预算","通过")))))))))))))))</f>
        <v>违规：实际股数超过风险或金字塔上限</v>
      </c>
    </row>
    <row r="145" ht="17" spans="1:18">
      <c r="A145" s="13">
        <v>63</v>
      </c>
      <c r="B145" s="14">
        <v>1</v>
      </c>
      <c r="C145" s="15">
        <v>45531</v>
      </c>
      <c r="D145" s="16">
        <v>31.17</v>
      </c>
      <c r="E145" s="16">
        <v>30</v>
      </c>
      <c r="F145" s="16">
        <v>1</v>
      </c>
      <c r="G145" s="14">
        <v>5000</v>
      </c>
      <c r="H145" s="17">
        <f t="shared" si="16"/>
        <v>155850</v>
      </c>
      <c r="I145" s="18">
        <f>IF(OR(A145="",B145=""),"",IFERROR(LOOKUP(2,1/(单次交易!$A$2:$A$201=A145),单次交易!$H$2:$H$201),0)+SUMIFS($G$2:$G$1001,$A$2:$A$1001,A145,$B$2:$B$1001,"&lt;"&amp;B145))</f>
        <v>9400</v>
      </c>
      <c r="J145" s="17">
        <f>IF(OR(A145="",B145=""),"",IFERROR(LOOKUP(2,1/(单次交易!$A$2:$A$201=A145),单次交易!$E$2:$E$201)*LOOKUP(2,1/(单次交易!$A$2:$A$201=A145),单次交易!$H$2:$H$201),0)+SUMIFS($H$2:$H$1001,$A$2:$A$1001,A145,$B$2:$B$1001,"&lt;"&amp;B145))</f>
        <v>283034</v>
      </c>
      <c r="K145" s="17">
        <f t="shared" si="17"/>
        <v>0</v>
      </c>
      <c r="L145" s="18">
        <f t="shared" si="18"/>
        <v>0</v>
      </c>
      <c r="M145" s="18">
        <f t="shared" si="19"/>
        <v>0</v>
      </c>
      <c r="N145" s="18">
        <f t="shared" si="20"/>
        <v>0</v>
      </c>
      <c r="O145" s="18">
        <f t="shared" si="21"/>
        <v>14400</v>
      </c>
      <c r="P145" s="17">
        <f t="shared" si="22"/>
        <v>30.4780555555556</v>
      </c>
      <c r="Q145" s="17">
        <f t="shared" si="23"/>
        <v>6884</v>
      </c>
      <c r="R145" s="19" t="str">
        <f ca="1">IF(A145="","",IF(COUNTIF(_TradeIds,A145)=0,"违规：交易编号不存在",IF(OR(B145="",B145&lt;1,B145&gt;5,B145&lt;&gt;INT(B145)),"违规：加仓序号须为1到5的整数",IF(COUNTIFS($A$2:$A$1001,A145,$B$2:$B$1001,B145)&gt;1,"违规：同一交易的加仓序号重复",IF(OR(D145="",E145="",F145=""),"计划不完整：请填写加仓价、新止损价和风险预算",IF(OR(D145&lt;=0,E145&lt;=0,F145&lt;=0,D145&lt;=E145),"违规：加仓价必须高于新止损价，金额须大于0",IF(AND(B145&gt;1,COUNTIFS($A$2:$A$1001,A145,$B$2:$B$1001,B145-1,$G$2:$G$1001,"&gt;0")=0),"违规：须先完成上一次加仓",IF(AND(B145&gt;1,E145&lt;SUMIFS($E$2:$E$1001,$A$2:$A$1001,A145,$B$2:$B$1001,B145-1)),"违规：新止损价不得低于上一次",IF(AND(B145&gt;1,F145&gt;SUMIFS($F$2:$F$1001,$A$2:$A$1001,A145,$B$2:$B$1001,B145-1)),"违规：风险预算须逐次不增加",IF(OR(_LockStatus="已锁仓",_LockStatus="解锁信息不完整"),"违规：锁仓期间禁止加仓",IF(G145="","计划可执行：建议股数见N列",IF(OR(G145&lt;=0,G145&lt;&gt;INT(G145),MOD(G145,100)&lt;&gt;0),"违规：实际股数须为100股整数倍",IF(G145&gt;N145,"违规：实际股数超过风险或金字塔上限",IF(AND(B145&gt;1,G145&gt;SUMIFS($G$2:$G$1001,$A$2:$A$1001,A145,$B$2:$B$1001,B145-1)),"违规：加仓股数须逐次不增加",IF(Q145&gt;F145,"违规：止损风险超过本次预算","通过")))))))))))))))</f>
        <v>违规：实际股数超过风险或金字塔上限</v>
      </c>
    </row>
    <row r="146" ht="17" spans="1:18">
      <c r="A146" s="13">
        <v>63</v>
      </c>
      <c r="B146" s="14">
        <v>2</v>
      </c>
      <c r="C146" s="15">
        <v>45537</v>
      </c>
      <c r="D146" s="16">
        <v>29.26</v>
      </c>
      <c r="E146" s="16">
        <v>28.5</v>
      </c>
      <c r="F146" s="16">
        <v>1</v>
      </c>
      <c r="G146" s="14">
        <v>5000</v>
      </c>
      <c r="H146" s="17">
        <f t="shared" si="16"/>
        <v>146300</v>
      </c>
      <c r="I146" s="18">
        <f>IF(OR(A146="",B146=""),"",IFERROR(LOOKUP(2,1/(单次交易!$A$2:$A$201=A146),单次交易!$H$2:$H$201),0)+SUMIFS($G$2:$G$1001,$A$2:$A$1001,A146,$B$2:$B$1001,"&lt;"&amp;B146))</f>
        <v>14400</v>
      </c>
      <c r="J146" s="17">
        <f>IF(OR(A146="",B146=""),"",IFERROR(LOOKUP(2,1/(单次交易!$A$2:$A$201=A146),单次交易!$E$2:$E$201)*LOOKUP(2,1/(单次交易!$A$2:$A$201=A146),单次交易!$H$2:$H$201),0)+SUMIFS($H$2:$H$1001,$A$2:$A$1001,A146,$B$2:$B$1001,"&lt;"&amp;B146))</f>
        <v>438884</v>
      </c>
      <c r="K146" s="17">
        <f t="shared" si="17"/>
        <v>0</v>
      </c>
      <c r="L146" s="18">
        <f t="shared" si="18"/>
        <v>0</v>
      </c>
      <c r="M146" s="18">
        <f t="shared" si="19"/>
        <v>5000</v>
      </c>
      <c r="N146" s="18">
        <f t="shared" si="20"/>
        <v>0</v>
      </c>
      <c r="O146" s="18">
        <f t="shared" si="21"/>
        <v>19400</v>
      </c>
      <c r="P146" s="17">
        <f t="shared" si="22"/>
        <v>30.1641237113402</v>
      </c>
      <c r="Q146" s="17">
        <f t="shared" si="23"/>
        <v>32284</v>
      </c>
      <c r="R146" s="19" t="str">
        <f ca="1">IF(A146="","",IF(COUNTIF(_TradeIds,A146)=0,"违规：交易编号不存在",IF(OR(B146="",B146&lt;1,B146&gt;5,B146&lt;&gt;INT(B146)),"违规：加仓序号须为1到5的整数",IF(COUNTIFS($A$2:$A$1001,A146,$B$2:$B$1001,B146)&gt;1,"违规：同一交易的加仓序号重复",IF(OR(D146="",E146="",F146=""),"计划不完整：请填写加仓价、新止损价和风险预算",IF(OR(D146&lt;=0,E146&lt;=0,F146&lt;=0,D146&lt;=E146),"违规：加仓价必须高于新止损价，金额须大于0",IF(AND(B146&gt;1,COUNTIFS($A$2:$A$1001,A146,$B$2:$B$1001,B146-1,$G$2:$G$1001,"&gt;0")=0),"违规：须先完成上一次加仓",IF(AND(B146&gt;1,E146&lt;SUMIFS($E$2:$E$1001,$A$2:$A$1001,A146,$B$2:$B$1001,B146-1)),"违规：新止损价不得低于上一次",IF(AND(B146&gt;1,F146&gt;SUMIFS($F$2:$F$1001,$A$2:$A$1001,A146,$B$2:$B$1001,B146-1)),"违规：风险预算须逐次不增加",IF(OR(_LockStatus="已锁仓",_LockStatus="解锁信息不完整"),"违规：锁仓期间禁止加仓",IF(G146="","计划可执行：建议股数见N列",IF(OR(G146&lt;=0,G146&lt;&gt;INT(G146),MOD(G146,100)&lt;&gt;0),"违规：实际股数须为100股整数倍",IF(G146&gt;N146,"违规：实际股数超过风险或金字塔上限",IF(AND(B146&gt;1,G146&gt;SUMIFS($G$2:$G$1001,$A$2:$A$1001,A146,$B$2:$B$1001,B146-1)),"违规：加仓股数须逐次不增加",IF(Q146&gt;F146,"违规：止损风险超过本次预算","通过")))))))))))))))</f>
        <v>违规：新止损价不得低于上一次</v>
      </c>
    </row>
    <row r="147" ht="17" spans="1:18">
      <c r="A147" s="13">
        <v>64</v>
      </c>
      <c r="B147" s="14">
        <v>1</v>
      </c>
      <c r="C147" s="15">
        <v>45565</v>
      </c>
      <c r="D147" s="16">
        <v>30.64</v>
      </c>
      <c r="E147" s="16">
        <v>29.5</v>
      </c>
      <c r="F147" s="16">
        <v>1</v>
      </c>
      <c r="G147" s="14">
        <v>5000</v>
      </c>
      <c r="H147" s="17">
        <f t="shared" si="16"/>
        <v>153200</v>
      </c>
      <c r="I147" s="18">
        <f>IF(OR(A147="",B147=""),"",IFERROR(LOOKUP(2,1/(单次交易!$A$2:$A$201=A147),单次交易!$H$2:$H$201),0)+SUMIFS($G$2:$G$1001,$A$2:$A$1001,A147,$B$2:$B$1001,"&lt;"&amp;B147))</f>
        <v>16900</v>
      </c>
      <c r="J147" s="17">
        <f>IF(OR(A147="",B147=""),"",IFERROR(LOOKUP(2,1/(单次交易!$A$2:$A$201=A147),单次交易!$E$2:$E$201)*LOOKUP(2,1/(单次交易!$A$2:$A$201=A147),单次交易!$H$2:$H$201),0)+SUMIFS($H$2:$H$1001,$A$2:$A$1001,A147,$B$2:$B$1001,"&lt;"&amp;B147))</f>
        <v>478101</v>
      </c>
      <c r="K147" s="17">
        <f t="shared" si="17"/>
        <v>20449</v>
      </c>
      <c r="L147" s="18">
        <f t="shared" si="18"/>
        <v>17900</v>
      </c>
      <c r="M147" s="18">
        <f t="shared" si="19"/>
        <v>17900</v>
      </c>
      <c r="N147" s="18">
        <f t="shared" si="20"/>
        <v>17900</v>
      </c>
      <c r="O147" s="18">
        <f t="shared" si="21"/>
        <v>21900</v>
      </c>
      <c r="P147" s="17">
        <f t="shared" si="22"/>
        <v>28.8265296803653</v>
      </c>
      <c r="Q147" s="17">
        <f t="shared" si="23"/>
        <v>0</v>
      </c>
      <c r="R147" s="19" t="str">
        <f ca="1">IF(A147="","",IF(COUNTIF(_TradeIds,A147)=0,"违规：交易编号不存在",IF(OR(B147="",B147&lt;1,B147&gt;5,B147&lt;&gt;INT(B147)),"违规：加仓序号须为1到5的整数",IF(COUNTIFS($A$2:$A$1001,A147,$B$2:$B$1001,B147)&gt;1,"违规：同一交易的加仓序号重复",IF(OR(D147="",E147="",F147=""),"计划不完整：请填写加仓价、新止损价和风险预算",IF(OR(D147&lt;=0,E147&lt;=0,F147&lt;=0,D147&lt;=E147),"违规：加仓价必须高于新止损价，金额须大于0",IF(AND(B147&gt;1,COUNTIFS($A$2:$A$1001,A147,$B$2:$B$1001,B147-1,$G$2:$G$1001,"&gt;0")=0),"违规：须先完成上一次加仓",IF(AND(B147&gt;1,E147&lt;SUMIFS($E$2:$E$1001,$A$2:$A$1001,A147,$B$2:$B$1001,B147-1)),"违规：新止损价不得低于上一次",IF(AND(B147&gt;1,F147&gt;SUMIFS($F$2:$F$1001,$A$2:$A$1001,A147,$B$2:$B$1001,B147-1)),"违规：风险预算须逐次不增加",IF(OR(_LockStatus="已锁仓",_LockStatus="解锁信息不完整"),"违规：锁仓期间禁止加仓",IF(G147="","计划可执行：建议股数见N列",IF(OR(G147&lt;=0,G147&lt;&gt;INT(G147),MOD(G147,100)&lt;&gt;0),"违规：实际股数须为100股整数倍",IF(G147&gt;N147,"违规：实际股数超过风险或金字塔上限",IF(AND(B147&gt;1,G147&gt;SUMIFS($G$2:$G$1001,$A$2:$A$1001,A147,$B$2:$B$1001,B147-1)),"违规：加仓股数须逐次不增加",IF(Q147&gt;F147,"违规：止损风险超过本次预算","通过")))))))))))))))</f>
        <v>通过</v>
      </c>
    </row>
    <row r="148" ht="17" spans="1:18">
      <c r="A148" s="13">
        <v>64</v>
      </c>
      <c r="B148" s="14">
        <v>2</v>
      </c>
      <c r="C148" s="15">
        <v>45574</v>
      </c>
      <c r="D148" s="16">
        <v>31.69</v>
      </c>
      <c r="E148" s="16">
        <v>30.5</v>
      </c>
      <c r="F148" s="16">
        <v>1</v>
      </c>
      <c r="G148" s="14">
        <v>1000</v>
      </c>
      <c r="H148" s="17">
        <f t="shared" si="16"/>
        <v>31690</v>
      </c>
      <c r="I148" s="18">
        <f>IF(OR(A148="",B148=""),"",IFERROR(LOOKUP(2,1/(单次交易!$A$2:$A$201=A148),单次交易!$H$2:$H$201),0)+SUMIFS($G$2:$G$1001,$A$2:$A$1001,A148,$B$2:$B$1001,"&lt;"&amp;B148))</f>
        <v>21900</v>
      </c>
      <c r="J148" s="17">
        <f>IF(OR(A148="",B148=""),"",IFERROR(LOOKUP(2,1/(单次交易!$A$2:$A$201=A148),单次交易!$E$2:$E$201)*LOOKUP(2,1/(单次交易!$A$2:$A$201=A148),单次交易!$H$2:$H$201),0)+SUMIFS($H$2:$H$1001,$A$2:$A$1001,A148,$B$2:$B$1001,"&lt;"&amp;B148))</f>
        <v>631301</v>
      </c>
      <c r="K148" s="17">
        <f t="shared" si="17"/>
        <v>36649</v>
      </c>
      <c r="L148" s="18">
        <f t="shared" si="18"/>
        <v>30700</v>
      </c>
      <c r="M148" s="18">
        <f t="shared" si="19"/>
        <v>5000</v>
      </c>
      <c r="N148" s="18">
        <f t="shared" si="20"/>
        <v>5000</v>
      </c>
      <c r="O148" s="18">
        <f t="shared" si="21"/>
        <v>22900</v>
      </c>
      <c r="P148" s="17">
        <f t="shared" si="22"/>
        <v>28.9515720524017</v>
      </c>
      <c r="Q148" s="17">
        <f t="shared" si="23"/>
        <v>0</v>
      </c>
      <c r="R148" s="19" t="str">
        <f ca="1">IF(A148="","",IF(COUNTIF(_TradeIds,A148)=0,"违规：交易编号不存在",IF(OR(B148="",B148&lt;1,B148&gt;5,B148&lt;&gt;INT(B148)),"违规：加仓序号须为1到5的整数",IF(COUNTIFS($A$2:$A$1001,A148,$B$2:$B$1001,B148)&gt;1,"违规：同一交易的加仓序号重复",IF(OR(D148="",E148="",F148=""),"计划不完整：请填写加仓价、新止损价和风险预算",IF(OR(D148&lt;=0,E148&lt;=0,F148&lt;=0,D148&lt;=E148),"违规：加仓价必须高于新止损价，金额须大于0",IF(AND(B148&gt;1,COUNTIFS($A$2:$A$1001,A148,$B$2:$B$1001,B148-1,$G$2:$G$1001,"&gt;0")=0),"违规：须先完成上一次加仓",IF(AND(B148&gt;1,E148&lt;SUMIFS($E$2:$E$1001,$A$2:$A$1001,A148,$B$2:$B$1001,B148-1)),"违规：新止损价不得低于上一次",IF(AND(B148&gt;1,F148&gt;SUMIFS($F$2:$F$1001,$A$2:$A$1001,A148,$B$2:$B$1001,B148-1)),"违规：风险预算须逐次不增加",IF(OR(_LockStatus="已锁仓",_LockStatus="解锁信息不完整"),"违规：锁仓期间禁止加仓",IF(G148="","计划可执行：建议股数见N列",IF(OR(G148&lt;=0,G148&lt;&gt;INT(G148),MOD(G148,100)&lt;&gt;0),"违规：实际股数须为100股整数倍",IF(G148&gt;N148,"违规：实际股数超过风险或金字塔上限",IF(AND(B148&gt;1,G148&gt;SUMIFS($G$2:$G$1001,$A$2:$A$1001,A148,$B$2:$B$1001,B148-1)),"违规：加仓股数须逐次不增加",IF(Q148&gt;F148,"违规：止损风险超过本次预算","通过")))))))))))))))</f>
        <v>通过</v>
      </c>
    </row>
    <row r="149" ht="17" spans="1:18">
      <c r="A149" s="13">
        <v>65</v>
      </c>
      <c r="B149" s="14">
        <v>1</v>
      </c>
      <c r="C149" s="15">
        <v>45715</v>
      </c>
      <c r="D149" s="16">
        <v>29.39</v>
      </c>
      <c r="E149" s="16">
        <v>27</v>
      </c>
      <c r="F149" s="16">
        <v>1</v>
      </c>
      <c r="G149" s="14">
        <v>5000</v>
      </c>
      <c r="H149" s="17">
        <f t="shared" si="16"/>
        <v>146950</v>
      </c>
      <c r="I149" s="18">
        <f>IF(OR(A149="",B149=""),"",IFERROR(LOOKUP(2,1/(单次交易!$A$2:$A$201=A149),单次交易!$H$2:$H$201),0)+SUMIFS($G$2:$G$1001,$A$2:$A$1001,A149,$B$2:$B$1001,"&lt;"&amp;B149))</f>
        <v>6500</v>
      </c>
      <c r="J149" s="17">
        <f>IF(OR(A149="",B149=""),"",IFERROR(LOOKUP(2,1/(单次交易!$A$2:$A$201=A149),单次交易!$E$2:$E$201)*LOOKUP(2,1/(单次交易!$A$2:$A$201=A149),单次交易!$H$2:$H$201),0)+SUMIFS($H$2:$H$1001,$A$2:$A$1001,A149,$B$2:$B$1001,"&lt;"&amp;B149))</f>
        <v>177905</v>
      </c>
      <c r="K149" s="17">
        <f t="shared" si="17"/>
        <v>0</v>
      </c>
      <c r="L149" s="18">
        <f t="shared" si="18"/>
        <v>0</v>
      </c>
      <c r="M149" s="18">
        <f t="shared" si="19"/>
        <v>0</v>
      </c>
      <c r="N149" s="18">
        <f t="shared" si="20"/>
        <v>0</v>
      </c>
      <c r="O149" s="18">
        <f t="shared" si="21"/>
        <v>11500</v>
      </c>
      <c r="P149" s="17">
        <f t="shared" si="22"/>
        <v>28.2482608695652</v>
      </c>
      <c r="Q149" s="17">
        <f t="shared" si="23"/>
        <v>14355</v>
      </c>
      <c r="R149" s="19" t="str">
        <f ca="1">IF(A149="","",IF(COUNTIF(_TradeIds,A149)=0,"违规：交易编号不存在",IF(OR(B149="",B149&lt;1,B149&gt;5,B149&lt;&gt;INT(B149)),"违规：加仓序号须为1到5的整数",IF(COUNTIFS($A$2:$A$1001,A149,$B$2:$B$1001,B149)&gt;1,"违规：同一交易的加仓序号重复",IF(OR(D149="",E149="",F149=""),"计划不完整：请填写加仓价、新止损价和风险预算",IF(OR(D149&lt;=0,E149&lt;=0,F149&lt;=0,D149&lt;=E149),"违规：加仓价必须高于新止损价，金额须大于0",IF(AND(B149&gt;1,COUNTIFS($A$2:$A$1001,A149,$B$2:$B$1001,B149-1,$G$2:$G$1001,"&gt;0")=0),"违规：须先完成上一次加仓",IF(AND(B149&gt;1,E149&lt;SUMIFS($E$2:$E$1001,$A$2:$A$1001,A149,$B$2:$B$1001,B149-1)),"违规：新止损价不得低于上一次",IF(AND(B149&gt;1,F149&gt;SUMIFS($F$2:$F$1001,$A$2:$A$1001,A149,$B$2:$B$1001,B149-1)),"违规：风险预算须逐次不增加",IF(OR(_LockStatus="已锁仓",_LockStatus="解锁信息不完整"),"违规：锁仓期间禁止加仓",IF(G149="","计划可执行：建议股数见N列",IF(OR(G149&lt;=0,G149&lt;&gt;INT(G149),MOD(G149,100)&lt;&gt;0),"违规：实际股数须为100股整数倍",IF(G149&gt;N149,"违规：实际股数超过风险或金字塔上限",IF(AND(B149&gt;1,G149&gt;SUMIFS($G$2:$G$1001,$A$2:$A$1001,A149,$B$2:$B$1001,B149-1)),"违规：加仓股数须逐次不增加",IF(Q149&gt;F149,"违规：止损风险超过本次预算","通过")))))))))))))))</f>
        <v>违规：实际股数超过风险或金字塔上限</v>
      </c>
    </row>
    <row r="150" ht="17" spans="1:18">
      <c r="A150" s="13">
        <v>65</v>
      </c>
      <c r="B150" s="14">
        <v>2</v>
      </c>
      <c r="C150" s="15">
        <v>45719</v>
      </c>
      <c r="D150" s="16">
        <v>29.96</v>
      </c>
      <c r="E150" s="16">
        <v>28</v>
      </c>
      <c r="F150" s="16">
        <v>1</v>
      </c>
      <c r="G150" s="14">
        <v>5000</v>
      </c>
      <c r="H150" s="17">
        <f t="shared" si="16"/>
        <v>149800</v>
      </c>
      <c r="I150" s="18">
        <f>IF(OR(A150="",B150=""),"",IFERROR(LOOKUP(2,1/(单次交易!$A$2:$A$201=A150),单次交易!$H$2:$H$201),0)+SUMIFS($G$2:$G$1001,$A$2:$A$1001,A150,$B$2:$B$1001,"&lt;"&amp;B150))</f>
        <v>11500</v>
      </c>
      <c r="J150" s="17">
        <f>IF(OR(A150="",B150=""),"",IFERROR(LOOKUP(2,1/(单次交易!$A$2:$A$201=A150),单次交易!$E$2:$E$201)*LOOKUP(2,1/(单次交易!$A$2:$A$201=A150),单次交易!$H$2:$H$201),0)+SUMIFS($H$2:$H$1001,$A$2:$A$1001,A150,$B$2:$B$1001,"&lt;"&amp;B150))</f>
        <v>324855</v>
      </c>
      <c r="K150" s="17">
        <f t="shared" si="17"/>
        <v>0</v>
      </c>
      <c r="L150" s="18">
        <f t="shared" si="18"/>
        <v>0</v>
      </c>
      <c r="M150" s="18">
        <f t="shared" si="19"/>
        <v>5000</v>
      </c>
      <c r="N150" s="18">
        <f t="shared" si="20"/>
        <v>0</v>
      </c>
      <c r="O150" s="18">
        <f t="shared" si="21"/>
        <v>16500</v>
      </c>
      <c r="P150" s="17">
        <f t="shared" si="22"/>
        <v>28.7669696969697</v>
      </c>
      <c r="Q150" s="17">
        <f t="shared" si="23"/>
        <v>12655</v>
      </c>
      <c r="R150" s="19" t="str">
        <f ca="1">IF(A150="","",IF(COUNTIF(_TradeIds,A150)=0,"违规：交易编号不存在",IF(OR(B150="",B150&lt;1,B150&gt;5,B150&lt;&gt;INT(B150)),"违规：加仓序号须为1到5的整数",IF(COUNTIFS($A$2:$A$1001,A150,$B$2:$B$1001,B150)&gt;1,"违规：同一交易的加仓序号重复",IF(OR(D150="",E150="",F150=""),"计划不完整：请填写加仓价、新止损价和风险预算",IF(OR(D150&lt;=0,E150&lt;=0,F150&lt;=0,D150&lt;=E150),"违规：加仓价必须高于新止损价，金额须大于0",IF(AND(B150&gt;1,COUNTIFS($A$2:$A$1001,A150,$B$2:$B$1001,B150-1,$G$2:$G$1001,"&gt;0")=0),"违规：须先完成上一次加仓",IF(AND(B150&gt;1,E150&lt;SUMIFS($E$2:$E$1001,$A$2:$A$1001,A150,$B$2:$B$1001,B150-1)),"违规：新止损价不得低于上一次",IF(AND(B150&gt;1,F150&gt;SUMIFS($F$2:$F$1001,$A$2:$A$1001,A150,$B$2:$B$1001,B150-1)),"违规：风险预算须逐次不增加",IF(OR(_LockStatus="已锁仓",_LockStatus="解锁信息不完整"),"违规：锁仓期间禁止加仓",IF(G150="","计划可执行：建议股数见N列",IF(OR(G150&lt;=0,G150&lt;&gt;INT(G150),MOD(G150,100)&lt;&gt;0),"违规：实际股数须为100股整数倍",IF(G150&gt;N150,"违规：实际股数超过风险或金字塔上限",IF(AND(B150&gt;1,G150&gt;SUMIFS($G$2:$G$1001,$A$2:$A$1001,A150,$B$2:$B$1001,B150-1)),"违规：加仓股数须逐次不增加",IF(Q150&gt;F150,"违规：止损风险超过本次预算","通过")))))))))))))))</f>
        <v>违规：实际股数超过风险或金字塔上限</v>
      </c>
    </row>
    <row r="151" ht="17" spans="1:18">
      <c r="A151" s="13">
        <v>65</v>
      </c>
      <c r="B151" s="14">
        <v>3</v>
      </c>
      <c r="C151" s="15">
        <v>45727</v>
      </c>
      <c r="D151" s="16">
        <v>31.28</v>
      </c>
      <c r="E151" s="16">
        <v>30</v>
      </c>
      <c r="F151" s="16">
        <v>1</v>
      </c>
      <c r="G151" s="14">
        <v>4000</v>
      </c>
      <c r="H151" s="17">
        <f t="shared" si="16"/>
        <v>125120</v>
      </c>
      <c r="I151" s="18">
        <f>IF(OR(A151="",B151=""),"",IFERROR(LOOKUP(2,1/(单次交易!$A$2:$A$201=A151),单次交易!$H$2:$H$201),0)+SUMIFS($G$2:$G$1001,$A$2:$A$1001,A151,$B$2:$B$1001,"&lt;"&amp;B151))</f>
        <v>16500</v>
      </c>
      <c r="J151" s="17">
        <f>IF(OR(A151="",B151=""),"",IFERROR(LOOKUP(2,1/(单次交易!$A$2:$A$201=A151),单次交易!$E$2:$E$201)*LOOKUP(2,1/(单次交易!$A$2:$A$201=A151),单次交易!$H$2:$H$201),0)+SUMIFS($H$2:$H$1001,$A$2:$A$1001,A151,$B$2:$B$1001,"&lt;"&amp;B151))</f>
        <v>474655</v>
      </c>
      <c r="K151" s="17">
        <f t="shared" si="17"/>
        <v>20345</v>
      </c>
      <c r="L151" s="18">
        <f t="shared" si="18"/>
        <v>15800</v>
      </c>
      <c r="M151" s="18">
        <f t="shared" si="19"/>
        <v>5000</v>
      </c>
      <c r="N151" s="18">
        <f t="shared" si="20"/>
        <v>5000</v>
      </c>
      <c r="O151" s="18">
        <f t="shared" si="21"/>
        <v>20500</v>
      </c>
      <c r="P151" s="17">
        <f t="shared" si="22"/>
        <v>29.2573170731707</v>
      </c>
      <c r="Q151" s="17">
        <f t="shared" si="23"/>
        <v>0</v>
      </c>
      <c r="R151" s="19" t="str">
        <f ca="1">IF(A151="","",IF(COUNTIF(_TradeIds,A151)=0,"违规：交易编号不存在",IF(OR(B151="",B151&lt;1,B151&gt;5,B151&lt;&gt;INT(B151)),"违规：加仓序号须为1到5的整数",IF(COUNTIFS($A$2:$A$1001,A151,$B$2:$B$1001,B151)&gt;1,"违规：同一交易的加仓序号重复",IF(OR(D151="",E151="",F151=""),"计划不完整：请填写加仓价、新止损价和风险预算",IF(OR(D151&lt;=0,E151&lt;=0,F151&lt;=0,D151&lt;=E151),"违规：加仓价必须高于新止损价，金额须大于0",IF(AND(B151&gt;1,COUNTIFS($A$2:$A$1001,A151,$B$2:$B$1001,B151-1,$G$2:$G$1001,"&gt;0")=0),"违规：须先完成上一次加仓",IF(AND(B151&gt;1,E151&lt;SUMIFS($E$2:$E$1001,$A$2:$A$1001,A151,$B$2:$B$1001,B151-1)),"违规：新止损价不得低于上一次",IF(AND(B151&gt;1,F151&gt;SUMIFS($F$2:$F$1001,$A$2:$A$1001,A151,$B$2:$B$1001,B151-1)),"违规：风险预算须逐次不增加",IF(OR(_LockStatus="已锁仓",_LockStatus="解锁信息不完整"),"违规：锁仓期间禁止加仓",IF(G151="","计划可执行：建议股数见N列",IF(OR(G151&lt;=0,G151&lt;&gt;INT(G151),MOD(G151,100)&lt;&gt;0),"违规：实际股数须为100股整数倍",IF(G151&gt;N151,"违规：实际股数超过风险或金字塔上限",IF(AND(B151&gt;1,G151&gt;SUMIFS($G$2:$G$1001,$A$2:$A$1001,A151,$B$2:$B$1001,B151-1)),"违规：加仓股数须逐次不增加",IF(Q151&gt;F151,"违规：止损风险超过本次预算","通过")))))))))))))))</f>
        <v>通过</v>
      </c>
    </row>
    <row r="152" ht="17" spans="1:18">
      <c r="A152" s="13">
        <v>68</v>
      </c>
      <c r="B152" s="14">
        <v>1</v>
      </c>
      <c r="C152" s="15">
        <v>46017</v>
      </c>
      <c r="D152" s="16">
        <v>28.81</v>
      </c>
      <c r="E152" s="16">
        <v>27</v>
      </c>
      <c r="F152" s="16">
        <v>1</v>
      </c>
      <c r="G152" s="14">
        <v>10000</v>
      </c>
      <c r="H152" s="17">
        <f t="shared" si="16"/>
        <v>288100</v>
      </c>
      <c r="I152" s="18">
        <f>IF(OR(A152="",B152=""),"",IFERROR(LOOKUP(2,1/(单次交易!$A$2:$A$201=A152),单次交易!$H$2:$H$201),0)+SUMIFS($G$2:$G$1001,$A$2:$A$1001,A152,$B$2:$B$1001,"&lt;"&amp;B152))</f>
        <v>10000</v>
      </c>
      <c r="J152" s="17">
        <f>IF(OR(A152="",B152=""),"",IFERROR(LOOKUP(2,1/(单次交易!$A$2:$A$201=A152),单次交易!$E$2:$E$201)*LOOKUP(2,1/(单次交易!$A$2:$A$201=A152),单次交易!$H$2:$H$201),0)+SUMIFS($H$2:$H$1001,$A$2:$A$1001,A152,$B$2:$B$1001,"&lt;"&amp;B152))</f>
        <v>300100</v>
      </c>
      <c r="K152" s="17">
        <f t="shared" si="17"/>
        <v>0</v>
      </c>
      <c r="L152" s="18">
        <f t="shared" si="18"/>
        <v>0</v>
      </c>
      <c r="M152" s="18">
        <f t="shared" si="19"/>
        <v>0</v>
      </c>
      <c r="N152" s="18">
        <f t="shared" si="20"/>
        <v>0</v>
      </c>
      <c r="O152" s="18">
        <f t="shared" si="21"/>
        <v>20000</v>
      </c>
      <c r="P152" s="17">
        <f t="shared" si="22"/>
        <v>29.41</v>
      </c>
      <c r="Q152" s="17">
        <f t="shared" si="23"/>
        <v>48200</v>
      </c>
      <c r="R152" s="19" t="str">
        <f ca="1">IF(A152="","",IF(COUNTIF(_TradeIds,A152)=0,"违规：交易编号不存在",IF(OR(B152="",B152&lt;1,B152&gt;5,B152&lt;&gt;INT(B152)),"违规：加仓序号须为1到5的整数",IF(COUNTIFS($A$2:$A$1001,A152,$B$2:$B$1001,B152)&gt;1,"违规：同一交易的加仓序号重复",IF(OR(D152="",E152="",F152=""),"计划不完整：请填写加仓价、新止损价和风险预算",IF(OR(D152&lt;=0,E152&lt;=0,F152&lt;=0,D152&lt;=E152),"违规：加仓价必须高于新止损价，金额须大于0",IF(AND(B152&gt;1,COUNTIFS($A$2:$A$1001,A152,$B$2:$B$1001,B152-1,$G$2:$G$1001,"&gt;0")=0),"违规：须先完成上一次加仓",IF(AND(B152&gt;1,E152&lt;SUMIFS($E$2:$E$1001,$A$2:$A$1001,A152,$B$2:$B$1001,B152-1)),"违规：新止损价不得低于上一次",IF(AND(B152&gt;1,F152&gt;SUMIFS($F$2:$F$1001,$A$2:$A$1001,A152,$B$2:$B$1001,B152-1)),"违规：风险预算须逐次不增加",IF(OR(_LockStatus="已锁仓",_LockStatus="解锁信息不完整"),"违规：锁仓期间禁止加仓",IF(G152="","计划可执行：建议股数见N列",IF(OR(G152&lt;=0,G152&lt;&gt;INT(G152),MOD(G152,100)&lt;&gt;0),"违规：实际股数须为100股整数倍",IF(G152&gt;N152,"违规：实际股数超过风险或金字塔上限",IF(AND(B152&gt;1,G152&gt;SUMIFS($G$2:$G$1001,$A$2:$A$1001,A152,$B$2:$B$1001,B152-1)),"违规：加仓股数须逐次不增加",IF(Q152&gt;F152,"违规：止损风险超过本次预算","通过")))))))))))))))</f>
        <v>违规：实际股数超过风险或金字塔上限</v>
      </c>
    </row>
    <row r="153" ht="17" spans="1:18">
      <c r="A153" s="13">
        <v>69</v>
      </c>
      <c r="B153" s="14">
        <v>1</v>
      </c>
      <c r="C153" s="15">
        <v>46079</v>
      </c>
      <c r="D153" s="16">
        <v>30.05</v>
      </c>
      <c r="E153" s="16">
        <v>29</v>
      </c>
      <c r="F153" s="16">
        <v>1</v>
      </c>
      <c r="G153" s="14">
        <v>5000</v>
      </c>
      <c r="H153" s="17">
        <f t="shared" si="16"/>
        <v>150250</v>
      </c>
      <c r="I153" s="18">
        <f>IF(OR(A153="",B153=""),"",IFERROR(LOOKUP(2,1/(单次交易!$A$2:$A$201=A153),单次交易!$H$2:$H$201),0)+SUMIFS($G$2:$G$1001,$A$2:$A$1001,A153,$B$2:$B$1001,"&lt;"&amp;B153))</f>
        <v>5000</v>
      </c>
      <c r="J153" s="17">
        <f>IF(OR(A153="",B153=""),"",IFERROR(LOOKUP(2,1/(单次交易!$A$2:$A$201=A153),单次交易!$E$2:$E$201)*LOOKUP(2,1/(单次交易!$A$2:$A$201=A153),单次交易!$H$2:$H$201),0)+SUMIFS($H$2:$H$1001,$A$2:$A$1001,A153,$B$2:$B$1001,"&lt;"&amp;B153))</f>
        <v>156450</v>
      </c>
      <c r="K153" s="17">
        <f t="shared" si="17"/>
        <v>0</v>
      </c>
      <c r="L153" s="18">
        <f t="shared" si="18"/>
        <v>0</v>
      </c>
      <c r="M153" s="18">
        <f t="shared" si="19"/>
        <v>0</v>
      </c>
      <c r="N153" s="18">
        <f t="shared" si="20"/>
        <v>0</v>
      </c>
      <c r="O153" s="18">
        <f t="shared" si="21"/>
        <v>10000</v>
      </c>
      <c r="P153" s="17">
        <f t="shared" si="22"/>
        <v>30.67</v>
      </c>
      <c r="Q153" s="17">
        <f t="shared" si="23"/>
        <v>16700</v>
      </c>
      <c r="R153" s="19" t="str">
        <f ca="1">IF(A153="","",IF(COUNTIF(_TradeIds,A153)=0,"违规：交易编号不存在",IF(OR(B153="",B153&lt;1,B153&gt;5,B153&lt;&gt;INT(B153)),"违规：加仓序号须为1到5的整数",IF(COUNTIFS($A$2:$A$1001,A153,$B$2:$B$1001,B153)&gt;1,"违规：同一交易的加仓序号重复",IF(OR(D153="",E153="",F153=""),"计划不完整：请填写加仓价、新止损价和风险预算",IF(OR(D153&lt;=0,E153&lt;=0,F153&lt;=0,D153&lt;=E153),"违规：加仓价必须高于新止损价，金额须大于0",IF(AND(B153&gt;1,COUNTIFS($A$2:$A$1001,A153,$B$2:$B$1001,B153-1,$G$2:$G$1001,"&gt;0")=0),"违规：须先完成上一次加仓",IF(AND(B153&gt;1,E153&lt;SUMIFS($E$2:$E$1001,$A$2:$A$1001,A153,$B$2:$B$1001,B153-1)),"违规：新止损价不得低于上一次",IF(AND(B153&gt;1,F153&gt;SUMIFS($F$2:$F$1001,$A$2:$A$1001,A153,$B$2:$B$1001,B153-1)),"违规：风险预算须逐次不增加",IF(OR(_LockStatus="已锁仓",_LockStatus="解锁信息不完整"),"违规：锁仓期间禁止加仓",IF(G153="","计划可执行：建议股数见N列",IF(OR(G153&lt;=0,G153&lt;&gt;INT(G153),MOD(G153,100)&lt;&gt;0),"违规：实际股数须为100股整数倍",IF(G153&gt;N153,"违规：实际股数超过风险或金字塔上限",IF(AND(B153&gt;1,G153&gt;SUMIFS($G$2:$G$1001,$A$2:$A$1001,A153,$B$2:$B$1001,B153-1)),"违规：加仓股数须逐次不增加",IF(Q153&gt;F153,"违规：止损风险超过本次预算","通过")))))))))))))))</f>
        <v>违规：实际股数超过风险或金字塔上限</v>
      </c>
    </row>
    <row r="154" ht="17" spans="1:18">
      <c r="A154" s="13">
        <v>69</v>
      </c>
      <c r="B154" s="14">
        <v>2</v>
      </c>
      <c r="C154" s="15">
        <v>46087</v>
      </c>
      <c r="D154" s="16">
        <v>32.21</v>
      </c>
      <c r="E154" s="16">
        <v>30</v>
      </c>
      <c r="F154" s="16">
        <v>1</v>
      </c>
      <c r="G154" s="14">
        <v>10000</v>
      </c>
      <c r="H154" s="17">
        <f t="shared" si="16"/>
        <v>322100</v>
      </c>
      <c r="I154" s="18">
        <f>IF(OR(A154="",B154=""),"",IFERROR(LOOKUP(2,1/(单次交易!$A$2:$A$201=A154),单次交易!$H$2:$H$201),0)+SUMIFS($G$2:$G$1001,$A$2:$A$1001,A154,$B$2:$B$1001,"&lt;"&amp;B154))</f>
        <v>10000</v>
      </c>
      <c r="J154" s="17">
        <f>IF(OR(A154="",B154=""),"",IFERROR(LOOKUP(2,1/(单次交易!$A$2:$A$201=A154),单次交易!$E$2:$E$201)*LOOKUP(2,1/(单次交易!$A$2:$A$201=A154),单次交易!$H$2:$H$201),0)+SUMIFS($H$2:$H$1001,$A$2:$A$1001,A154,$B$2:$B$1001,"&lt;"&amp;B154))</f>
        <v>306700</v>
      </c>
      <c r="K154" s="17">
        <f t="shared" si="17"/>
        <v>0</v>
      </c>
      <c r="L154" s="18">
        <f t="shared" si="18"/>
        <v>0</v>
      </c>
      <c r="M154" s="18">
        <f t="shared" si="19"/>
        <v>5000</v>
      </c>
      <c r="N154" s="18">
        <f t="shared" si="20"/>
        <v>0</v>
      </c>
      <c r="O154" s="18">
        <f t="shared" si="21"/>
        <v>20000</v>
      </c>
      <c r="P154" s="17">
        <f t="shared" si="22"/>
        <v>31.44</v>
      </c>
      <c r="Q154" s="17">
        <f t="shared" si="23"/>
        <v>28800</v>
      </c>
      <c r="R154" s="19" t="str">
        <f ca="1">IF(A154="","",IF(COUNTIF(_TradeIds,A154)=0,"违规：交易编号不存在",IF(OR(B154="",B154&lt;1,B154&gt;5,B154&lt;&gt;INT(B154)),"违规：加仓序号须为1到5的整数",IF(COUNTIFS($A$2:$A$1001,A154,$B$2:$B$1001,B154)&gt;1,"违规：同一交易的加仓序号重复",IF(OR(D154="",E154="",F154=""),"计划不完整：请填写加仓价、新止损价和风险预算",IF(OR(D154&lt;=0,E154&lt;=0,F154&lt;=0,D154&lt;=E154),"违规：加仓价必须高于新止损价，金额须大于0",IF(AND(B154&gt;1,COUNTIFS($A$2:$A$1001,A154,$B$2:$B$1001,B154-1,$G$2:$G$1001,"&gt;0")=0),"违规：须先完成上一次加仓",IF(AND(B154&gt;1,E154&lt;SUMIFS($E$2:$E$1001,$A$2:$A$1001,A154,$B$2:$B$1001,B154-1)),"违规：新止损价不得低于上一次",IF(AND(B154&gt;1,F154&gt;SUMIFS($F$2:$F$1001,$A$2:$A$1001,A154,$B$2:$B$1001,B154-1)),"违规：风险预算须逐次不增加",IF(OR(_LockStatus="已锁仓",_LockStatus="解锁信息不完整"),"违规：锁仓期间禁止加仓",IF(G154="","计划可执行：建议股数见N列",IF(OR(G154&lt;=0,G154&lt;&gt;INT(G154),MOD(G154,100)&lt;&gt;0),"违规：实际股数须为100股整数倍",IF(G154&gt;N154,"违规：实际股数超过风险或金字塔上限",IF(AND(B154&gt;1,G154&gt;SUMIFS($G$2:$G$1001,$A$2:$A$1001,A154,$B$2:$B$1001,B154-1)),"违规：加仓股数须逐次不增加",IF(Q154&gt;F154,"违规：止损风险超过本次预算","通过")))))))))))))))</f>
        <v>违规：实际股数超过风险或金字塔上限</v>
      </c>
    </row>
    <row r="155" ht="17" spans="1:18">
      <c r="A155" s="13">
        <v>70</v>
      </c>
      <c r="B155" s="14">
        <v>1</v>
      </c>
      <c r="C155" s="15">
        <v>46168</v>
      </c>
      <c r="D155" s="16">
        <v>33.54</v>
      </c>
      <c r="E155" s="16">
        <v>32</v>
      </c>
      <c r="F155" s="16">
        <v>1</v>
      </c>
      <c r="G155" s="14">
        <v>5000</v>
      </c>
      <c r="H155" s="17">
        <f t="shared" si="16"/>
        <v>167700</v>
      </c>
      <c r="I155" s="18">
        <f>IF(OR(A155="",B155=""),"",IFERROR(LOOKUP(2,1/(单次交易!$A$2:$A$201=A155),单次交易!$H$2:$H$201),0)+SUMIFS($G$2:$G$1001,$A$2:$A$1001,A155,$B$2:$B$1001,"&lt;"&amp;B155))</f>
        <v>5000</v>
      </c>
      <c r="J155" s="17">
        <f>IF(OR(A155="",B155=""),"",IFERROR(LOOKUP(2,1/(单次交易!$A$2:$A$201=A155),单次交易!$E$2:$E$201)*LOOKUP(2,1/(单次交易!$A$2:$A$201=A155),单次交易!$H$2:$H$201),0)+SUMIFS($H$2:$H$1001,$A$2:$A$1001,A155,$B$2:$B$1001,"&lt;"&amp;B155))</f>
        <v>160650</v>
      </c>
      <c r="K155" s="17">
        <f t="shared" si="17"/>
        <v>0</v>
      </c>
      <c r="L155" s="18">
        <f t="shared" si="18"/>
        <v>0</v>
      </c>
      <c r="M155" s="18">
        <f t="shared" si="19"/>
        <v>0</v>
      </c>
      <c r="N155" s="18">
        <f t="shared" si="20"/>
        <v>0</v>
      </c>
      <c r="O155" s="18">
        <f t="shared" si="21"/>
        <v>10000</v>
      </c>
      <c r="P155" s="17">
        <f t="shared" si="22"/>
        <v>32.835</v>
      </c>
      <c r="Q155" s="17">
        <f t="shared" si="23"/>
        <v>8350</v>
      </c>
      <c r="R155" s="19" t="str">
        <f ca="1">IF(A155="","",IF(COUNTIF(_TradeIds,A155)=0,"违规：交易编号不存在",IF(OR(B155="",B155&lt;1,B155&gt;5,B155&lt;&gt;INT(B155)),"违规：加仓序号须为1到5的整数",IF(COUNTIFS($A$2:$A$1001,A155,$B$2:$B$1001,B155)&gt;1,"违规：同一交易的加仓序号重复",IF(OR(D155="",E155="",F155=""),"计划不完整：请填写加仓价、新止损价和风险预算",IF(OR(D155&lt;=0,E155&lt;=0,F155&lt;=0,D155&lt;=E155),"违规：加仓价必须高于新止损价，金额须大于0",IF(AND(B155&gt;1,COUNTIFS($A$2:$A$1001,A155,$B$2:$B$1001,B155-1,$G$2:$G$1001,"&gt;0")=0),"违规：须先完成上一次加仓",IF(AND(B155&gt;1,E155&lt;SUMIFS($E$2:$E$1001,$A$2:$A$1001,A155,$B$2:$B$1001,B155-1)),"违规：新止损价不得低于上一次",IF(AND(B155&gt;1,F155&gt;SUMIFS($F$2:$F$1001,$A$2:$A$1001,A155,$B$2:$B$1001,B155-1)),"违规：风险预算须逐次不增加",IF(OR(_LockStatus="已锁仓",_LockStatus="解锁信息不完整"),"违规：锁仓期间禁止加仓",IF(G155="","计划可执行：建议股数见N列",IF(OR(G155&lt;=0,G155&lt;&gt;INT(G155),MOD(G155,100)&lt;&gt;0),"违规：实际股数须为100股整数倍",IF(G155&gt;N155,"违规：实际股数超过风险或金字塔上限",IF(AND(B155&gt;1,G155&gt;SUMIFS($G$2:$G$1001,$A$2:$A$1001,A155,$B$2:$B$1001,B155-1)),"违规：加仓股数须逐次不增加",IF(Q155&gt;F155,"违规：止损风险超过本次预算","通过")))))))))))))))</f>
        <v>违规：实际股数超过风险或金字塔上限</v>
      </c>
    </row>
    <row r="156" ht="17" spans="1:18">
      <c r="A156" s="13">
        <v>71</v>
      </c>
      <c r="B156" s="14">
        <v>1</v>
      </c>
      <c r="C156" s="15">
        <v>46164</v>
      </c>
      <c r="D156" s="16">
        <v>34.72</v>
      </c>
      <c r="E156" s="16">
        <v>33</v>
      </c>
      <c r="F156" s="16">
        <v>1</v>
      </c>
      <c r="G156" s="14">
        <v>5000</v>
      </c>
      <c r="H156" s="17">
        <f t="shared" si="16"/>
        <v>173600</v>
      </c>
      <c r="I156" s="18">
        <f>IF(OR(A156="",B156=""),"",IFERROR(LOOKUP(2,1/(单次交易!$A$2:$A$201=A156),单次交易!$H$2:$H$201),0)+SUMIFS($G$2:$G$1001,$A$2:$A$1001,A156,$B$2:$B$1001,"&lt;"&amp;B156))</f>
        <v>6800</v>
      </c>
      <c r="J156" s="17">
        <f>IF(OR(A156="",B156=""),"",IFERROR(LOOKUP(2,1/(单次交易!$A$2:$A$201=A156),单次交易!$E$2:$E$201)*LOOKUP(2,1/(单次交易!$A$2:$A$201=A156),单次交易!$H$2:$H$201),0)+SUMIFS($H$2:$H$1001,$A$2:$A$1001,A156,$B$2:$B$1001,"&lt;"&amp;B156))</f>
        <v>217328</v>
      </c>
      <c r="K156" s="17">
        <f t="shared" si="17"/>
        <v>7072</v>
      </c>
      <c r="L156" s="18">
        <f t="shared" si="18"/>
        <v>4100</v>
      </c>
      <c r="M156" s="18">
        <f t="shared" si="19"/>
        <v>4100</v>
      </c>
      <c r="N156" s="18">
        <f t="shared" si="20"/>
        <v>4100</v>
      </c>
      <c r="O156" s="18">
        <f t="shared" si="21"/>
        <v>11800</v>
      </c>
      <c r="P156" s="17">
        <f t="shared" si="22"/>
        <v>33.1294915254237</v>
      </c>
      <c r="Q156" s="17">
        <f t="shared" si="23"/>
        <v>1528</v>
      </c>
      <c r="R156" s="19" t="str">
        <f ca="1">IF(A156="","",IF(COUNTIF(_TradeIds,A156)=0,"违规：交易编号不存在",IF(OR(B156="",B156&lt;1,B156&gt;5,B156&lt;&gt;INT(B156)),"违规：加仓序号须为1到5的整数",IF(COUNTIFS($A$2:$A$1001,A156,$B$2:$B$1001,B156)&gt;1,"违规：同一交易的加仓序号重复",IF(OR(D156="",E156="",F156=""),"计划不完整：请填写加仓价、新止损价和风险预算",IF(OR(D156&lt;=0,E156&lt;=0,F156&lt;=0,D156&lt;=E156),"违规：加仓价必须高于新止损价，金额须大于0",IF(AND(B156&gt;1,COUNTIFS($A$2:$A$1001,A156,$B$2:$B$1001,B156-1,$G$2:$G$1001,"&gt;0")=0),"违规：须先完成上一次加仓",IF(AND(B156&gt;1,E156&lt;SUMIFS($E$2:$E$1001,$A$2:$A$1001,A156,$B$2:$B$1001,B156-1)),"违规：新止损价不得低于上一次",IF(AND(B156&gt;1,F156&gt;SUMIFS($F$2:$F$1001,$A$2:$A$1001,A156,$B$2:$B$1001,B156-1)),"违规：风险预算须逐次不增加",IF(OR(_LockStatus="已锁仓",_LockStatus="解锁信息不完整"),"违规：锁仓期间禁止加仓",IF(G156="","计划可执行：建议股数见N列",IF(OR(G156&lt;=0,G156&lt;&gt;INT(G156),MOD(G156,100)&lt;&gt;0),"违规：实际股数须为100股整数倍",IF(G156&gt;N156,"违规：实际股数超过风险或金字塔上限",IF(AND(B156&gt;1,G156&gt;SUMIFS($G$2:$G$1001,$A$2:$A$1001,A156,$B$2:$B$1001,B156-1)),"违规：加仓股数须逐次不增加",IF(Q156&gt;F156,"违规：止损风险超过本次预算","通过")))))))))))))))</f>
        <v>违规：实际股数超过风险或金字塔上限</v>
      </c>
    </row>
    <row r="157" ht="17" spans="1:18">
      <c r="A157" s="13">
        <v>71</v>
      </c>
      <c r="B157" s="14">
        <v>2</v>
      </c>
      <c r="C157" s="15">
        <v>46169</v>
      </c>
      <c r="D157" s="16">
        <v>35.68</v>
      </c>
      <c r="E157" s="16">
        <v>34</v>
      </c>
      <c r="F157" s="16">
        <v>1</v>
      </c>
      <c r="G157" s="14">
        <v>5000</v>
      </c>
      <c r="H157" s="17">
        <f t="shared" si="16"/>
        <v>178400</v>
      </c>
      <c r="I157" s="18">
        <f>IF(OR(A157="",B157=""),"",IFERROR(LOOKUP(2,1/(单次交易!$A$2:$A$201=A157),单次交易!$H$2:$H$201),0)+SUMIFS($G$2:$G$1001,$A$2:$A$1001,A157,$B$2:$B$1001,"&lt;"&amp;B157))</f>
        <v>11800</v>
      </c>
      <c r="J157" s="17">
        <f>IF(OR(A157="",B157=""),"",IFERROR(LOOKUP(2,1/(单次交易!$A$2:$A$201=A157),单次交易!$E$2:$E$201)*LOOKUP(2,1/(单次交易!$A$2:$A$201=A157),单次交易!$H$2:$H$201),0)+SUMIFS($H$2:$H$1001,$A$2:$A$1001,A157,$B$2:$B$1001,"&lt;"&amp;B157))</f>
        <v>390928</v>
      </c>
      <c r="K157" s="17">
        <f t="shared" si="17"/>
        <v>10272</v>
      </c>
      <c r="L157" s="18">
        <f t="shared" si="18"/>
        <v>6100</v>
      </c>
      <c r="M157" s="18">
        <f t="shared" si="19"/>
        <v>5000</v>
      </c>
      <c r="N157" s="18">
        <f t="shared" si="20"/>
        <v>5000</v>
      </c>
      <c r="O157" s="18">
        <f t="shared" si="21"/>
        <v>16800</v>
      </c>
      <c r="P157" s="17">
        <f t="shared" si="22"/>
        <v>33.8885714285714</v>
      </c>
      <c r="Q157" s="17">
        <f t="shared" si="23"/>
        <v>0</v>
      </c>
      <c r="R157" s="19" t="str">
        <f ca="1">IF(A157="","",IF(COUNTIF(_TradeIds,A157)=0,"违规：交易编号不存在",IF(OR(B157="",B157&lt;1,B157&gt;5,B157&lt;&gt;INT(B157)),"违规：加仓序号须为1到5的整数",IF(COUNTIFS($A$2:$A$1001,A157,$B$2:$B$1001,B157)&gt;1,"违规：同一交易的加仓序号重复",IF(OR(D157="",E157="",F157=""),"计划不完整：请填写加仓价、新止损价和风险预算",IF(OR(D157&lt;=0,E157&lt;=0,F157&lt;=0,D157&lt;=E157),"违规：加仓价必须高于新止损价，金额须大于0",IF(AND(B157&gt;1,COUNTIFS($A$2:$A$1001,A157,$B$2:$B$1001,B157-1,$G$2:$G$1001,"&gt;0")=0),"违规：须先完成上一次加仓",IF(AND(B157&gt;1,E157&lt;SUMIFS($E$2:$E$1001,$A$2:$A$1001,A157,$B$2:$B$1001,B157-1)),"违规：新止损价不得低于上一次",IF(AND(B157&gt;1,F157&gt;SUMIFS($F$2:$F$1001,$A$2:$A$1001,A157,$B$2:$B$1001,B157-1)),"违规：风险预算须逐次不增加",IF(OR(_LockStatus="已锁仓",_LockStatus="解锁信息不完整"),"违规：锁仓期间禁止加仓",IF(G157="","计划可执行：建议股数见N列",IF(OR(G157&lt;=0,G157&lt;&gt;INT(G157),MOD(G157,100)&lt;&gt;0),"违规：实际股数须为100股整数倍",IF(G157&gt;N157,"违规：实际股数超过风险或金字塔上限",IF(AND(B157&gt;1,G157&gt;SUMIFS($G$2:$G$1001,$A$2:$A$1001,A157,$B$2:$B$1001,B157-1)),"违规：加仓股数须逐次不增加",IF(Q157&gt;F157,"违规：止损风险超过本次预算","通过")))))))))))))))</f>
        <v>通过</v>
      </c>
    </row>
    <row r="158" ht="17" spans="1:18">
      <c r="A158" s="13">
        <v>71</v>
      </c>
      <c r="B158" s="14">
        <v>3</v>
      </c>
      <c r="C158" s="15">
        <v>46171</v>
      </c>
      <c r="D158" s="16">
        <v>36.37</v>
      </c>
      <c r="E158" s="16">
        <v>35</v>
      </c>
      <c r="F158" s="16">
        <v>1</v>
      </c>
      <c r="G158" s="14">
        <v>2500</v>
      </c>
      <c r="H158" s="17">
        <f t="shared" si="16"/>
        <v>90925</v>
      </c>
      <c r="I158" s="18">
        <f>IF(OR(A158="",B158=""),"",IFERROR(LOOKUP(2,1/(单次交易!$A$2:$A$201=A158),单次交易!$H$2:$H$201),0)+SUMIFS($G$2:$G$1001,$A$2:$A$1001,A158,$B$2:$B$1001,"&lt;"&amp;B158))</f>
        <v>16800</v>
      </c>
      <c r="J158" s="17">
        <f>IF(OR(A158="",B158=""),"",IFERROR(LOOKUP(2,1/(单次交易!$A$2:$A$201=A158),单次交易!$E$2:$E$201)*LOOKUP(2,1/(单次交易!$A$2:$A$201=A158),单次交易!$H$2:$H$201),0)+SUMIFS($H$2:$H$1001,$A$2:$A$1001,A158,$B$2:$B$1001,"&lt;"&amp;B158))</f>
        <v>569328</v>
      </c>
      <c r="K158" s="17">
        <f t="shared" si="17"/>
        <v>18672</v>
      </c>
      <c r="L158" s="18">
        <f t="shared" si="18"/>
        <v>13600</v>
      </c>
      <c r="M158" s="18">
        <f t="shared" si="19"/>
        <v>5000</v>
      </c>
      <c r="N158" s="18">
        <f t="shared" si="20"/>
        <v>5000</v>
      </c>
      <c r="O158" s="18">
        <f t="shared" si="21"/>
        <v>19300</v>
      </c>
      <c r="P158" s="17">
        <f t="shared" si="22"/>
        <v>34.21</v>
      </c>
      <c r="Q158" s="17">
        <f t="shared" si="23"/>
        <v>0</v>
      </c>
      <c r="R158" s="19" t="str">
        <f ca="1">IF(A158="","",IF(COUNTIF(_TradeIds,A158)=0,"违规：交易编号不存在",IF(OR(B158="",B158&lt;1,B158&gt;5,B158&lt;&gt;INT(B158)),"违规：加仓序号须为1到5的整数",IF(COUNTIFS($A$2:$A$1001,A158,$B$2:$B$1001,B158)&gt;1,"违规：同一交易的加仓序号重复",IF(OR(D158="",E158="",F158=""),"计划不完整：请填写加仓价、新止损价和风险预算",IF(OR(D158&lt;=0,E158&lt;=0,F158&lt;=0,D158&lt;=E158),"违规：加仓价必须高于新止损价，金额须大于0",IF(AND(B158&gt;1,COUNTIFS($A$2:$A$1001,A158,$B$2:$B$1001,B158-1,$G$2:$G$1001,"&gt;0")=0),"违规：须先完成上一次加仓",IF(AND(B158&gt;1,E158&lt;SUMIFS($E$2:$E$1001,$A$2:$A$1001,A158,$B$2:$B$1001,B158-1)),"违规：新止损价不得低于上一次",IF(AND(B158&gt;1,F158&gt;SUMIFS($F$2:$F$1001,$A$2:$A$1001,A158,$B$2:$B$1001,B158-1)),"违规：风险预算须逐次不增加",IF(OR(_LockStatus="已锁仓",_LockStatus="解锁信息不完整"),"违规：锁仓期间禁止加仓",IF(G158="","计划可执行：建议股数见N列",IF(OR(G158&lt;=0,G158&lt;&gt;INT(G158),MOD(G158,100)&lt;&gt;0),"违规：实际股数须为100股整数倍",IF(G158&gt;N158,"违规：实际股数超过风险或金字塔上限",IF(AND(B158&gt;1,G158&gt;SUMIFS($G$2:$G$1001,$A$2:$A$1001,A158,$B$2:$B$1001,B158-1)),"违规：加仓股数须逐次不增加",IF(Q158&gt;F158,"违规：止损风险超过本次预算","通过")))))))))))))))</f>
        <v>通过</v>
      </c>
    </row>
    <row r="159" ht="17" spans="1:18">
      <c r="A159" s="13">
        <v>72</v>
      </c>
      <c r="B159" s="14">
        <v>1</v>
      </c>
      <c r="C159" s="15">
        <v>46184</v>
      </c>
      <c r="D159" s="16">
        <v>38.08</v>
      </c>
      <c r="E159" s="16">
        <v>36</v>
      </c>
      <c r="F159" s="16">
        <v>1</v>
      </c>
      <c r="G159" s="14">
        <v>2500</v>
      </c>
      <c r="H159" s="17">
        <f t="shared" si="16"/>
        <v>95200</v>
      </c>
      <c r="I159" s="18" t="s">
        <v>76</v>
      </c>
      <c r="J159" s="17">
        <f>IF(OR(A159="",B159=""),"",IFERROR(LOOKUP(2,1/(单次交易!$A$2:$A$201=A159),单次交易!$E$2:$E$201)*LOOKUP(2,1/(单次交易!$A$2:$A$201=A159),单次交易!$H$2:$H$201),0)+SUMIFS($H$2:$H$1001,$A$2:$A$1001,A159,$B$2:$B$1001,"&lt;"&amp;B159))</f>
        <v>370600</v>
      </c>
      <c r="K159" s="17" t="e">
        <f t="shared" si="17"/>
        <v>#VALUE!</v>
      </c>
      <c r="L159" s="18" t="e">
        <f t="shared" si="18"/>
        <v>#VALUE!</v>
      </c>
      <c r="M159" s="18" t="e">
        <f t="shared" si="19"/>
        <v>#VALUE!</v>
      </c>
      <c r="N159" s="18" t="e">
        <f t="shared" si="20"/>
        <v>#VALUE!</v>
      </c>
      <c r="O159" s="18" t="e">
        <f t="shared" si="21"/>
        <v>#VALUE!</v>
      </c>
      <c r="P159" s="17" t="e">
        <f t="shared" si="22"/>
        <v>#VALUE!</v>
      </c>
      <c r="Q159" s="17" t="e">
        <f t="shared" si="23"/>
        <v>#VALUE!</v>
      </c>
      <c r="R159" s="19" t="e">
        <f ca="1">IF(A159="","",IF(COUNTIF(_TradeIds,A159)=0,"违规：交易编号不存在",IF(OR(B159="",B159&lt;1,B159&gt;5,B159&lt;&gt;INT(B159)),"违规：加仓序号须为1到5的整数",IF(COUNTIFS($A$2:$A$1001,A159,$B$2:$B$1001,B159)&gt;1,"违规：同一交易的加仓序号重复",IF(OR(D159="",E159="",F159=""),"计划不完整：请填写加仓价、新止损价和风险预算",IF(OR(D159&lt;=0,E159&lt;=0,F159&lt;=0,D159&lt;=E159),"违规：加仓价必须高于新止损价，金额须大于0",IF(AND(B159&gt;1,COUNTIFS($A$2:$A$1001,A159,$B$2:$B$1001,B159-1,$G$2:$G$1001,"&gt;0")=0),"违规：须先完成上一次加仓",IF(AND(B159&gt;1,E159&lt;SUMIFS($E$2:$E$1001,$A$2:$A$1001,A159,$B$2:$B$1001,B159-1)),"违规：新止损价不得低于上一次",IF(AND(B159&gt;1,F159&gt;SUMIFS($F$2:$F$1001,$A$2:$A$1001,A159,$B$2:$B$1001,B159-1)),"违规：风险预算须逐次不增加",IF(OR(_LockStatus="已锁仓",_LockStatus="解锁信息不完整"),"违规：锁仓期间禁止加仓",IF(G159="","计划可执行：建议股数见N列",IF(OR(G159&lt;=0,G159&lt;&gt;INT(G159),MOD(G159,100)&lt;&gt;0),"违规：实际股数须为100股整数倍",IF(G159&gt;N159,"违规：实际股数超过风险或金字塔上限",IF(AND(B159&gt;1,G159&gt;SUMIFS($G$2:$G$1001,$A$2:$A$1001,A159,$B$2:$B$1001,B159-1)),"违规：加仓股数须逐次不增加",IF(Q159&gt;F159,"违规：止损风险超过本次预算","通过")))))))))))))))</f>
        <v>#VALUE!</v>
      </c>
    </row>
    <row r="160" ht="17" spans="1:18">
      <c r="A160" s="13">
        <v>72</v>
      </c>
      <c r="B160" s="14">
        <v>2</v>
      </c>
      <c r="C160" s="15">
        <v>46220</v>
      </c>
      <c r="D160" s="16">
        <v>35.62</v>
      </c>
      <c r="E160" s="16">
        <v>33</v>
      </c>
      <c r="F160" s="16">
        <v>1</v>
      </c>
      <c r="G160" s="14">
        <v>5000</v>
      </c>
      <c r="H160" s="17">
        <f t="shared" si="16"/>
        <v>178100</v>
      </c>
      <c r="I160" s="18">
        <f>IF(OR(A160="",B160=""),"",IFERROR(LOOKUP(2,1/(单次交易!$A$2:$A$201=A160),单次交易!$H$2:$H$201),0)+SUMIFS($G$2:$G$1001,$A$2:$A$1001,A160,$B$2:$B$1001,"&lt;"&amp;B160))</f>
        <v>12500</v>
      </c>
      <c r="J160" s="17">
        <f>IF(OR(A160="",B160=""),"",IFERROR(LOOKUP(2,1/(单次交易!$A$2:$A$201=A160),单次交易!$E$2:$E$201)*LOOKUP(2,1/(单次交易!$A$2:$A$201=A160),单次交易!$H$2:$H$201),0)+SUMIFS($H$2:$H$1001,$A$2:$A$1001,A160,$B$2:$B$1001,"&lt;"&amp;B160))</f>
        <v>465800</v>
      </c>
      <c r="K160" s="17">
        <f t="shared" si="17"/>
        <v>0</v>
      </c>
      <c r="L160" s="18">
        <f t="shared" si="18"/>
        <v>0</v>
      </c>
      <c r="M160" s="18">
        <f t="shared" si="19"/>
        <v>2500</v>
      </c>
      <c r="N160" s="18">
        <f t="shared" si="20"/>
        <v>0</v>
      </c>
      <c r="O160" s="18">
        <f t="shared" si="21"/>
        <v>17500</v>
      </c>
      <c r="P160" s="17">
        <f t="shared" si="22"/>
        <v>36.7942857142857</v>
      </c>
      <c r="Q160" s="17">
        <f t="shared" si="23"/>
        <v>66400</v>
      </c>
      <c r="R160" s="19" t="str">
        <f ca="1">IF(A160="","",IF(COUNTIF(_TradeIds,A160)=0,"违规：交易编号不存在",IF(OR(B160="",B160&lt;1,B160&gt;5,B160&lt;&gt;INT(B160)),"违规：加仓序号须为1到5的整数",IF(COUNTIFS($A$2:$A$1001,A160,$B$2:$B$1001,B160)&gt;1,"违规：同一交易的加仓序号重复",IF(OR(D160="",E160="",F160=""),"计划不完整：请填写加仓价、新止损价和风险预算",IF(OR(D160&lt;=0,E160&lt;=0,F160&lt;=0,D160&lt;=E160),"违规：加仓价必须高于新止损价，金额须大于0",IF(AND(B160&gt;1,COUNTIFS($A$2:$A$1001,A160,$B$2:$B$1001,B160-1,$G$2:$G$1001,"&gt;0")=0),"违规：须先完成上一次加仓",IF(AND(B160&gt;1,E160&lt;SUMIFS($E$2:$E$1001,$A$2:$A$1001,A160,$B$2:$B$1001,B160-1)),"违规：新止损价不得低于上一次",IF(AND(B160&gt;1,F160&gt;SUMIFS($F$2:$F$1001,$A$2:$A$1001,A160,$B$2:$B$1001,B160-1)),"违规：风险预算须逐次不增加",IF(OR(_LockStatus="已锁仓",_LockStatus="解锁信息不完整"),"违规：锁仓期间禁止加仓",IF(G160="","计划可执行：建议股数见N列",IF(OR(G160&lt;=0,G160&lt;&gt;INT(G160),MOD(G160,100)&lt;&gt;0),"违规：实际股数须为100股整数倍",IF(G160&gt;N160,"违规：实际股数超过风险或金字塔上限",IF(AND(B160&gt;1,G160&gt;SUMIFS($G$2:$G$1001,$A$2:$A$1001,A160,$B$2:$B$1001,B160-1)),"违规：加仓股数须逐次不增加",IF(Q160&gt;F160,"违规：止损风险超过本次预算","通过")))))))))))))))</f>
        <v>违规：新止损价不得低于上一次</v>
      </c>
    </row>
    <row r="161" ht="17" spans="1:18">
      <c r="A161" s="13">
        <v>74</v>
      </c>
      <c r="B161" s="14">
        <v>1</v>
      </c>
      <c r="C161" s="15">
        <v>42108</v>
      </c>
      <c r="D161" s="16">
        <v>2.41</v>
      </c>
      <c r="E161" s="16">
        <v>2.1</v>
      </c>
      <c r="F161" s="16">
        <v>1</v>
      </c>
      <c r="G161" s="14">
        <v>25000</v>
      </c>
      <c r="H161" s="17">
        <f t="shared" si="16"/>
        <v>60250</v>
      </c>
      <c r="I161" s="18">
        <f>IF(OR(A161="",B161=""),"",IFERROR(LOOKUP(2,1/(单次交易!$A$2:$A$201=A161),单次交易!$H$2:$H$201),0)+SUMIFS($G$2:$G$1001,$A$2:$A$1001,A161,$B$2:$B$1001,"&lt;"&amp;B161))</f>
        <v>58700</v>
      </c>
      <c r="J161" s="17">
        <f>IF(OR(A161="",B161=""),"",IFERROR(LOOKUP(2,1/(单次交易!$A$2:$A$201=A161),单次交易!$E$2:$E$201)*LOOKUP(2,1/(单次交易!$A$2:$A$201=A161),单次交易!$H$2:$H$201),0)+SUMIFS($H$2:$H$1001,$A$2:$A$1001,A161,$B$2:$B$1001,"&lt;"&amp;B161))</f>
        <v>125031</v>
      </c>
      <c r="K161" s="17">
        <f t="shared" si="17"/>
        <v>0</v>
      </c>
      <c r="L161" s="18">
        <f t="shared" si="18"/>
        <v>0</v>
      </c>
      <c r="M161" s="18">
        <f t="shared" si="19"/>
        <v>0</v>
      </c>
      <c r="N161" s="18">
        <f t="shared" si="20"/>
        <v>0</v>
      </c>
      <c r="O161" s="18">
        <f t="shared" si="21"/>
        <v>83700</v>
      </c>
      <c r="P161" s="17">
        <f t="shared" si="22"/>
        <v>2.21363201911589</v>
      </c>
      <c r="Q161" s="17">
        <f t="shared" si="23"/>
        <v>9511</v>
      </c>
      <c r="R161" s="19" t="str">
        <f ca="1">IF(A161="","",IF(COUNTIF(_TradeIds,A161)=0,"违规：交易编号不存在",IF(OR(B161="",B161&lt;1,B161&gt;5,B161&lt;&gt;INT(B161)),"违规：加仓序号须为1到5的整数",IF(COUNTIFS($A$2:$A$1001,A161,$B$2:$B$1001,B161)&gt;1,"违规：同一交易的加仓序号重复",IF(OR(D161="",E161="",F161=""),"计划不完整：请填写加仓价、新止损价和风险预算",IF(OR(D161&lt;=0,E161&lt;=0,F161&lt;=0,D161&lt;=E161),"违规：加仓价必须高于新止损价，金额须大于0",IF(AND(B161&gt;1,COUNTIFS($A$2:$A$1001,A161,$B$2:$B$1001,B161-1,$G$2:$G$1001,"&gt;0")=0),"违规：须先完成上一次加仓",IF(AND(B161&gt;1,E161&lt;SUMIFS($E$2:$E$1001,$A$2:$A$1001,A161,$B$2:$B$1001,B161-1)),"违规：新止损价不得低于上一次",IF(AND(B161&gt;1,F161&gt;SUMIFS($F$2:$F$1001,$A$2:$A$1001,A161,$B$2:$B$1001,B161-1)),"违规：风险预算须逐次不增加",IF(OR(_LockStatus="已锁仓",_LockStatus="解锁信息不完整"),"违规：锁仓期间禁止加仓",IF(G161="","计划可执行：建议股数见N列",IF(OR(G161&lt;=0,G161&lt;&gt;INT(G161),MOD(G161,100)&lt;&gt;0),"违规：实际股数须为100股整数倍",IF(G161&gt;N161,"违规：实际股数超过风险或金字塔上限",IF(AND(B161&gt;1,G161&gt;SUMIFS($G$2:$G$1001,$A$2:$A$1001,A161,$B$2:$B$1001,B161-1)),"违规：加仓股数须逐次不增加",IF(Q161&gt;F161,"违规：止损风险超过本次预算","通过")))))))))))))))</f>
        <v>违规：实际股数超过风险或金字塔上限</v>
      </c>
    </row>
    <row r="162" ht="17" spans="1:18">
      <c r="A162" s="13">
        <v>74</v>
      </c>
      <c r="B162" s="14">
        <v>2</v>
      </c>
      <c r="C162" s="15">
        <v>42109</v>
      </c>
      <c r="D162" s="16">
        <v>2.52</v>
      </c>
      <c r="E162" s="16">
        <v>2.2</v>
      </c>
      <c r="F162" s="16">
        <v>1</v>
      </c>
      <c r="G162" s="14">
        <v>50000</v>
      </c>
      <c r="H162" s="17">
        <f t="shared" si="16"/>
        <v>126000</v>
      </c>
      <c r="I162" s="18">
        <f>IF(OR(A162="",B162=""),"",IFERROR(LOOKUP(2,1/(单次交易!$A$2:$A$201=A162),单次交易!$H$2:$H$201),0)+SUMIFS($G$2:$G$1001,$A$2:$A$1001,A162,$B$2:$B$1001,"&lt;"&amp;B162))</f>
        <v>83700</v>
      </c>
      <c r="J162" s="17">
        <f>IF(OR(A162="",B162=""),"",IFERROR(LOOKUP(2,1/(单次交易!$A$2:$A$201=A162),单次交易!$E$2:$E$201)*LOOKUP(2,1/(单次交易!$A$2:$A$201=A162),单次交易!$H$2:$H$201),0)+SUMIFS($H$2:$H$1001,$A$2:$A$1001,A162,$B$2:$B$1001,"&lt;"&amp;B162))</f>
        <v>185281</v>
      </c>
      <c r="K162" s="17">
        <f t="shared" si="17"/>
        <v>0</v>
      </c>
      <c r="L162" s="18">
        <f t="shared" si="18"/>
        <v>0</v>
      </c>
      <c r="M162" s="18">
        <f t="shared" si="19"/>
        <v>25000</v>
      </c>
      <c r="N162" s="18">
        <f t="shared" si="20"/>
        <v>0</v>
      </c>
      <c r="O162" s="18">
        <f t="shared" si="21"/>
        <v>133700</v>
      </c>
      <c r="P162" s="17">
        <f t="shared" si="22"/>
        <v>2.32820493642483</v>
      </c>
      <c r="Q162" s="17">
        <f t="shared" si="23"/>
        <v>17141</v>
      </c>
      <c r="R162" s="19" t="str">
        <f ca="1">IF(A162="","",IF(COUNTIF(_TradeIds,A162)=0,"违规：交易编号不存在",IF(OR(B162="",B162&lt;1,B162&gt;5,B162&lt;&gt;INT(B162)),"违规：加仓序号须为1到5的整数",IF(COUNTIFS($A$2:$A$1001,A162,$B$2:$B$1001,B162)&gt;1,"违规：同一交易的加仓序号重复",IF(OR(D162="",E162="",F162=""),"计划不完整：请填写加仓价、新止损价和风险预算",IF(OR(D162&lt;=0,E162&lt;=0,F162&lt;=0,D162&lt;=E162),"违规：加仓价必须高于新止损价，金额须大于0",IF(AND(B162&gt;1,COUNTIFS($A$2:$A$1001,A162,$B$2:$B$1001,B162-1,$G$2:$G$1001,"&gt;0")=0),"违规：须先完成上一次加仓",IF(AND(B162&gt;1,E162&lt;SUMIFS($E$2:$E$1001,$A$2:$A$1001,A162,$B$2:$B$1001,B162-1)),"违规：新止损价不得低于上一次",IF(AND(B162&gt;1,F162&gt;SUMIFS($F$2:$F$1001,$A$2:$A$1001,A162,$B$2:$B$1001,B162-1)),"违规：风险预算须逐次不增加",IF(OR(_LockStatus="已锁仓",_LockStatus="解锁信息不完整"),"违规：锁仓期间禁止加仓",IF(G162="","计划可执行：建议股数见N列",IF(OR(G162&lt;=0,G162&lt;&gt;INT(G162),MOD(G162,100)&lt;&gt;0),"违规：实际股数须为100股整数倍",IF(G162&gt;N162,"违规：实际股数超过风险或金字塔上限",IF(AND(B162&gt;1,G162&gt;SUMIFS($G$2:$G$1001,$A$2:$A$1001,A162,$B$2:$B$1001,B162-1)),"违规：加仓股数须逐次不增加",IF(Q162&gt;F162,"违规：止损风险超过本次预算","通过")))))))))))))))</f>
        <v>违规：实际股数超过风险或金字塔上限</v>
      </c>
    </row>
    <row r="163" ht="17" spans="1:18">
      <c r="A163" s="13">
        <v>75</v>
      </c>
      <c r="B163" s="14">
        <v>1</v>
      </c>
      <c r="C163" s="15">
        <v>42146</v>
      </c>
      <c r="D163" s="16">
        <v>2.72</v>
      </c>
      <c r="E163" s="16">
        <v>2.5</v>
      </c>
      <c r="F163" s="16">
        <v>1</v>
      </c>
      <c r="G163" s="14">
        <v>25000</v>
      </c>
      <c r="H163" s="17">
        <f t="shared" si="16"/>
        <v>68000</v>
      </c>
      <c r="I163" s="18">
        <f>IF(OR(A163="",B163=""),"",IFERROR(LOOKUP(2,1/(单次交易!$A$2:$A$201=A163),单次交易!$H$2:$H$201),0)+SUMIFS($G$2:$G$1001,$A$2:$A$1001,A163,$B$2:$B$1001,"&lt;"&amp;B163))</f>
        <v>71600</v>
      </c>
      <c r="J163" s="17">
        <f>IF(OR(A163="",B163=""),"",IFERROR(LOOKUP(2,1/(单次交易!$A$2:$A$201=A163),单次交易!$E$2:$E$201)*LOOKUP(2,1/(单次交易!$A$2:$A$201=A163),单次交易!$H$2:$H$201),0)+SUMIFS($H$2:$H$1001,$A$2:$A$1001,A163,$B$2:$B$1001,"&lt;"&amp;B163))</f>
        <v>186876</v>
      </c>
      <c r="K163" s="17">
        <f t="shared" si="17"/>
        <v>0</v>
      </c>
      <c r="L163" s="18">
        <f t="shared" si="18"/>
        <v>0</v>
      </c>
      <c r="M163" s="18">
        <f t="shared" si="19"/>
        <v>0</v>
      </c>
      <c r="N163" s="18">
        <f t="shared" si="20"/>
        <v>0</v>
      </c>
      <c r="O163" s="18">
        <f t="shared" si="21"/>
        <v>96600</v>
      </c>
      <c r="P163" s="17">
        <f t="shared" si="22"/>
        <v>2.63846790890269</v>
      </c>
      <c r="Q163" s="17">
        <f t="shared" si="23"/>
        <v>13376</v>
      </c>
      <c r="R163" s="19" t="str">
        <f ca="1">IF(A163="","",IF(COUNTIF(_TradeIds,A163)=0,"违规：交易编号不存在",IF(OR(B163="",B163&lt;1,B163&gt;5,B163&lt;&gt;INT(B163)),"违规：加仓序号须为1到5的整数",IF(COUNTIFS($A$2:$A$1001,A163,$B$2:$B$1001,B163)&gt;1,"违规：同一交易的加仓序号重复",IF(OR(D163="",E163="",F163=""),"计划不完整：请填写加仓价、新止损价和风险预算",IF(OR(D163&lt;=0,E163&lt;=0,F163&lt;=0,D163&lt;=E163),"违规：加仓价必须高于新止损价，金额须大于0",IF(AND(B163&gt;1,COUNTIFS($A$2:$A$1001,A163,$B$2:$B$1001,B163-1,$G$2:$G$1001,"&gt;0")=0),"违规：须先完成上一次加仓",IF(AND(B163&gt;1,E163&lt;SUMIFS($E$2:$E$1001,$A$2:$A$1001,A163,$B$2:$B$1001,B163-1)),"违规：新止损价不得低于上一次",IF(AND(B163&gt;1,F163&gt;SUMIFS($F$2:$F$1001,$A$2:$A$1001,A163,$B$2:$B$1001,B163-1)),"违规：风险预算须逐次不增加",IF(OR(_LockStatus="已锁仓",_LockStatus="解锁信息不完整"),"违规：锁仓期间禁止加仓",IF(G163="","计划可执行：建议股数见N列",IF(OR(G163&lt;=0,G163&lt;&gt;INT(G163),MOD(G163,100)&lt;&gt;0),"违规：实际股数须为100股整数倍",IF(G163&gt;N163,"违规：实际股数超过风险或金字塔上限",IF(AND(B163&gt;1,G163&gt;SUMIFS($G$2:$G$1001,$A$2:$A$1001,A163,$B$2:$B$1001,B163-1)),"违规：加仓股数须逐次不增加",IF(Q163&gt;F163,"违规：止损风险超过本次预算","通过")))))))))))))))</f>
        <v>违规：实际股数超过风险或金字塔上限</v>
      </c>
    </row>
    <row r="164" ht="17" spans="1:18">
      <c r="A164" s="13">
        <v>75</v>
      </c>
      <c r="B164" s="14">
        <v>2</v>
      </c>
      <c r="C164" s="15">
        <v>42152</v>
      </c>
      <c r="D164" s="16">
        <v>2.73</v>
      </c>
      <c r="E164" s="16">
        <v>2.5</v>
      </c>
      <c r="F164" s="16">
        <v>1</v>
      </c>
      <c r="G164" s="14">
        <v>25000</v>
      </c>
      <c r="H164" s="17">
        <f t="shared" si="16"/>
        <v>68250</v>
      </c>
      <c r="I164" s="18">
        <f>IF(OR(A164="",B164=""),"",IFERROR(LOOKUP(2,1/(单次交易!$A$2:$A$201=A164),单次交易!$H$2:$H$201),0)+SUMIFS($G$2:$G$1001,$A$2:$A$1001,A164,$B$2:$B$1001,"&lt;"&amp;B164))</f>
        <v>96600</v>
      </c>
      <c r="J164" s="17">
        <f>IF(OR(A164="",B164=""),"",IFERROR(LOOKUP(2,1/(单次交易!$A$2:$A$201=A164),单次交易!$E$2:$E$201)*LOOKUP(2,1/(单次交易!$A$2:$A$201=A164),单次交易!$H$2:$H$201),0)+SUMIFS($H$2:$H$1001,$A$2:$A$1001,A164,$B$2:$B$1001,"&lt;"&amp;B164))</f>
        <v>254876</v>
      </c>
      <c r="K164" s="17">
        <f t="shared" si="17"/>
        <v>0</v>
      </c>
      <c r="L164" s="18">
        <f t="shared" si="18"/>
        <v>0</v>
      </c>
      <c r="M164" s="18">
        <f t="shared" si="19"/>
        <v>25000</v>
      </c>
      <c r="N164" s="18">
        <f t="shared" si="20"/>
        <v>0</v>
      </c>
      <c r="O164" s="18">
        <f t="shared" si="21"/>
        <v>121600</v>
      </c>
      <c r="P164" s="17">
        <f t="shared" si="22"/>
        <v>2.65728618421053</v>
      </c>
      <c r="Q164" s="17">
        <f t="shared" si="23"/>
        <v>19126</v>
      </c>
      <c r="R164" s="19" t="str">
        <f ca="1">IF(A164="","",IF(COUNTIF(_TradeIds,A164)=0,"违规：交易编号不存在",IF(OR(B164="",B164&lt;1,B164&gt;5,B164&lt;&gt;INT(B164)),"违规：加仓序号须为1到5的整数",IF(COUNTIFS($A$2:$A$1001,A164,$B$2:$B$1001,B164)&gt;1,"违规：同一交易的加仓序号重复",IF(OR(D164="",E164="",F164=""),"计划不完整：请填写加仓价、新止损价和风险预算",IF(OR(D164&lt;=0,E164&lt;=0,F164&lt;=0,D164&lt;=E164),"违规：加仓价必须高于新止损价，金额须大于0",IF(AND(B164&gt;1,COUNTIFS($A$2:$A$1001,A164,$B$2:$B$1001,B164-1,$G$2:$G$1001,"&gt;0")=0),"违规：须先完成上一次加仓",IF(AND(B164&gt;1,E164&lt;SUMIFS($E$2:$E$1001,$A$2:$A$1001,A164,$B$2:$B$1001,B164-1)),"违规：新止损价不得低于上一次",IF(AND(B164&gt;1,F164&gt;SUMIFS($F$2:$F$1001,$A$2:$A$1001,A164,$B$2:$B$1001,B164-1)),"违规：风险预算须逐次不增加",IF(OR(_LockStatus="已锁仓",_LockStatus="解锁信息不完整"),"违规：锁仓期间禁止加仓",IF(G164="","计划可执行：建议股数见N列",IF(OR(G164&lt;=0,G164&lt;&gt;INT(G164),MOD(G164,100)&lt;&gt;0),"违规：实际股数须为100股整数倍",IF(G164&gt;N164,"违规：实际股数超过风险或金字塔上限",IF(AND(B164&gt;1,G164&gt;SUMIFS($G$2:$G$1001,$A$2:$A$1001,A164,$B$2:$B$1001,B164-1)),"违规：加仓股数须逐次不增加",IF(Q164&gt;F164,"违规：止损风险超过本次预算","通过")))))))))))))))</f>
        <v>违规：实际股数超过风险或金字塔上限</v>
      </c>
    </row>
    <row r="165" ht="17" spans="1:18">
      <c r="A165" s="13">
        <v>75</v>
      </c>
      <c r="B165" s="14">
        <v>3</v>
      </c>
      <c r="C165" s="15">
        <v>42156</v>
      </c>
      <c r="D165" s="16">
        <v>3.5</v>
      </c>
      <c r="E165" s="16">
        <v>3.2</v>
      </c>
      <c r="F165" s="16">
        <v>1</v>
      </c>
      <c r="G165" s="14">
        <v>25000</v>
      </c>
      <c r="H165" s="17">
        <f t="shared" si="16"/>
        <v>87500</v>
      </c>
      <c r="I165" s="18">
        <f>IF(OR(A165="",B165=""),"",IFERROR(LOOKUP(2,1/(单次交易!$A$2:$A$201=A165),单次交易!$H$2:$H$201),0)+SUMIFS($G$2:$G$1001,$A$2:$A$1001,A165,$B$2:$B$1001,"&lt;"&amp;B165))</f>
        <v>121600</v>
      </c>
      <c r="J165" s="17">
        <f>IF(OR(A165="",B165=""),"",IFERROR(LOOKUP(2,1/(单次交易!$A$2:$A$201=A165),单次交易!$E$2:$E$201)*LOOKUP(2,1/(单次交易!$A$2:$A$201=A165),单次交易!$H$2:$H$201),0)+SUMIFS($H$2:$H$1001,$A$2:$A$1001,A165,$B$2:$B$1001,"&lt;"&amp;B165))</f>
        <v>323126</v>
      </c>
      <c r="K165" s="17">
        <f t="shared" si="17"/>
        <v>65994</v>
      </c>
      <c r="L165" s="18">
        <f t="shared" si="18"/>
        <v>219900</v>
      </c>
      <c r="M165" s="18">
        <f t="shared" si="19"/>
        <v>25000</v>
      </c>
      <c r="N165" s="18">
        <f t="shared" si="20"/>
        <v>25000</v>
      </c>
      <c r="O165" s="18">
        <f t="shared" si="21"/>
        <v>146600</v>
      </c>
      <c r="P165" s="17">
        <f t="shared" si="22"/>
        <v>2.80099590723056</v>
      </c>
      <c r="Q165" s="17">
        <f t="shared" si="23"/>
        <v>0</v>
      </c>
      <c r="R165" s="19" t="str">
        <f ca="1">IF(A165="","",IF(COUNTIF(_TradeIds,A165)=0,"违规：交易编号不存在",IF(OR(B165="",B165&lt;1,B165&gt;5,B165&lt;&gt;INT(B165)),"违规：加仓序号须为1到5的整数",IF(COUNTIFS($A$2:$A$1001,A165,$B$2:$B$1001,B165)&gt;1,"违规：同一交易的加仓序号重复",IF(OR(D165="",E165="",F165=""),"计划不完整：请填写加仓价、新止损价和风险预算",IF(OR(D165&lt;=0,E165&lt;=0,F165&lt;=0,D165&lt;=E165),"违规：加仓价必须高于新止损价，金额须大于0",IF(AND(B165&gt;1,COUNTIFS($A$2:$A$1001,A165,$B$2:$B$1001,B165-1,$G$2:$G$1001,"&gt;0")=0),"违规：须先完成上一次加仓",IF(AND(B165&gt;1,E165&lt;SUMIFS($E$2:$E$1001,$A$2:$A$1001,A165,$B$2:$B$1001,B165-1)),"违规：新止损价不得低于上一次",IF(AND(B165&gt;1,F165&gt;SUMIFS($F$2:$F$1001,$A$2:$A$1001,A165,$B$2:$B$1001,B165-1)),"违规：风险预算须逐次不增加",IF(OR(_LockStatus="已锁仓",_LockStatus="解锁信息不完整"),"违规：锁仓期间禁止加仓",IF(G165="","计划可执行：建议股数见N列",IF(OR(G165&lt;=0,G165&lt;&gt;INT(G165),MOD(G165,100)&lt;&gt;0),"违规：实际股数须为100股整数倍",IF(G165&gt;N165,"违规：实际股数超过风险或金字塔上限",IF(AND(B165&gt;1,G165&gt;SUMIFS($G$2:$G$1001,$A$2:$A$1001,A165,$B$2:$B$1001,B165-1)),"违规：加仓股数须逐次不增加",IF(Q165&gt;F165,"违规：止损风险超过本次预算","通过")))))))))))))))</f>
        <v>通过</v>
      </c>
    </row>
    <row r="166" ht="17" spans="1:18">
      <c r="A166" s="13">
        <v>78</v>
      </c>
      <c r="B166" s="14">
        <v>1</v>
      </c>
      <c r="C166" s="15">
        <v>42192</v>
      </c>
      <c r="D166" s="16">
        <v>2.49</v>
      </c>
      <c r="E166" s="16">
        <v>2.2</v>
      </c>
      <c r="F166" s="16">
        <v>1</v>
      </c>
      <c r="G166" s="14">
        <v>50000</v>
      </c>
      <c r="H166" s="17">
        <f t="shared" si="16"/>
        <v>124500</v>
      </c>
      <c r="I166" s="18">
        <f>IF(OR(A166="",B166=""),"",IFERROR(LOOKUP(2,1/(单次交易!$A$2:$A$201=A166),单次交易!$H$2:$H$201),0)+SUMIFS($G$2:$G$1001,$A$2:$A$1001,A166,$B$2:$B$1001,"&lt;"&amp;B166))</f>
        <v>58300</v>
      </c>
      <c r="J166" s="17">
        <f>IF(OR(A166="",B166=""),"",IFERROR(LOOKUP(2,1/(单次交易!$A$2:$A$201=A166),单次交易!$E$2:$E$201)*LOOKUP(2,1/(单次交易!$A$2:$A$201=A166),单次交易!$H$2:$H$201),0)+SUMIFS($H$2:$H$1001,$A$2:$A$1001,A166,$B$2:$B$1001,"&lt;"&amp;B166))</f>
        <v>167321</v>
      </c>
      <c r="K166" s="17">
        <f t="shared" si="17"/>
        <v>0</v>
      </c>
      <c r="L166" s="18">
        <f t="shared" si="18"/>
        <v>0</v>
      </c>
      <c r="M166" s="18">
        <f t="shared" si="19"/>
        <v>0</v>
      </c>
      <c r="N166" s="18">
        <f t="shared" si="20"/>
        <v>0</v>
      </c>
      <c r="O166" s="18">
        <f t="shared" si="21"/>
        <v>108300</v>
      </c>
      <c r="P166" s="17">
        <f t="shared" si="22"/>
        <v>2.69456140350877</v>
      </c>
      <c r="Q166" s="17">
        <f t="shared" si="23"/>
        <v>53561</v>
      </c>
      <c r="R166" s="19" t="str">
        <f ca="1">IF(A166="","",IF(COUNTIF(_TradeIds,A166)=0,"违规：交易编号不存在",IF(OR(B166="",B166&lt;1,B166&gt;5,B166&lt;&gt;INT(B166)),"违规：加仓序号须为1到5的整数",IF(COUNTIFS($A$2:$A$1001,A166,$B$2:$B$1001,B166)&gt;1,"违规：同一交易的加仓序号重复",IF(OR(D166="",E166="",F166=""),"计划不完整：请填写加仓价、新止损价和风险预算",IF(OR(D166&lt;=0,E166&lt;=0,F166&lt;=0,D166&lt;=E166),"违规：加仓价必须高于新止损价，金额须大于0",IF(AND(B166&gt;1,COUNTIFS($A$2:$A$1001,A166,$B$2:$B$1001,B166-1,$G$2:$G$1001,"&gt;0")=0),"违规：须先完成上一次加仓",IF(AND(B166&gt;1,E166&lt;SUMIFS($E$2:$E$1001,$A$2:$A$1001,A166,$B$2:$B$1001,B166-1)),"违规：新止损价不得低于上一次",IF(AND(B166&gt;1,F166&gt;SUMIFS($F$2:$F$1001,$A$2:$A$1001,A166,$B$2:$B$1001,B166-1)),"违规：风险预算须逐次不增加",IF(OR(_LockStatus="已锁仓",_LockStatus="解锁信息不完整"),"违规：锁仓期间禁止加仓",IF(G166="","计划可执行：建议股数见N列",IF(OR(G166&lt;=0,G166&lt;&gt;INT(G166),MOD(G166,100)&lt;&gt;0),"违规：实际股数须为100股整数倍",IF(G166&gt;N166,"违规：实际股数超过风险或金字塔上限",IF(AND(B166&gt;1,G166&gt;SUMIFS($G$2:$G$1001,$A$2:$A$1001,A166,$B$2:$B$1001,B166-1)),"违规：加仓股数须逐次不增加",IF(Q166&gt;F166,"违规：止损风险超过本次预算","通过")))))))))))))))</f>
        <v>违规：实际股数超过风险或金字塔上限</v>
      </c>
    </row>
    <row r="167" ht="17" spans="1:18">
      <c r="A167" s="13">
        <v>78</v>
      </c>
      <c r="B167" s="14">
        <v>2</v>
      </c>
      <c r="C167" s="15">
        <v>42195</v>
      </c>
      <c r="D167" s="16">
        <v>2.82</v>
      </c>
      <c r="E167" s="16">
        <v>2.5</v>
      </c>
      <c r="F167" s="16">
        <v>1</v>
      </c>
      <c r="G167" s="14">
        <v>25000</v>
      </c>
      <c r="H167" s="17">
        <f t="shared" si="16"/>
        <v>70500</v>
      </c>
      <c r="I167" s="18">
        <f>IF(OR(A167="",B167=""),"",IFERROR(LOOKUP(2,1/(单次交易!$A$2:$A$201=A167),单次交易!$H$2:$H$201),0)+SUMIFS($G$2:$G$1001,$A$2:$A$1001,A167,$B$2:$B$1001,"&lt;"&amp;B167))</f>
        <v>108300</v>
      </c>
      <c r="J167" s="17">
        <f>IF(OR(A167="",B167=""),"",IFERROR(LOOKUP(2,1/(单次交易!$A$2:$A$201=A167),单次交易!$E$2:$E$201)*LOOKUP(2,1/(单次交易!$A$2:$A$201=A167),单次交易!$H$2:$H$201),0)+SUMIFS($H$2:$H$1001,$A$2:$A$1001,A167,$B$2:$B$1001,"&lt;"&amp;B167))</f>
        <v>291821</v>
      </c>
      <c r="K167" s="17">
        <f t="shared" si="17"/>
        <v>0</v>
      </c>
      <c r="L167" s="18">
        <f t="shared" si="18"/>
        <v>0</v>
      </c>
      <c r="M167" s="18">
        <f t="shared" si="19"/>
        <v>50000</v>
      </c>
      <c r="N167" s="18">
        <f t="shared" si="20"/>
        <v>0</v>
      </c>
      <c r="O167" s="18">
        <f t="shared" si="21"/>
        <v>133300</v>
      </c>
      <c r="P167" s="17">
        <f t="shared" si="22"/>
        <v>2.71808702175544</v>
      </c>
      <c r="Q167" s="17">
        <f t="shared" si="23"/>
        <v>29071</v>
      </c>
      <c r="R167" s="19" t="str">
        <f ca="1">IF(A167="","",IF(COUNTIF(_TradeIds,A167)=0,"违规：交易编号不存在",IF(OR(B167="",B167&lt;1,B167&gt;5,B167&lt;&gt;INT(B167)),"违规：加仓序号须为1到5的整数",IF(COUNTIFS($A$2:$A$1001,A167,$B$2:$B$1001,B167)&gt;1,"违规：同一交易的加仓序号重复",IF(OR(D167="",E167="",F167=""),"计划不完整：请填写加仓价、新止损价和风险预算",IF(OR(D167&lt;=0,E167&lt;=0,F167&lt;=0,D167&lt;=E167),"违规：加仓价必须高于新止损价，金额须大于0",IF(AND(B167&gt;1,COUNTIFS($A$2:$A$1001,A167,$B$2:$B$1001,B167-1,$G$2:$G$1001,"&gt;0")=0),"违规：须先完成上一次加仓",IF(AND(B167&gt;1,E167&lt;SUMIFS($E$2:$E$1001,$A$2:$A$1001,A167,$B$2:$B$1001,B167-1)),"违规：新止损价不得低于上一次",IF(AND(B167&gt;1,F167&gt;SUMIFS($F$2:$F$1001,$A$2:$A$1001,A167,$B$2:$B$1001,B167-1)),"违规：风险预算须逐次不增加",IF(OR(_LockStatus="已锁仓",_LockStatus="解锁信息不完整"),"违规：锁仓期间禁止加仓",IF(G167="","计划可执行：建议股数见N列",IF(OR(G167&lt;=0,G167&lt;&gt;INT(G167),MOD(G167,100)&lt;&gt;0),"违规：实际股数须为100股整数倍",IF(G167&gt;N167,"违规：实际股数超过风险或金字塔上限",IF(AND(B167&gt;1,G167&gt;SUMIFS($G$2:$G$1001,$A$2:$A$1001,A167,$B$2:$B$1001,B167-1)),"违规：加仓股数须逐次不增加",IF(Q167&gt;F167,"违规：止损风险超过本次预算","通过")))))))))))))))</f>
        <v>违规：实际股数超过风险或金字塔上限</v>
      </c>
    </row>
    <row r="168" ht="17" spans="1:18">
      <c r="A168" s="13">
        <v>78</v>
      </c>
      <c r="B168" s="14">
        <v>3</v>
      </c>
      <c r="C168" s="15">
        <v>42200</v>
      </c>
      <c r="D168" s="16">
        <v>2.86</v>
      </c>
      <c r="E168" s="16">
        <v>2.5</v>
      </c>
      <c r="F168" s="16">
        <v>1</v>
      </c>
      <c r="G168" s="14">
        <v>25000</v>
      </c>
      <c r="H168" s="17">
        <f t="shared" si="16"/>
        <v>71500</v>
      </c>
      <c r="I168" s="18">
        <f>IF(OR(A168="",B168=""),"",IFERROR(LOOKUP(2,1/(单次交易!$A$2:$A$201=A168),单次交易!$H$2:$H$201),0)+SUMIFS($G$2:$G$1001,$A$2:$A$1001,A168,$B$2:$B$1001,"&lt;"&amp;B168))</f>
        <v>133300</v>
      </c>
      <c r="J168" s="17">
        <f>IF(OR(A168="",B168=""),"",IFERROR(LOOKUP(2,1/(单次交易!$A$2:$A$201=A168),单次交易!$E$2:$E$201)*LOOKUP(2,1/(单次交易!$A$2:$A$201=A168),单次交易!$H$2:$H$201),0)+SUMIFS($H$2:$H$1001,$A$2:$A$1001,A168,$B$2:$B$1001,"&lt;"&amp;B168))</f>
        <v>362321</v>
      </c>
      <c r="K168" s="17">
        <f t="shared" si="17"/>
        <v>0</v>
      </c>
      <c r="L168" s="18">
        <f t="shared" si="18"/>
        <v>0</v>
      </c>
      <c r="M168" s="18">
        <f t="shared" si="19"/>
        <v>25000</v>
      </c>
      <c r="N168" s="18">
        <f t="shared" si="20"/>
        <v>0</v>
      </c>
      <c r="O168" s="18">
        <f t="shared" si="21"/>
        <v>158300</v>
      </c>
      <c r="P168" s="17">
        <f t="shared" si="22"/>
        <v>2.74049905243209</v>
      </c>
      <c r="Q168" s="17">
        <f t="shared" si="23"/>
        <v>38071</v>
      </c>
      <c r="R168" s="19" t="str">
        <f ca="1">IF(A168="","",IF(COUNTIF(_TradeIds,A168)=0,"违规：交易编号不存在",IF(OR(B168="",B168&lt;1,B168&gt;5,B168&lt;&gt;INT(B168)),"违规：加仓序号须为1到5的整数",IF(COUNTIFS($A$2:$A$1001,A168,$B$2:$B$1001,B168)&gt;1,"违规：同一交易的加仓序号重复",IF(OR(D168="",E168="",F168=""),"计划不完整：请填写加仓价、新止损价和风险预算",IF(OR(D168&lt;=0,E168&lt;=0,F168&lt;=0,D168&lt;=E168),"违规：加仓价必须高于新止损价，金额须大于0",IF(AND(B168&gt;1,COUNTIFS($A$2:$A$1001,A168,$B$2:$B$1001,B168-1,$G$2:$G$1001,"&gt;0")=0),"违规：须先完成上一次加仓",IF(AND(B168&gt;1,E168&lt;SUMIFS($E$2:$E$1001,$A$2:$A$1001,A168,$B$2:$B$1001,B168-1)),"违规：新止损价不得低于上一次",IF(AND(B168&gt;1,F168&gt;SUMIFS($F$2:$F$1001,$A$2:$A$1001,A168,$B$2:$B$1001,B168-1)),"违规：风险预算须逐次不增加",IF(OR(_LockStatus="已锁仓",_LockStatus="解锁信息不完整"),"违规：锁仓期间禁止加仓",IF(G168="","计划可执行：建议股数见N列",IF(OR(G168&lt;=0,G168&lt;&gt;INT(G168),MOD(G168,100)&lt;&gt;0),"违规：实际股数须为100股整数倍",IF(G168&gt;N168,"违规：实际股数超过风险或金字塔上限",IF(AND(B168&gt;1,G168&gt;SUMIFS($G$2:$G$1001,$A$2:$A$1001,A168,$B$2:$B$1001,B168-1)),"违规：加仓股数须逐次不增加",IF(Q168&gt;F168,"违规：止损风险超过本次预算","通过")))))))))))))))</f>
        <v>违规：实际股数超过风险或金字塔上限</v>
      </c>
    </row>
    <row r="169" ht="17" spans="1:18">
      <c r="A169" s="13">
        <v>80</v>
      </c>
      <c r="B169" s="14">
        <v>1</v>
      </c>
      <c r="C169" s="15">
        <v>42244</v>
      </c>
      <c r="D169" s="16">
        <v>2.3</v>
      </c>
      <c r="E169" s="16">
        <v>2.1</v>
      </c>
      <c r="F169" s="16">
        <v>1</v>
      </c>
      <c r="G169" s="14">
        <v>25000</v>
      </c>
      <c r="H169" s="17">
        <f t="shared" si="16"/>
        <v>57500</v>
      </c>
      <c r="I169" s="18">
        <f>IF(OR(A169="",B169=""),"",IFERROR(LOOKUP(2,1/(单次交易!$A$2:$A$201=A169),单次交易!$H$2:$H$201),0)+SUMIFS($G$2:$G$1001,$A$2:$A$1001,A169,$B$2:$B$1001,"&lt;"&amp;B169))</f>
        <v>103300</v>
      </c>
      <c r="J169" s="17">
        <f>IF(OR(A169="",B169=""),"",IFERROR(LOOKUP(2,1/(单次交易!$A$2:$A$201=A169),单次交易!$E$2:$E$201)*LOOKUP(2,1/(单次交易!$A$2:$A$201=A169),单次交易!$H$2:$H$201),0)+SUMIFS($H$2:$H$1001,$A$2:$A$1001,A169,$B$2:$B$1001,"&lt;"&amp;B169))</f>
        <v>200402</v>
      </c>
      <c r="K169" s="17">
        <f t="shared" si="17"/>
        <v>16528</v>
      </c>
      <c r="L169" s="18">
        <f t="shared" si="18"/>
        <v>82600</v>
      </c>
      <c r="M169" s="18">
        <f t="shared" si="19"/>
        <v>82600</v>
      </c>
      <c r="N169" s="18">
        <f t="shared" si="20"/>
        <v>82600</v>
      </c>
      <c r="O169" s="18">
        <f t="shared" si="21"/>
        <v>128300</v>
      </c>
      <c r="P169" s="17">
        <f t="shared" si="22"/>
        <v>2.01014809041309</v>
      </c>
      <c r="Q169" s="17">
        <f t="shared" si="23"/>
        <v>0</v>
      </c>
      <c r="R169" s="19" t="str">
        <f ca="1">IF(A169="","",IF(COUNTIF(_TradeIds,A169)=0,"违规：交易编号不存在",IF(OR(B169="",B169&lt;1,B169&gt;5,B169&lt;&gt;INT(B169)),"违规：加仓序号须为1到5的整数",IF(COUNTIFS($A$2:$A$1001,A169,$B$2:$B$1001,B169)&gt;1,"违规：同一交易的加仓序号重复",IF(OR(D169="",E169="",F169=""),"计划不完整：请填写加仓价、新止损价和风险预算",IF(OR(D169&lt;=0,E169&lt;=0,F169&lt;=0,D169&lt;=E169),"违规：加仓价必须高于新止损价，金额须大于0",IF(AND(B169&gt;1,COUNTIFS($A$2:$A$1001,A169,$B$2:$B$1001,B169-1,$G$2:$G$1001,"&gt;0")=0),"违规：须先完成上一次加仓",IF(AND(B169&gt;1,E169&lt;SUMIFS($E$2:$E$1001,$A$2:$A$1001,A169,$B$2:$B$1001,B169-1)),"违规：新止损价不得低于上一次",IF(AND(B169&gt;1,F169&gt;SUMIFS($F$2:$F$1001,$A$2:$A$1001,A169,$B$2:$B$1001,B169-1)),"违规：风险预算须逐次不增加",IF(OR(_LockStatus="已锁仓",_LockStatus="解锁信息不完整"),"违规：锁仓期间禁止加仓",IF(G169="","计划可执行：建议股数见N列",IF(OR(G169&lt;=0,G169&lt;&gt;INT(G169),MOD(G169,100)&lt;&gt;0),"违规：实际股数须为100股整数倍",IF(G169&gt;N169,"违规：实际股数超过风险或金字塔上限",IF(AND(B169&gt;1,G169&gt;SUMIFS($G$2:$G$1001,$A$2:$A$1001,A169,$B$2:$B$1001,B169-1)),"违规：加仓股数须逐次不增加",IF(Q169&gt;F169,"违规：止损风险超过本次预算","通过")))))))))))))))</f>
        <v>通过</v>
      </c>
    </row>
    <row r="170" ht="17" spans="1:18">
      <c r="A170" s="13">
        <v>80</v>
      </c>
      <c r="B170" s="14">
        <v>2</v>
      </c>
      <c r="C170" s="15">
        <v>42249</v>
      </c>
      <c r="D170" s="16">
        <v>2.46</v>
      </c>
      <c r="E170" s="16">
        <v>2.2</v>
      </c>
      <c r="F170" s="16">
        <v>1</v>
      </c>
      <c r="G170" s="14">
        <v>25000</v>
      </c>
      <c r="H170" s="17">
        <f t="shared" si="16"/>
        <v>61500</v>
      </c>
      <c r="I170" s="18">
        <f>IF(OR(A170="",B170=""),"",IFERROR(LOOKUP(2,1/(单次交易!$A$2:$A$201=A170),单次交易!$H$2:$H$201),0)+SUMIFS($G$2:$G$1001,$A$2:$A$1001,A170,$B$2:$B$1001,"&lt;"&amp;B170))</f>
        <v>128300</v>
      </c>
      <c r="J170" s="17">
        <f>IF(OR(A170="",B170=""),"",IFERROR(LOOKUP(2,1/(单次交易!$A$2:$A$201=A170),单次交易!$E$2:$E$201)*LOOKUP(2,1/(单次交易!$A$2:$A$201=A170),单次交易!$H$2:$H$201),0)+SUMIFS($H$2:$H$1001,$A$2:$A$1001,A170,$B$2:$B$1001,"&lt;"&amp;B170))</f>
        <v>257902</v>
      </c>
      <c r="K170" s="17">
        <f t="shared" si="17"/>
        <v>24358</v>
      </c>
      <c r="L170" s="18">
        <f t="shared" si="18"/>
        <v>93600</v>
      </c>
      <c r="M170" s="18">
        <f t="shared" si="19"/>
        <v>25000</v>
      </c>
      <c r="N170" s="18">
        <f t="shared" si="20"/>
        <v>25000</v>
      </c>
      <c r="O170" s="18">
        <f t="shared" si="21"/>
        <v>153300</v>
      </c>
      <c r="P170" s="17">
        <f t="shared" si="22"/>
        <v>2.08350945857795</v>
      </c>
      <c r="Q170" s="17">
        <f t="shared" si="23"/>
        <v>0</v>
      </c>
      <c r="R170" s="19" t="str">
        <f ca="1">IF(A170="","",IF(COUNTIF(_TradeIds,A170)=0,"违规：交易编号不存在",IF(OR(B170="",B170&lt;1,B170&gt;5,B170&lt;&gt;INT(B170)),"违规：加仓序号须为1到5的整数",IF(COUNTIFS($A$2:$A$1001,A170,$B$2:$B$1001,B170)&gt;1,"违规：同一交易的加仓序号重复",IF(OR(D170="",E170="",F170=""),"计划不完整：请填写加仓价、新止损价和风险预算",IF(OR(D170&lt;=0,E170&lt;=0,F170&lt;=0,D170&lt;=E170),"违规：加仓价必须高于新止损价，金额须大于0",IF(AND(B170&gt;1,COUNTIFS($A$2:$A$1001,A170,$B$2:$B$1001,B170-1,$G$2:$G$1001,"&gt;0")=0),"违规：须先完成上一次加仓",IF(AND(B170&gt;1,E170&lt;SUMIFS($E$2:$E$1001,$A$2:$A$1001,A170,$B$2:$B$1001,B170-1)),"违规：新止损价不得低于上一次",IF(AND(B170&gt;1,F170&gt;SUMIFS($F$2:$F$1001,$A$2:$A$1001,A170,$B$2:$B$1001,B170-1)),"违规：风险预算须逐次不增加",IF(OR(_LockStatus="已锁仓",_LockStatus="解锁信息不完整"),"违规：锁仓期间禁止加仓",IF(G170="","计划可执行：建议股数见N列",IF(OR(G170&lt;=0,G170&lt;&gt;INT(G170),MOD(G170,100)&lt;&gt;0),"违规：实际股数须为100股整数倍",IF(G170&gt;N170,"违规：实际股数超过风险或金字塔上限",IF(AND(B170&gt;1,G170&gt;SUMIFS($G$2:$G$1001,$A$2:$A$1001,A170,$B$2:$B$1001,B170-1)),"违规：加仓股数须逐次不增加",IF(Q170&gt;F170,"违规：止损风险超过本次预算","通过")))))))))))))))</f>
        <v>通过</v>
      </c>
    </row>
    <row r="171" ht="17" spans="1:18">
      <c r="A171" s="13">
        <v>81</v>
      </c>
      <c r="B171" s="14">
        <v>1</v>
      </c>
      <c r="C171" s="15">
        <v>42307</v>
      </c>
      <c r="D171" s="16">
        <v>2.93</v>
      </c>
      <c r="E171" s="16">
        <v>2.6</v>
      </c>
      <c r="F171" s="16">
        <v>1</v>
      </c>
      <c r="G171" s="14">
        <v>100000</v>
      </c>
      <c r="H171" s="17">
        <f t="shared" si="16"/>
        <v>293000</v>
      </c>
      <c r="I171" s="18">
        <f>IF(OR(A171="",B171=""),"",IFERROR(LOOKUP(2,1/(单次交易!$A$2:$A$201=A171),单次交易!$H$2:$H$201),0)+SUMIFS($G$2:$G$1001,$A$2:$A$1001,A171,$B$2:$B$1001,"&lt;"&amp;B171))</f>
        <v>58100</v>
      </c>
      <c r="J171" s="17">
        <f>IF(OR(A171="",B171=""),"",IFERROR(LOOKUP(2,1/(单次交易!$A$2:$A$201=A171),单次交易!$E$2:$E$201)*LOOKUP(2,1/(单次交易!$A$2:$A$201=A171),单次交易!$H$2:$H$201),0)+SUMIFS($H$2:$H$1001,$A$2:$A$1001,A171,$B$2:$B$1001,"&lt;"&amp;B171))</f>
        <v>169652</v>
      </c>
      <c r="K171" s="17">
        <f t="shared" si="17"/>
        <v>0</v>
      </c>
      <c r="L171" s="18">
        <f t="shared" si="18"/>
        <v>0</v>
      </c>
      <c r="M171" s="18">
        <f t="shared" si="19"/>
        <v>0</v>
      </c>
      <c r="N171" s="18">
        <f t="shared" si="20"/>
        <v>0</v>
      </c>
      <c r="O171" s="18">
        <f t="shared" si="21"/>
        <v>158100</v>
      </c>
      <c r="P171" s="17">
        <f t="shared" si="22"/>
        <v>2.92632511068944</v>
      </c>
      <c r="Q171" s="17">
        <f t="shared" si="23"/>
        <v>51592</v>
      </c>
      <c r="R171" s="19" t="str">
        <f ca="1">IF(A171="","",IF(COUNTIF(_TradeIds,A171)=0,"违规：交易编号不存在",IF(OR(B171="",B171&lt;1,B171&gt;5,B171&lt;&gt;INT(B171)),"违规：加仓序号须为1到5的整数",IF(COUNTIFS($A$2:$A$1001,A171,$B$2:$B$1001,B171)&gt;1,"违规：同一交易的加仓序号重复",IF(OR(D171="",E171="",F171=""),"计划不完整：请填写加仓价、新止损价和风险预算",IF(OR(D171&lt;=0,E171&lt;=0,F171&lt;=0,D171&lt;=E171),"违规：加仓价必须高于新止损价，金额须大于0",IF(AND(B171&gt;1,COUNTIFS($A$2:$A$1001,A171,$B$2:$B$1001,B171-1,$G$2:$G$1001,"&gt;0")=0),"违规：须先完成上一次加仓",IF(AND(B171&gt;1,E171&lt;SUMIFS($E$2:$E$1001,$A$2:$A$1001,A171,$B$2:$B$1001,B171-1)),"违规：新止损价不得低于上一次",IF(AND(B171&gt;1,F171&gt;SUMIFS($F$2:$F$1001,$A$2:$A$1001,A171,$B$2:$B$1001,B171-1)),"违规：风险预算须逐次不增加",IF(OR(_LockStatus="已锁仓",_LockStatus="解锁信息不完整"),"违规：锁仓期间禁止加仓",IF(G171="","计划可执行：建议股数见N列",IF(OR(G171&lt;=0,G171&lt;&gt;INT(G171),MOD(G171,100)&lt;&gt;0),"违规：实际股数须为100股整数倍",IF(G171&gt;N171,"违规：实际股数超过风险或金字塔上限",IF(AND(B171&gt;1,G171&gt;SUMIFS($G$2:$G$1001,$A$2:$A$1001,A171,$B$2:$B$1001,B171-1)),"违规：加仓股数须逐次不增加",IF(Q171&gt;F171,"违规：止损风险超过本次预算","通过")))))))))))))))</f>
        <v>违规：实际股数超过风险或金字塔上限</v>
      </c>
    </row>
    <row r="172" ht="17" spans="1:18">
      <c r="A172" s="13">
        <v>81</v>
      </c>
      <c r="B172" s="14">
        <v>2</v>
      </c>
      <c r="C172" s="15">
        <v>42335</v>
      </c>
      <c r="D172" s="16">
        <v>2.85</v>
      </c>
      <c r="E172" s="16">
        <v>2.6</v>
      </c>
      <c r="F172" s="16">
        <v>1</v>
      </c>
      <c r="G172" s="14">
        <v>50000</v>
      </c>
      <c r="H172" s="17">
        <f t="shared" si="16"/>
        <v>142500</v>
      </c>
      <c r="I172" s="18">
        <f>IF(OR(A172="",B172=""),"",IFERROR(LOOKUP(2,1/(单次交易!$A$2:$A$201=A172),单次交易!$H$2:$H$201),0)+SUMIFS($G$2:$G$1001,$A$2:$A$1001,A172,$B$2:$B$1001,"&lt;"&amp;B172))</f>
        <v>158100</v>
      </c>
      <c r="J172" s="17">
        <f>IF(OR(A172="",B172=""),"",IFERROR(LOOKUP(2,1/(单次交易!$A$2:$A$201=A172),单次交易!$E$2:$E$201)*LOOKUP(2,1/(单次交易!$A$2:$A$201=A172),单次交易!$H$2:$H$201),0)+SUMIFS($H$2:$H$1001,$A$2:$A$1001,A172,$B$2:$B$1001,"&lt;"&amp;B172))</f>
        <v>462652</v>
      </c>
      <c r="K172" s="17">
        <f t="shared" si="17"/>
        <v>0</v>
      </c>
      <c r="L172" s="18">
        <f t="shared" si="18"/>
        <v>0</v>
      </c>
      <c r="M172" s="18">
        <f t="shared" si="19"/>
        <v>100000</v>
      </c>
      <c r="N172" s="18">
        <f t="shared" si="20"/>
        <v>0</v>
      </c>
      <c r="O172" s="18">
        <f t="shared" si="21"/>
        <v>208100</v>
      </c>
      <c r="P172" s="17">
        <f t="shared" si="22"/>
        <v>2.90798654493032</v>
      </c>
      <c r="Q172" s="17">
        <f t="shared" si="23"/>
        <v>64092</v>
      </c>
      <c r="R172" s="19" t="str">
        <f ca="1">IF(A172="","",IF(COUNTIF(_TradeIds,A172)=0,"违规：交易编号不存在",IF(OR(B172="",B172&lt;1,B172&gt;5,B172&lt;&gt;INT(B172)),"违规：加仓序号须为1到5的整数",IF(COUNTIFS($A$2:$A$1001,A172,$B$2:$B$1001,B172)&gt;1,"违规：同一交易的加仓序号重复",IF(OR(D172="",E172="",F172=""),"计划不完整：请填写加仓价、新止损价和风险预算",IF(OR(D172&lt;=0,E172&lt;=0,F172&lt;=0,D172&lt;=E172),"违规：加仓价必须高于新止损价，金额须大于0",IF(AND(B172&gt;1,COUNTIFS($A$2:$A$1001,A172,$B$2:$B$1001,B172-1,$G$2:$G$1001,"&gt;0")=0),"违规：须先完成上一次加仓",IF(AND(B172&gt;1,E172&lt;SUMIFS($E$2:$E$1001,$A$2:$A$1001,A172,$B$2:$B$1001,B172-1)),"违规：新止损价不得低于上一次",IF(AND(B172&gt;1,F172&gt;SUMIFS($F$2:$F$1001,$A$2:$A$1001,A172,$B$2:$B$1001,B172-1)),"违规：风险预算须逐次不增加",IF(OR(_LockStatus="已锁仓",_LockStatus="解锁信息不完整"),"违规：锁仓期间禁止加仓",IF(G172="","计划可执行：建议股数见N列",IF(OR(G172&lt;=0,G172&lt;&gt;INT(G172),MOD(G172,100)&lt;&gt;0),"违规：实际股数须为100股整数倍",IF(G172&gt;N172,"违规：实际股数超过风险或金字塔上限",IF(AND(B172&gt;1,G172&gt;SUMIFS($G$2:$G$1001,$A$2:$A$1001,A172,$B$2:$B$1001,B172-1)),"违规：加仓股数须逐次不增加",IF(Q172&gt;F172,"违规：止损风险超过本次预算","通过")))))))))))))))</f>
        <v>违规：实际股数超过风险或金字塔上限</v>
      </c>
    </row>
    <row r="173" ht="17" spans="1:18">
      <c r="A173" s="13">
        <v>81</v>
      </c>
      <c r="B173" s="14">
        <v>3</v>
      </c>
      <c r="C173" s="15">
        <v>42341</v>
      </c>
      <c r="D173" s="16">
        <v>3.14</v>
      </c>
      <c r="E173" s="16">
        <v>2.8</v>
      </c>
      <c r="F173" s="16">
        <v>1</v>
      </c>
      <c r="G173" s="14">
        <v>50000</v>
      </c>
      <c r="H173" s="17">
        <f t="shared" si="16"/>
        <v>157000</v>
      </c>
      <c r="I173" s="18">
        <f>IF(OR(A173="",B173=""),"",IFERROR(LOOKUP(2,1/(单次交易!$A$2:$A$201=A173),单次交易!$H$2:$H$201),0)+SUMIFS($G$2:$G$1001,$A$2:$A$1001,A173,$B$2:$B$1001,"&lt;"&amp;B173))</f>
        <v>208100</v>
      </c>
      <c r="J173" s="17">
        <f>IF(OR(A173="",B173=""),"",IFERROR(LOOKUP(2,1/(单次交易!$A$2:$A$201=A173),单次交易!$E$2:$E$201)*LOOKUP(2,1/(单次交易!$A$2:$A$201=A173),单次交易!$H$2:$H$201),0)+SUMIFS($H$2:$H$1001,$A$2:$A$1001,A173,$B$2:$B$1001,"&lt;"&amp;B173))</f>
        <v>605152</v>
      </c>
      <c r="K173" s="17">
        <f t="shared" si="17"/>
        <v>0</v>
      </c>
      <c r="L173" s="18">
        <f t="shared" si="18"/>
        <v>0</v>
      </c>
      <c r="M173" s="18">
        <f t="shared" si="19"/>
        <v>50000</v>
      </c>
      <c r="N173" s="18">
        <f t="shared" si="20"/>
        <v>0</v>
      </c>
      <c r="O173" s="18">
        <f t="shared" si="21"/>
        <v>258100</v>
      </c>
      <c r="P173" s="17">
        <f t="shared" si="22"/>
        <v>2.95293297171639</v>
      </c>
      <c r="Q173" s="17">
        <f t="shared" si="23"/>
        <v>39472</v>
      </c>
      <c r="R173" s="19" t="str">
        <f ca="1">IF(A173="","",IF(COUNTIF(_TradeIds,A173)=0,"违规：交易编号不存在",IF(OR(B173="",B173&lt;1,B173&gt;5,B173&lt;&gt;INT(B173)),"违规：加仓序号须为1到5的整数",IF(COUNTIFS($A$2:$A$1001,A173,$B$2:$B$1001,B173)&gt;1,"违规：同一交易的加仓序号重复",IF(OR(D173="",E173="",F173=""),"计划不完整：请填写加仓价、新止损价和风险预算",IF(OR(D173&lt;=0,E173&lt;=0,F173&lt;=0,D173&lt;=E173),"违规：加仓价必须高于新止损价，金额须大于0",IF(AND(B173&gt;1,COUNTIFS($A$2:$A$1001,A173,$B$2:$B$1001,B173-1,$G$2:$G$1001,"&gt;0")=0),"违规：须先完成上一次加仓",IF(AND(B173&gt;1,E173&lt;SUMIFS($E$2:$E$1001,$A$2:$A$1001,A173,$B$2:$B$1001,B173-1)),"违规：新止损价不得低于上一次",IF(AND(B173&gt;1,F173&gt;SUMIFS($F$2:$F$1001,$A$2:$A$1001,A173,$B$2:$B$1001,B173-1)),"违规：风险预算须逐次不增加",IF(OR(_LockStatus="已锁仓",_LockStatus="解锁信息不完整"),"违规：锁仓期间禁止加仓",IF(G173="","计划可执行：建议股数见N列",IF(OR(G173&lt;=0,G173&lt;&gt;INT(G173),MOD(G173,100)&lt;&gt;0),"违规：实际股数须为100股整数倍",IF(G173&gt;N173,"违规：实际股数超过风险或金字塔上限",IF(AND(B173&gt;1,G173&gt;SUMIFS($G$2:$G$1001,$A$2:$A$1001,A173,$B$2:$B$1001,B173-1)),"违规：加仓股数须逐次不增加",IF(Q173&gt;F173,"违规：止损风险超过本次预算","通过")))))))))))))))</f>
        <v>违规：实际股数超过风险或金字塔上限</v>
      </c>
    </row>
    <row r="174" ht="17" spans="1:18">
      <c r="A174" s="13">
        <v>81</v>
      </c>
      <c r="B174" s="14">
        <v>4</v>
      </c>
      <c r="C174" s="15">
        <v>42346</v>
      </c>
      <c r="D174" s="16">
        <v>2.98</v>
      </c>
      <c r="E174" s="16">
        <v>2.8</v>
      </c>
      <c r="F174" s="16">
        <v>1</v>
      </c>
      <c r="G174" s="14">
        <v>30000</v>
      </c>
      <c r="H174" s="17">
        <f t="shared" si="16"/>
        <v>89400</v>
      </c>
      <c r="I174" s="18">
        <f>IF(OR(A174="",B174=""),"",IFERROR(LOOKUP(2,1/(单次交易!$A$2:$A$201=A174),单次交易!$H$2:$H$201),0)+SUMIFS($G$2:$G$1001,$A$2:$A$1001,A174,$B$2:$B$1001,"&lt;"&amp;B174))</f>
        <v>258100</v>
      </c>
      <c r="J174" s="17">
        <f>IF(OR(A174="",B174=""),"",IFERROR(LOOKUP(2,1/(单次交易!$A$2:$A$201=A174),单次交易!$E$2:$E$201)*LOOKUP(2,1/(单次交易!$A$2:$A$201=A174),单次交易!$H$2:$H$201),0)+SUMIFS($H$2:$H$1001,$A$2:$A$1001,A174,$B$2:$B$1001,"&lt;"&amp;B174))</f>
        <v>762152</v>
      </c>
      <c r="K174" s="17">
        <f t="shared" si="17"/>
        <v>0</v>
      </c>
      <c r="L174" s="18">
        <f t="shared" si="18"/>
        <v>0</v>
      </c>
      <c r="M174" s="18">
        <f t="shared" si="19"/>
        <v>50000</v>
      </c>
      <c r="N174" s="18">
        <f t="shared" si="20"/>
        <v>0</v>
      </c>
      <c r="O174" s="18">
        <f t="shared" si="21"/>
        <v>288100</v>
      </c>
      <c r="P174" s="17">
        <f t="shared" si="22"/>
        <v>2.95575147518223</v>
      </c>
      <c r="Q174" s="17">
        <f t="shared" si="23"/>
        <v>44872</v>
      </c>
      <c r="R174" s="19" t="str">
        <f ca="1">IF(A174="","",IF(COUNTIF(_TradeIds,A174)=0,"违规：交易编号不存在",IF(OR(B174="",B174&lt;1,B174&gt;5,B174&lt;&gt;INT(B174)),"违规：加仓序号须为1到5的整数",IF(COUNTIFS($A$2:$A$1001,A174,$B$2:$B$1001,B174)&gt;1,"违规：同一交易的加仓序号重复",IF(OR(D174="",E174="",F174=""),"计划不完整：请填写加仓价、新止损价和风险预算",IF(OR(D174&lt;=0,E174&lt;=0,F174&lt;=0,D174&lt;=E174),"违规：加仓价必须高于新止损价，金额须大于0",IF(AND(B174&gt;1,COUNTIFS($A$2:$A$1001,A174,$B$2:$B$1001,B174-1,$G$2:$G$1001,"&gt;0")=0),"违规：须先完成上一次加仓",IF(AND(B174&gt;1,E174&lt;SUMIFS($E$2:$E$1001,$A$2:$A$1001,A174,$B$2:$B$1001,B174-1)),"违规：新止损价不得低于上一次",IF(AND(B174&gt;1,F174&gt;SUMIFS($F$2:$F$1001,$A$2:$A$1001,A174,$B$2:$B$1001,B174-1)),"违规：风险预算须逐次不增加",IF(OR(_LockStatus="已锁仓",_LockStatus="解锁信息不完整"),"违规：锁仓期间禁止加仓",IF(G174="","计划可执行：建议股数见N列",IF(OR(G174&lt;=0,G174&lt;&gt;INT(G174),MOD(G174,100)&lt;&gt;0),"违规：实际股数须为100股整数倍",IF(G174&gt;N174,"违规：实际股数超过风险或金字塔上限",IF(AND(B174&gt;1,G174&gt;SUMIFS($G$2:$G$1001,$A$2:$A$1001,A174,$B$2:$B$1001,B174-1)),"违规：加仓股数须逐次不增加",IF(Q174&gt;F174,"违规：止损风险超过本次预算","通过")))))))))))))))</f>
        <v>违规：实际股数超过风险或金字塔上限</v>
      </c>
    </row>
    <row r="175" ht="17" spans="1:18">
      <c r="A175" s="13">
        <v>83</v>
      </c>
      <c r="B175" s="14">
        <v>1</v>
      </c>
      <c r="C175" s="15">
        <v>42523</v>
      </c>
      <c r="D175" s="16">
        <v>3.25</v>
      </c>
      <c r="E175" s="16">
        <v>3</v>
      </c>
      <c r="F175" s="16">
        <v>1</v>
      </c>
      <c r="G175" s="14">
        <v>100000</v>
      </c>
      <c r="H175" s="17">
        <f t="shared" si="16"/>
        <v>325000</v>
      </c>
      <c r="I175" s="18">
        <f>IF(OR(A175="",B175=""),"",IFERROR(LOOKUP(2,1/(单次交易!$A$2:$A$201=A175),单次交易!$H$2:$H$201),0)+SUMIFS($G$2:$G$1001,$A$2:$A$1001,A175,$B$2:$B$1001,"&lt;"&amp;B175))</f>
        <v>50000</v>
      </c>
      <c r="J175" s="17">
        <f>IF(OR(A175="",B175=""),"",IFERROR(LOOKUP(2,1/(单次交易!$A$2:$A$201=A175),单次交易!$E$2:$E$201)*LOOKUP(2,1/(单次交易!$A$2:$A$201=A175),单次交易!$H$2:$H$201),0)+SUMIFS($H$2:$H$1001,$A$2:$A$1001,A175,$B$2:$B$1001,"&lt;"&amp;B175))</f>
        <v>139000</v>
      </c>
      <c r="K175" s="17">
        <f t="shared" si="17"/>
        <v>11000</v>
      </c>
      <c r="L175" s="18">
        <f t="shared" si="18"/>
        <v>44000</v>
      </c>
      <c r="M175" s="18">
        <f t="shared" si="19"/>
        <v>44000</v>
      </c>
      <c r="N175" s="18">
        <f t="shared" si="20"/>
        <v>44000</v>
      </c>
      <c r="O175" s="18">
        <f t="shared" si="21"/>
        <v>150000</v>
      </c>
      <c r="P175" s="17">
        <f t="shared" si="22"/>
        <v>3.09333333333333</v>
      </c>
      <c r="Q175" s="17">
        <f t="shared" si="23"/>
        <v>14000</v>
      </c>
      <c r="R175" s="19" t="str">
        <f ca="1">IF(A175="","",IF(COUNTIF(_TradeIds,A175)=0,"违规：交易编号不存在",IF(OR(B175="",B175&lt;1,B175&gt;5,B175&lt;&gt;INT(B175)),"违规：加仓序号须为1到5的整数",IF(COUNTIFS($A$2:$A$1001,A175,$B$2:$B$1001,B175)&gt;1,"违规：同一交易的加仓序号重复",IF(OR(D175="",E175="",F175=""),"计划不完整：请填写加仓价、新止损价和风险预算",IF(OR(D175&lt;=0,E175&lt;=0,F175&lt;=0,D175&lt;=E175),"违规：加仓价必须高于新止损价，金额须大于0",IF(AND(B175&gt;1,COUNTIFS($A$2:$A$1001,A175,$B$2:$B$1001,B175-1,$G$2:$G$1001,"&gt;0")=0),"违规：须先完成上一次加仓",IF(AND(B175&gt;1,E175&lt;SUMIFS($E$2:$E$1001,$A$2:$A$1001,A175,$B$2:$B$1001,B175-1)),"违规：新止损价不得低于上一次",IF(AND(B175&gt;1,F175&gt;SUMIFS($F$2:$F$1001,$A$2:$A$1001,A175,$B$2:$B$1001,B175-1)),"违规：风险预算须逐次不增加",IF(OR(_LockStatus="已锁仓",_LockStatus="解锁信息不完整"),"违规：锁仓期间禁止加仓",IF(G175="","计划可执行：建议股数见N列",IF(OR(G175&lt;=0,G175&lt;&gt;INT(G175),MOD(G175,100)&lt;&gt;0),"违规：实际股数须为100股整数倍",IF(G175&gt;N175,"违规：实际股数超过风险或金字塔上限",IF(AND(B175&gt;1,G175&gt;SUMIFS($G$2:$G$1001,$A$2:$A$1001,A175,$B$2:$B$1001,B175-1)),"违规：加仓股数须逐次不增加",IF(Q175&gt;F175,"违规：止损风险超过本次预算","通过")))))))))))))))</f>
        <v>违规：实际股数超过风险或金字塔上限</v>
      </c>
    </row>
    <row r="176" ht="17" spans="1:18">
      <c r="A176" s="13">
        <v>83</v>
      </c>
      <c r="B176" s="14">
        <v>2</v>
      </c>
      <c r="C176" s="15">
        <v>42559</v>
      </c>
      <c r="D176" s="16">
        <v>3.68</v>
      </c>
      <c r="E176" s="16">
        <v>3.3</v>
      </c>
      <c r="F176" s="16">
        <v>1</v>
      </c>
      <c r="G176" s="14">
        <v>25000</v>
      </c>
      <c r="H176" s="17">
        <f t="shared" si="16"/>
        <v>92000</v>
      </c>
      <c r="I176" s="18">
        <f>IF(OR(A176="",B176=""),"",IFERROR(LOOKUP(2,1/(单次交易!$A$2:$A$201=A176),单次交易!$H$2:$H$201),0)+SUMIFS($G$2:$G$1001,$A$2:$A$1001,A176,$B$2:$B$1001,"&lt;"&amp;B176))</f>
        <v>150000</v>
      </c>
      <c r="J176" s="17">
        <f>IF(OR(A176="",B176=""),"",IFERROR(LOOKUP(2,1/(单次交易!$A$2:$A$201=A176),单次交易!$E$2:$E$201)*LOOKUP(2,1/(单次交易!$A$2:$A$201=A176),单次交易!$H$2:$H$201),0)+SUMIFS($H$2:$H$1001,$A$2:$A$1001,A176,$B$2:$B$1001,"&lt;"&amp;B176))</f>
        <v>464000</v>
      </c>
      <c r="K176" s="17">
        <f t="shared" si="17"/>
        <v>31000</v>
      </c>
      <c r="L176" s="18">
        <f t="shared" si="18"/>
        <v>81500</v>
      </c>
      <c r="M176" s="18">
        <f t="shared" si="19"/>
        <v>100000</v>
      </c>
      <c r="N176" s="18">
        <f t="shared" si="20"/>
        <v>81500</v>
      </c>
      <c r="O176" s="18">
        <f t="shared" si="21"/>
        <v>175000</v>
      </c>
      <c r="P176" s="17">
        <f t="shared" si="22"/>
        <v>3.17714285714286</v>
      </c>
      <c r="Q176" s="17">
        <f t="shared" si="23"/>
        <v>0</v>
      </c>
      <c r="R176" s="19" t="str">
        <f ca="1">IF(A176="","",IF(COUNTIF(_TradeIds,A176)=0,"违规：交易编号不存在",IF(OR(B176="",B176&lt;1,B176&gt;5,B176&lt;&gt;INT(B176)),"违规：加仓序号须为1到5的整数",IF(COUNTIFS($A$2:$A$1001,A176,$B$2:$B$1001,B176)&gt;1,"违规：同一交易的加仓序号重复",IF(OR(D176="",E176="",F176=""),"计划不完整：请填写加仓价、新止损价和风险预算",IF(OR(D176&lt;=0,E176&lt;=0,F176&lt;=0,D176&lt;=E176),"违规：加仓价必须高于新止损价，金额须大于0",IF(AND(B176&gt;1,COUNTIFS($A$2:$A$1001,A176,$B$2:$B$1001,B176-1,$G$2:$G$1001,"&gt;0")=0),"违规：须先完成上一次加仓",IF(AND(B176&gt;1,E176&lt;SUMIFS($E$2:$E$1001,$A$2:$A$1001,A176,$B$2:$B$1001,B176-1)),"违规：新止损价不得低于上一次",IF(AND(B176&gt;1,F176&gt;SUMIFS($F$2:$F$1001,$A$2:$A$1001,A176,$B$2:$B$1001,B176-1)),"违规：风险预算须逐次不增加",IF(OR(_LockStatus="已锁仓",_LockStatus="解锁信息不完整"),"违规：锁仓期间禁止加仓",IF(G176="","计划可执行：建议股数见N列",IF(OR(G176&lt;=0,G176&lt;&gt;INT(G176),MOD(G176,100)&lt;&gt;0),"违规：实际股数须为100股整数倍",IF(G176&gt;N176,"违规：实际股数超过风险或金字塔上限",IF(AND(B176&gt;1,G176&gt;SUMIFS($G$2:$G$1001,$A$2:$A$1001,A176,$B$2:$B$1001,B176-1)),"违规：加仓股数须逐次不增加",IF(Q176&gt;F176,"违规：止损风险超过本次预算","通过")))))))))))))))</f>
        <v>通过</v>
      </c>
    </row>
    <row r="177" ht="17" spans="1:18">
      <c r="A177" s="13">
        <v>83</v>
      </c>
      <c r="B177" s="14">
        <v>3</v>
      </c>
      <c r="C177" s="15">
        <v>42578</v>
      </c>
      <c r="D177" s="16">
        <v>3.44</v>
      </c>
      <c r="E177" s="16">
        <v>3.3</v>
      </c>
      <c r="F177" s="16">
        <v>1</v>
      </c>
      <c r="G177" s="14">
        <v>40000</v>
      </c>
      <c r="H177" s="17">
        <f t="shared" si="16"/>
        <v>137600</v>
      </c>
      <c r="I177" s="18">
        <f>IF(OR(A177="",B177=""),"",IFERROR(LOOKUP(2,1/(单次交易!$A$2:$A$201=A177),单次交易!$H$2:$H$201),0)+SUMIFS($G$2:$G$1001,$A$2:$A$1001,A177,$B$2:$B$1001,"&lt;"&amp;B177))</f>
        <v>175000</v>
      </c>
      <c r="J177" s="17">
        <f>IF(OR(A177="",B177=""),"",IFERROR(LOOKUP(2,1/(单次交易!$A$2:$A$201=A177),单次交易!$E$2:$E$201)*LOOKUP(2,1/(单次交易!$A$2:$A$201=A177),单次交易!$H$2:$H$201),0)+SUMIFS($H$2:$H$1001,$A$2:$A$1001,A177,$B$2:$B$1001,"&lt;"&amp;B177))</f>
        <v>556000</v>
      </c>
      <c r="K177" s="17">
        <f t="shared" si="17"/>
        <v>21500</v>
      </c>
      <c r="L177" s="18">
        <f t="shared" si="18"/>
        <v>153500</v>
      </c>
      <c r="M177" s="18">
        <f t="shared" si="19"/>
        <v>25000</v>
      </c>
      <c r="N177" s="18">
        <f t="shared" si="20"/>
        <v>25000</v>
      </c>
      <c r="O177" s="18">
        <f t="shared" si="21"/>
        <v>215000</v>
      </c>
      <c r="P177" s="17">
        <f t="shared" si="22"/>
        <v>3.22604651162791</v>
      </c>
      <c r="Q177" s="17">
        <f t="shared" si="23"/>
        <v>0</v>
      </c>
      <c r="R177" s="19" t="str">
        <f ca="1">IF(A177="","",IF(COUNTIF(_TradeIds,A177)=0,"违规：交易编号不存在",IF(OR(B177="",B177&lt;1,B177&gt;5,B177&lt;&gt;INT(B177)),"违规：加仓序号须为1到5的整数",IF(COUNTIFS($A$2:$A$1001,A177,$B$2:$B$1001,B177)&gt;1,"违规：同一交易的加仓序号重复",IF(OR(D177="",E177="",F177=""),"计划不完整：请填写加仓价、新止损价和风险预算",IF(OR(D177&lt;=0,E177&lt;=0,F177&lt;=0,D177&lt;=E177),"违规：加仓价必须高于新止损价，金额须大于0",IF(AND(B177&gt;1,COUNTIFS($A$2:$A$1001,A177,$B$2:$B$1001,B177-1,$G$2:$G$1001,"&gt;0")=0),"违规：须先完成上一次加仓",IF(AND(B177&gt;1,E177&lt;SUMIFS($E$2:$E$1001,$A$2:$A$1001,A177,$B$2:$B$1001,B177-1)),"违规：新止损价不得低于上一次",IF(AND(B177&gt;1,F177&gt;SUMIFS($F$2:$F$1001,$A$2:$A$1001,A177,$B$2:$B$1001,B177-1)),"违规：风险预算须逐次不增加",IF(OR(_LockStatus="已锁仓",_LockStatus="解锁信息不完整"),"违规：锁仓期间禁止加仓",IF(G177="","计划可执行：建议股数见N列",IF(OR(G177&lt;=0,G177&lt;&gt;INT(G177),MOD(G177,100)&lt;&gt;0),"违规：实际股数须为100股整数倍",IF(G177&gt;N177,"违规：实际股数超过风险或金字塔上限",IF(AND(B177&gt;1,G177&gt;SUMIFS($G$2:$G$1001,$A$2:$A$1001,A177,$B$2:$B$1001,B177-1)),"违规：加仓股数须逐次不增加",IF(Q177&gt;F177,"违规：止损风险超过本次预算","通过")))))))))))))))</f>
        <v>违规：实际股数超过风险或金字塔上限</v>
      </c>
    </row>
    <row r="178" ht="17" spans="1:18">
      <c r="A178" s="13">
        <v>85</v>
      </c>
      <c r="B178" s="14">
        <v>1</v>
      </c>
      <c r="C178" s="15">
        <v>42837</v>
      </c>
      <c r="D178" s="16">
        <v>2.91</v>
      </c>
      <c r="E178" s="16">
        <v>2.7</v>
      </c>
      <c r="F178" s="16">
        <v>1</v>
      </c>
      <c r="G178" s="14">
        <v>50000</v>
      </c>
      <c r="H178" s="17">
        <f t="shared" si="16"/>
        <v>145500</v>
      </c>
      <c r="I178" s="18">
        <f>IF(OR(A178="",B178=""),"",IFERROR(LOOKUP(2,1/(单次交易!$A$2:$A$201=A178),单次交易!$H$2:$H$201),0)+SUMIFS($G$2:$G$1001,$A$2:$A$1001,A178,$B$2:$B$1001,"&lt;"&amp;B178))</f>
        <v>51200</v>
      </c>
      <c r="J178" s="17">
        <f>IF(OR(A178="",B178=""),"",IFERROR(LOOKUP(2,1/(单次交易!$A$2:$A$201=A178),单次交易!$E$2:$E$201)*LOOKUP(2,1/(单次交易!$A$2:$A$201=A178),单次交易!$H$2:$H$201),0)+SUMIFS($H$2:$H$1001,$A$2:$A$1001,A178,$B$2:$B$1001,"&lt;"&amp;B178))</f>
        <v>142336</v>
      </c>
      <c r="K178" s="17">
        <f t="shared" si="17"/>
        <v>0</v>
      </c>
      <c r="L178" s="18">
        <f t="shared" si="18"/>
        <v>0</v>
      </c>
      <c r="M178" s="18">
        <f t="shared" si="19"/>
        <v>0</v>
      </c>
      <c r="N178" s="18">
        <f t="shared" si="20"/>
        <v>0</v>
      </c>
      <c r="O178" s="18">
        <f t="shared" si="21"/>
        <v>101200</v>
      </c>
      <c r="P178" s="17">
        <f t="shared" si="22"/>
        <v>2.84422924901186</v>
      </c>
      <c r="Q178" s="17">
        <f t="shared" si="23"/>
        <v>14596</v>
      </c>
      <c r="R178" s="19" t="str">
        <f ca="1">IF(A178="","",IF(COUNTIF(_TradeIds,A178)=0,"违规：交易编号不存在",IF(OR(B178="",B178&lt;1,B178&gt;5,B178&lt;&gt;INT(B178)),"违规：加仓序号须为1到5的整数",IF(COUNTIFS($A$2:$A$1001,A178,$B$2:$B$1001,B178)&gt;1,"违规：同一交易的加仓序号重复",IF(OR(D178="",E178="",F178=""),"计划不完整：请填写加仓价、新止损价和风险预算",IF(OR(D178&lt;=0,E178&lt;=0,F178&lt;=0,D178&lt;=E178),"违规：加仓价必须高于新止损价，金额须大于0",IF(AND(B178&gt;1,COUNTIFS($A$2:$A$1001,A178,$B$2:$B$1001,B178-1,$G$2:$G$1001,"&gt;0")=0),"违规：须先完成上一次加仓",IF(AND(B178&gt;1,E178&lt;SUMIFS($E$2:$E$1001,$A$2:$A$1001,A178,$B$2:$B$1001,B178-1)),"违规：新止损价不得低于上一次",IF(AND(B178&gt;1,F178&gt;SUMIFS($F$2:$F$1001,$A$2:$A$1001,A178,$B$2:$B$1001,B178-1)),"违规：风险预算须逐次不增加",IF(OR(_LockStatus="已锁仓",_LockStatus="解锁信息不完整"),"违规：锁仓期间禁止加仓",IF(G178="","计划可执行：建议股数见N列",IF(OR(G178&lt;=0,G178&lt;&gt;INT(G178),MOD(G178,100)&lt;&gt;0),"违规：实际股数须为100股整数倍",IF(G178&gt;N178,"违规：实际股数超过风险或金字塔上限",IF(AND(B178&gt;1,G178&gt;SUMIFS($G$2:$G$1001,$A$2:$A$1001,A178,$B$2:$B$1001,B178-1)),"违规：加仓股数须逐次不增加",IF(Q178&gt;F178,"违规：止损风险超过本次预算","通过")))))))))))))))</f>
        <v>违规：实际股数超过风险或金字塔上限</v>
      </c>
    </row>
    <row r="179" ht="17" spans="1:18">
      <c r="A179" s="13">
        <v>85</v>
      </c>
      <c r="B179" s="14">
        <v>2</v>
      </c>
      <c r="C179" s="15">
        <v>42871</v>
      </c>
      <c r="D179" s="16">
        <v>3.17</v>
      </c>
      <c r="E179" s="16">
        <v>2.9</v>
      </c>
      <c r="F179" s="16">
        <v>1</v>
      </c>
      <c r="G179" s="14">
        <v>25000</v>
      </c>
      <c r="H179" s="17">
        <f t="shared" si="16"/>
        <v>79250</v>
      </c>
      <c r="I179" s="18">
        <f>IF(OR(A179="",B179=""),"",IFERROR(LOOKUP(2,1/(单次交易!$A$2:$A$201=A179),单次交易!$H$2:$H$201),0)+SUMIFS($G$2:$G$1001,$A$2:$A$1001,A179,$B$2:$B$1001,"&lt;"&amp;B179))</f>
        <v>101200</v>
      </c>
      <c r="J179" s="17">
        <f>IF(OR(A179="",B179=""),"",IFERROR(LOOKUP(2,1/(单次交易!$A$2:$A$201=A179),单次交易!$E$2:$E$201)*LOOKUP(2,1/(单次交易!$A$2:$A$201=A179),单次交易!$H$2:$H$201),0)+SUMIFS($H$2:$H$1001,$A$2:$A$1001,A179,$B$2:$B$1001,"&lt;"&amp;B179))</f>
        <v>287836</v>
      </c>
      <c r="K179" s="17">
        <f t="shared" si="17"/>
        <v>5644</v>
      </c>
      <c r="L179" s="18">
        <f t="shared" si="18"/>
        <v>20900</v>
      </c>
      <c r="M179" s="18">
        <f t="shared" si="19"/>
        <v>50000</v>
      </c>
      <c r="N179" s="18">
        <f t="shared" si="20"/>
        <v>20900</v>
      </c>
      <c r="O179" s="18">
        <f t="shared" si="21"/>
        <v>126200</v>
      </c>
      <c r="P179" s="17">
        <f t="shared" si="22"/>
        <v>2.90876386687797</v>
      </c>
      <c r="Q179" s="17">
        <f t="shared" si="23"/>
        <v>1106</v>
      </c>
      <c r="R179" s="19" t="str">
        <f ca="1">IF(A179="","",IF(COUNTIF(_TradeIds,A179)=0,"违规：交易编号不存在",IF(OR(B179="",B179&lt;1,B179&gt;5,B179&lt;&gt;INT(B179)),"违规：加仓序号须为1到5的整数",IF(COUNTIFS($A$2:$A$1001,A179,$B$2:$B$1001,B179)&gt;1,"违规：同一交易的加仓序号重复",IF(OR(D179="",E179="",F179=""),"计划不完整：请填写加仓价、新止损价和风险预算",IF(OR(D179&lt;=0,E179&lt;=0,F179&lt;=0,D179&lt;=E179),"违规：加仓价必须高于新止损价，金额须大于0",IF(AND(B179&gt;1,COUNTIFS($A$2:$A$1001,A179,$B$2:$B$1001,B179-1,$G$2:$G$1001,"&gt;0")=0),"违规：须先完成上一次加仓",IF(AND(B179&gt;1,E179&lt;SUMIFS($E$2:$E$1001,$A$2:$A$1001,A179,$B$2:$B$1001,B179-1)),"违规：新止损价不得低于上一次",IF(AND(B179&gt;1,F179&gt;SUMIFS($F$2:$F$1001,$A$2:$A$1001,A179,$B$2:$B$1001,B179-1)),"违规：风险预算须逐次不增加",IF(OR(_LockStatus="已锁仓",_LockStatus="解锁信息不完整"),"违规：锁仓期间禁止加仓",IF(G179="","计划可执行：建议股数见N列",IF(OR(G179&lt;=0,G179&lt;&gt;INT(G179),MOD(G179,100)&lt;&gt;0),"违规：实际股数须为100股整数倍",IF(G179&gt;N179,"违规：实际股数超过风险或金字塔上限",IF(AND(B179&gt;1,G179&gt;SUMIFS($G$2:$G$1001,$A$2:$A$1001,A179,$B$2:$B$1001,B179-1)),"违规：加仓股数须逐次不增加",IF(Q179&gt;F179,"违规：止损风险超过本次预算","通过")))))))))))))))</f>
        <v>违规：实际股数超过风险或金字塔上限</v>
      </c>
    </row>
    <row r="180" ht="17" spans="1:18">
      <c r="A180" s="13">
        <v>85</v>
      </c>
      <c r="B180" s="14">
        <v>3</v>
      </c>
      <c r="C180" s="15">
        <v>42888</v>
      </c>
      <c r="D180" s="16">
        <v>2.95</v>
      </c>
      <c r="E180" s="16">
        <v>2.7</v>
      </c>
      <c r="F180" s="16">
        <v>1</v>
      </c>
      <c r="G180" s="14">
        <v>25000</v>
      </c>
      <c r="H180" s="17">
        <f t="shared" si="16"/>
        <v>73750</v>
      </c>
      <c r="I180" s="18">
        <f>IF(OR(A180="",B180=""),"",IFERROR(LOOKUP(2,1/(单次交易!$A$2:$A$201=A180),单次交易!$H$2:$H$201),0)+SUMIFS($G$2:$G$1001,$A$2:$A$1001,A180,$B$2:$B$1001,"&lt;"&amp;B180))</f>
        <v>126200</v>
      </c>
      <c r="J180" s="17">
        <f>IF(OR(A180="",B180=""),"",IFERROR(LOOKUP(2,1/(单次交易!$A$2:$A$201=A180),单次交易!$E$2:$E$201)*LOOKUP(2,1/(单次交易!$A$2:$A$201=A180),单次交易!$H$2:$H$201),0)+SUMIFS($H$2:$H$1001,$A$2:$A$1001,A180,$B$2:$B$1001,"&lt;"&amp;B180))</f>
        <v>367086</v>
      </c>
      <c r="K180" s="17">
        <f t="shared" si="17"/>
        <v>0</v>
      </c>
      <c r="L180" s="18">
        <f t="shared" si="18"/>
        <v>0</v>
      </c>
      <c r="M180" s="18">
        <f t="shared" si="19"/>
        <v>25000</v>
      </c>
      <c r="N180" s="18">
        <f t="shared" si="20"/>
        <v>0</v>
      </c>
      <c r="O180" s="18">
        <f t="shared" si="21"/>
        <v>151200</v>
      </c>
      <c r="P180" s="17">
        <f t="shared" si="22"/>
        <v>2.91558201058201</v>
      </c>
      <c r="Q180" s="17">
        <f t="shared" si="23"/>
        <v>32596</v>
      </c>
      <c r="R180" s="19" t="str">
        <f ca="1">IF(A180="","",IF(COUNTIF(_TradeIds,A180)=0,"违规：交易编号不存在",IF(OR(B180="",B180&lt;1,B180&gt;5,B180&lt;&gt;INT(B180)),"违规：加仓序号须为1到5的整数",IF(COUNTIFS($A$2:$A$1001,A180,$B$2:$B$1001,B180)&gt;1,"违规：同一交易的加仓序号重复",IF(OR(D180="",E180="",F180=""),"计划不完整：请填写加仓价、新止损价和风险预算",IF(OR(D180&lt;=0,E180&lt;=0,F180&lt;=0,D180&lt;=E180),"违规：加仓价必须高于新止损价，金额须大于0",IF(AND(B180&gt;1,COUNTIFS($A$2:$A$1001,A180,$B$2:$B$1001,B180-1,$G$2:$G$1001,"&gt;0")=0),"违规：须先完成上一次加仓",IF(AND(B180&gt;1,E180&lt;SUMIFS($E$2:$E$1001,$A$2:$A$1001,A180,$B$2:$B$1001,B180-1)),"违规：新止损价不得低于上一次",IF(AND(B180&gt;1,F180&gt;SUMIFS($F$2:$F$1001,$A$2:$A$1001,A180,$B$2:$B$1001,B180-1)),"违规：风险预算须逐次不增加",IF(OR(_LockStatus="已锁仓",_LockStatus="解锁信息不完整"),"违规：锁仓期间禁止加仓",IF(G180="","计划可执行：建议股数见N列",IF(OR(G180&lt;=0,G180&lt;&gt;INT(G180),MOD(G180,100)&lt;&gt;0),"违规：实际股数须为100股整数倍",IF(G180&gt;N180,"违规：实际股数超过风险或金字塔上限",IF(AND(B180&gt;1,G180&gt;SUMIFS($G$2:$G$1001,$A$2:$A$1001,A180,$B$2:$B$1001,B180-1)),"违规：加仓股数须逐次不增加",IF(Q180&gt;F180,"违规：止损风险超过本次预算","通过")))))))))))))))</f>
        <v>违规：新止损价不得低于上一次</v>
      </c>
    </row>
    <row r="181" ht="17" spans="1:18">
      <c r="A181" s="13">
        <v>85</v>
      </c>
      <c r="B181" s="14">
        <v>4</v>
      </c>
      <c r="C181" s="15">
        <v>42901</v>
      </c>
      <c r="D181" s="16">
        <v>3.22</v>
      </c>
      <c r="E181" s="16">
        <v>3</v>
      </c>
      <c r="F181" s="16">
        <v>1</v>
      </c>
      <c r="G181" s="14">
        <v>25000</v>
      </c>
      <c r="H181" s="17">
        <f t="shared" si="16"/>
        <v>80500</v>
      </c>
      <c r="I181" s="18">
        <f>IF(OR(A181="",B181=""),"",IFERROR(LOOKUP(2,1/(单次交易!$A$2:$A$201=A181),单次交易!$H$2:$H$201),0)+SUMIFS($G$2:$G$1001,$A$2:$A$1001,A181,$B$2:$B$1001,"&lt;"&amp;B181))</f>
        <v>151200</v>
      </c>
      <c r="J181" s="17">
        <f>IF(OR(A181="",B181=""),"",IFERROR(LOOKUP(2,1/(单次交易!$A$2:$A$201=A181),单次交易!$E$2:$E$201)*LOOKUP(2,1/(单次交易!$A$2:$A$201=A181),单次交易!$H$2:$H$201),0)+SUMIFS($H$2:$H$1001,$A$2:$A$1001,A181,$B$2:$B$1001,"&lt;"&amp;B181))</f>
        <v>440836</v>
      </c>
      <c r="K181" s="17">
        <f t="shared" si="17"/>
        <v>12764</v>
      </c>
      <c r="L181" s="18">
        <f t="shared" si="18"/>
        <v>58000</v>
      </c>
      <c r="M181" s="18">
        <f t="shared" si="19"/>
        <v>25000</v>
      </c>
      <c r="N181" s="18">
        <f t="shared" si="20"/>
        <v>25000</v>
      </c>
      <c r="O181" s="18">
        <f t="shared" si="21"/>
        <v>176200</v>
      </c>
      <c r="P181" s="17">
        <f t="shared" si="22"/>
        <v>2.95877412031782</v>
      </c>
      <c r="Q181" s="17">
        <f t="shared" si="23"/>
        <v>0</v>
      </c>
      <c r="R181" s="19" t="str">
        <f ca="1">IF(A181="","",IF(COUNTIF(_TradeIds,A181)=0,"违规：交易编号不存在",IF(OR(B181="",B181&lt;1,B181&gt;5,B181&lt;&gt;INT(B181)),"违规：加仓序号须为1到5的整数",IF(COUNTIFS($A$2:$A$1001,A181,$B$2:$B$1001,B181)&gt;1,"违规：同一交易的加仓序号重复",IF(OR(D181="",E181="",F181=""),"计划不完整：请填写加仓价、新止损价和风险预算",IF(OR(D181&lt;=0,E181&lt;=0,F181&lt;=0,D181&lt;=E181),"违规：加仓价必须高于新止损价，金额须大于0",IF(AND(B181&gt;1,COUNTIFS($A$2:$A$1001,A181,$B$2:$B$1001,B181-1,$G$2:$G$1001,"&gt;0")=0),"违规：须先完成上一次加仓",IF(AND(B181&gt;1,E181&lt;SUMIFS($E$2:$E$1001,$A$2:$A$1001,A181,$B$2:$B$1001,B181-1)),"违规：新止损价不得低于上一次",IF(AND(B181&gt;1,F181&gt;SUMIFS($F$2:$F$1001,$A$2:$A$1001,A181,$B$2:$B$1001,B181-1)),"违规：风险预算须逐次不增加",IF(OR(_LockStatus="已锁仓",_LockStatus="解锁信息不完整"),"违规：锁仓期间禁止加仓",IF(G181="","计划可执行：建议股数见N列",IF(OR(G181&lt;=0,G181&lt;&gt;INT(G181),MOD(G181,100)&lt;&gt;0),"违规：实际股数须为100股整数倍",IF(G181&gt;N181,"违规：实际股数超过风险或金字塔上限",IF(AND(B181&gt;1,G181&gt;SUMIFS($G$2:$G$1001,$A$2:$A$1001,A181,$B$2:$B$1001,B181-1)),"违规：加仓股数须逐次不增加",IF(Q181&gt;F181,"违规：止损风险超过本次预算","通过")))))))))))))))</f>
        <v>通过</v>
      </c>
    </row>
    <row r="182" ht="17" spans="1:18">
      <c r="A182" s="13">
        <v>85</v>
      </c>
      <c r="B182" s="14">
        <v>5</v>
      </c>
      <c r="C182" s="15">
        <v>42979</v>
      </c>
      <c r="D182" s="16">
        <v>3.35</v>
      </c>
      <c r="E182" s="16">
        <v>3</v>
      </c>
      <c r="F182" s="16">
        <v>1</v>
      </c>
      <c r="G182" s="14">
        <v>50000</v>
      </c>
      <c r="H182" s="17">
        <f t="shared" si="16"/>
        <v>167500</v>
      </c>
      <c r="I182" s="18">
        <f>IF(OR(A182="",B182=""),"",IFERROR(LOOKUP(2,1/(单次交易!$A$2:$A$201=A182),单次交易!$H$2:$H$201),0)+SUMIFS($G$2:$G$1001,$A$2:$A$1001,A182,$B$2:$B$1001,"&lt;"&amp;B182))</f>
        <v>176200</v>
      </c>
      <c r="J182" s="17">
        <f>IF(OR(A182="",B182=""),"",IFERROR(LOOKUP(2,1/(单次交易!$A$2:$A$201=A182),单次交易!$E$2:$E$201)*LOOKUP(2,1/(单次交易!$A$2:$A$201=A182),单次交易!$H$2:$H$201),0)+SUMIFS($H$2:$H$1001,$A$2:$A$1001,A182,$B$2:$B$1001,"&lt;"&amp;B182))</f>
        <v>521336</v>
      </c>
      <c r="K182" s="17">
        <f t="shared" si="17"/>
        <v>7264</v>
      </c>
      <c r="L182" s="18">
        <f t="shared" si="18"/>
        <v>20700</v>
      </c>
      <c r="M182" s="18">
        <f t="shared" si="19"/>
        <v>25000</v>
      </c>
      <c r="N182" s="18">
        <f t="shared" si="20"/>
        <v>20700</v>
      </c>
      <c r="O182" s="18">
        <f t="shared" si="21"/>
        <v>226200</v>
      </c>
      <c r="P182" s="17">
        <f t="shared" si="22"/>
        <v>3.04525198938992</v>
      </c>
      <c r="Q182" s="17">
        <f t="shared" si="23"/>
        <v>10236</v>
      </c>
      <c r="R182" s="19" t="str">
        <f ca="1">IF(A182="","",IF(COUNTIF(_TradeIds,A182)=0,"违规：交易编号不存在",IF(OR(B182="",B182&lt;1,B182&gt;5,B182&lt;&gt;INT(B182)),"违规：加仓序号须为1到5的整数",IF(COUNTIFS($A$2:$A$1001,A182,$B$2:$B$1001,B182)&gt;1,"违规：同一交易的加仓序号重复",IF(OR(D182="",E182="",F182=""),"计划不完整：请填写加仓价、新止损价和风险预算",IF(OR(D182&lt;=0,E182&lt;=0,F182&lt;=0,D182&lt;=E182),"违规：加仓价必须高于新止损价，金额须大于0",IF(AND(B182&gt;1,COUNTIFS($A$2:$A$1001,A182,$B$2:$B$1001,B182-1,$G$2:$G$1001,"&gt;0")=0),"违规：须先完成上一次加仓",IF(AND(B182&gt;1,E182&lt;SUMIFS($E$2:$E$1001,$A$2:$A$1001,A182,$B$2:$B$1001,B182-1)),"违规：新止损价不得低于上一次",IF(AND(B182&gt;1,F182&gt;SUMIFS($F$2:$F$1001,$A$2:$A$1001,A182,$B$2:$B$1001,B182-1)),"违规：风险预算须逐次不增加",IF(OR(_LockStatus="已锁仓",_LockStatus="解锁信息不完整"),"违规：锁仓期间禁止加仓",IF(G182="","计划可执行：建议股数见N列",IF(OR(G182&lt;=0,G182&lt;&gt;INT(G182),MOD(G182,100)&lt;&gt;0),"违规：实际股数须为100股整数倍",IF(G182&gt;N182,"违规：实际股数超过风险或金字塔上限",IF(AND(B182&gt;1,G182&gt;SUMIFS($G$2:$G$1001,$A$2:$A$1001,A182,$B$2:$B$1001,B182-1)),"违规：加仓股数须逐次不增加",IF(Q182&gt;F182,"违规：止损风险超过本次预算","通过")))))))))))))))</f>
        <v>违规：实际股数超过风险或金字塔上限</v>
      </c>
    </row>
    <row r="183" ht="17" spans="1:18">
      <c r="A183" s="13">
        <v>86</v>
      </c>
      <c r="B183" s="14">
        <v>1</v>
      </c>
      <c r="C183" s="15">
        <v>43088</v>
      </c>
      <c r="D183" s="16">
        <v>4.37</v>
      </c>
      <c r="E183" s="16">
        <v>4</v>
      </c>
      <c r="F183" s="16">
        <v>1</v>
      </c>
      <c r="G183" s="14">
        <v>25000</v>
      </c>
      <c r="H183" s="17">
        <f t="shared" si="16"/>
        <v>109250</v>
      </c>
      <c r="I183" s="18">
        <f>IF(OR(A183="",B183=""),"",IFERROR(LOOKUP(2,1/(单次交易!$A$2:$A$201=A183),单次交易!$H$2:$H$201),0)+SUMIFS($G$2:$G$1001,$A$2:$A$1001,A183,$B$2:$B$1001,"&lt;"&amp;B183))</f>
        <v>53200</v>
      </c>
      <c r="J183" s="17">
        <f>IF(OR(A183="",B183=""),"",IFERROR(LOOKUP(2,1/(单次交易!$A$2:$A$201=A183),单次交易!$E$2:$E$201)*LOOKUP(2,1/(单次交易!$A$2:$A$201=A183),单次交易!$H$2:$H$201),0)+SUMIFS($H$2:$H$1001,$A$2:$A$1001,A183,$B$2:$B$1001,"&lt;"&amp;B183))</f>
        <v>205352</v>
      </c>
      <c r="K183" s="17">
        <f t="shared" si="17"/>
        <v>7448</v>
      </c>
      <c r="L183" s="18">
        <f t="shared" si="18"/>
        <v>20100</v>
      </c>
      <c r="M183" s="18">
        <f t="shared" si="19"/>
        <v>20100</v>
      </c>
      <c r="N183" s="18">
        <f t="shared" si="20"/>
        <v>20100</v>
      </c>
      <c r="O183" s="18">
        <f t="shared" si="21"/>
        <v>78200</v>
      </c>
      <c r="P183" s="17">
        <f t="shared" si="22"/>
        <v>4.02304347826087</v>
      </c>
      <c r="Q183" s="17">
        <f t="shared" si="23"/>
        <v>1802</v>
      </c>
      <c r="R183" s="19" t="str">
        <f ca="1">IF(A183="","",IF(COUNTIF(_TradeIds,A183)=0,"违规：交易编号不存在",IF(OR(B183="",B183&lt;1,B183&gt;5,B183&lt;&gt;INT(B183)),"违规：加仓序号须为1到5的整数",IF(COUNTIFS($A$2:$A$1001,A183,$B$2:$B$1001,B183)&gt;1,"违规：同一交易的加仓序号重复",IF(OR(D183="",E183="",F183=""),"计划不完整：请填写加仓价、新止损价和风险预算",IF(OR(D183&lt;=0,E183&lt;=0,F183&lt;=0,D183&lt;=E183),"违规：加仓价必须高于新止损价，金额须大于0",IF(AND(B183&gt;1,COUNTIFS($A$2:$A$1001,A183,$B$2:$B$1001,B183-1,$G$2:$G$1001,"&gt;0")=0),"违规：须先完成上一次加仓",IF(AND(B183&gt;1,E183&lt;SUMIFS($E$2:$E$1001,$A$2:$A$1001,A183,$B$2:$B$1001,B183-1)),"违规：新止损价不得低于上一次",IF(AND(B183&gt;1,F183&gt;SUMIFS($F$2:$F$1001,$A$2:$A$1001,A183,$B$2:$B$1001,B183-1)),"违规：风险预算须逐次不增加",IF(OR(_LockStatus="已锁仓",_LockStatus="解锁信息不完整"),"违规：锁仓期间禁止加仓",IF(G183="","计划可执行：建议股数见N列",IF(OR(G183&lt;=0,G183&lt;&gt;INT(G183),MOD(G183,100)&lt;&gt;0),"违规：实际股数须为100股整数倍",IF(G183&gt;N183,"违规：实际股数超过风险或金字塔上限",IF(AND(B183&gt;1,G183&gt;SUMIFS($G$2:$G$1001,$A$2:$A$1001,A183,$B$2:$B$1001,B183-1)),"违规：加仓股数须逐次不增加",IF(Q183&gt;F183,"违规：止损风险超过本次预算","通过")))))))))))))))</f>
        <v>违规：实际股数超过风险或金字塔上限</v>
      </c>
    </row>
    <row r="184" ht="17" spans="1:18">
      <c r="A184" s="13">
        <v>86</v>
      </c>
      <c r="B184" s="14">
        <v>2</v>
      </c>
      <c r="C184" s="15">
        <v>43090</v>
      </c>
      <c r="D184" s="16">
        <v>4.65</v>
      </c>
      <c r="E184" s="16">
        <v>4.3</v>
      </c>
      <c r="F184" s="16">
        <v>1</v>
      </c>
      <c r="G184" s="14">
        <v>25000</v>
      </c>
      <c r="H184" s="17">
        <f t="shared" si="16"/>
        <v>116250</v>
      </c>
      <c r="I184" s="18">
        <f>IF(OR(A184="",B184=""),"",IFERROR(LOOKUP(2,1/(单次交易!$A$2:$A$201=A184),单次交易!$H$2:$H$201),0)+SUMIFS($G$2:$G$1001,$A$2:$A$1001,A184,$B$2:$B$1001,"&lt;"&amp;B184))</f>
        <v>78200</v>
      </c>
      <c r="J184" s="17">
        <f>IF(OR(A184="",B184=""),"",IFERROR(LOOKUP(2,1/(单次交易!$A$2:$A$201=A184),单次交易!$E$2:$E$201)*LOOKUP(2,1/(单次交易!$A$2:$A$201=A184),单次交易!$H$2:$H$201),0)+SUMIFS($H$2:$H$1001,$A$2:$A$1001,A184,$B$2:$B$1001,"&lt;"&amp;B184))</f>
        <v>314602</v>
      </c>
      <c r="K184" s="17">
        <f t="shared" si="17"/>
        <v>21658</v>
      </c>
      <c r="L184" s="18">
        <f t="shared" si="18"/>
        <v>61800</v>
      </c>
      <c r="M184" s="18">
        <f t="shared" si="19"/>
        <v>25000</v>
      </c>
      <c r="N184" s="18">
        <f t="shared" si="20"/>
        <v>25000</v>
      </c>
      <c r="O184" s="18">
        <f t="shared" si="21"/>
        <v>103200</v>
      </c>
      <c r="P184" s="17">
        <f t="shared" si="22"/>
        <v>4.17492248062015</v>
      </c>
      <c r="Q184" s="17">
        <f t="shared" si="23"/>
        <v>0</v>
      </c>
      <c r="R184" s="19" t="str">
        <f ca="1">IF(A184="","",IF(COUNTIF(_TradeIds,A184)=0,"违规：交易编号不存在",IF(OR(B184="",B184&lt;1,B184&gt;5,B184&lt;&gt;INT(B184)),"违规：加仓序号须为1到5的整数",IF(COUNTIFS($A$2:$A$1001,A184,$B$2:$B$1001,B184)&gt;1,"违规：同一交易的加仓序号重复",IF(OR(D184="",E184="",F184=""),"计划不完整：请填写加仓价、新止损价和风险预算",IF(OR(D184&lt;=0,E184&lt;=0,F184&lt;=0,D184&lt;=E184),"违规：加仓价必须高于新止损价，金额须大于0",IF(AND(B184&gt;1,COUNTIFS($A$2:$A$1001,A184,$B$2:$B$1001,B184-1,$G$2:$G$1001,"&gt;0")=0),"违规：须先完成上一次加仓",IF(AND(B184&gt;1,E184&lt;SUMIFS($E$2:$E$1001,$A$2:$A$1001,A184,$B$2:$B$1001,B184-1)),"违规：新止损价不得低于上一次",IF(AND(B184&gt;1,F184&gt;SUMIFS($F$2:$F$1001,$A$2:$A$1001,A184,$B$2:$B$1001,B184-1)),"违规：风险预算须逐次不增加",IF(OR(_LockStatus="已锁仓",_LockStatus="解锁信息不完整"),"违规：锁仓期间禁止加仓",IF(G184="","计划可执行：建议股数见N列",IF(OR(G184&lt;=0,G184&lt;&gt;INT(G184),MOD(G184,100)&lt;&gt;0),"违规：实际股数须为100股整数倍",IF(G184&gt;N184,"违规：实际股数超过风险或金字塔上限",IF(AND(B184&gt;1,G184&gt;SUMIFS($G$2:$G$1001,$A$2:$A$1001,A184,$B$2:$B$1001,B184-1)),"违规：加仓股数须逐次不增加",IF(Q184&gt;F184,"违规：止损风险超过本次预算","通过")))))))))))))))</f>
        <v>通过</v>
      </c>
    </row>
    <row r="185" ht="17" spans="1:18">
      <c r="A185" s="13">
        <v>86</v>
      </c>
      <c r="B185" s="14">
        <v>3</v>
      </c>
      <c r="C185" s="15">
        <v>43096</v>
      </c>
      <c r="D185" s="16">
        <v>4.81</v>
      </c>
      <c r="E185" s="16">
        <v>4.5</v>
      </c>
      <c r="F185" s="16">
        <v>1</v>
      </c>
      <c r="G185" s="14">
        <v>25000</v>
      </c>
      <c r="H185" s="17">
        <f t="shared" si="16"/>
        <v>120250</v>
      </c>
      <c r="I185" s="18">
        <f>IF(OR(A185="",B185=""),"",IFERROR(LOOKUP(2,1/(单次交易!$A$2:$A$201=A185),单次交易!$H$2:$H$201),0)+SUMIFS($G$2:$G$1001,$A$2:$A$1001,A185,$B$2:$B$1001,"&lt;"&amp;B185))</f>
        <v>103200</v>
      </c>
      <c r="J185" s="17">
        <f>IF(OR(A185="",B185=""),"",IFERROR(LOOKUP(2,1/(单次交易!$A$2:$A$201=A185),单次交易!$E$2:$E$201)*LOOKUP(2,1/(单次交易!$A$2:$A$201=A185),单次交易!$H$2:$H$201),0)+SUMIFS($H$2:$H$1001,$A$2:$A$1001,A185,$B$2:$B$1001,"&lt;"&amp;B185))</f>
        <v>430852</v>
      </c>
      <c r="K185" s="17">
        <f t="shared" si="17"/>
        <v>33548</v>
      </c>
      <c r="L185" s="18">
        <f t="shared" si="18"/>
        <v>108200</v>
      </c>
      <c r="M185" s="18">
        <f t="shared" si="19"/>
        <v>25000</v>
      </c>
      <c r="N185" s="18">
        <f t="shared" si="20"/>
        <v>25000</v>
      </c>
      <c r="O185" s="18">
        <f t="shared" si="21"/>
        <v>128200</v>
      </c>
      <c r="P185" s="17">
        <f t="shared" si="22"/>
        <v>4.29876755070203</v>
      </c>
      <c r="Q185" s="17">
        <f t="shared" si="23"/>
        <v>0</v>
      </c>
      <c r="R185" s="19" t="str">
        <f ca="1">IF(A185="","",IF(COUNTIF(_TradeIds,A185)=0,"违规：交易编号不存在",IF(OR(B185="",B185&lt;1,B185&gt;5,B185&lt;&gt;INT(B185)),"违规：加仓序号须为1到5的整数",IF(COUNTIFS($A$2:$A$1001,A185,$B$2:$B$1001,B185)&gt;1,"违规：同一交易的加仓序号重复",IF(OR(D185="",E185="",F185=""),"计划不完整：请填写加仓价、新止损价和风险预算",IF(OR(D185&lt;=0,E185&lt;=0,F185&lt;=0,D185&lt;=E185),"违规：加仓价必须高于新止损价，金额须大于0",IF(AND(B185&gt;1,COUNTIFS($A$2:$A$1001,A185,$B$2:$B$1001,B185-1,$G$2:$G$1001,"&gt;0")=0),"违规：须先完成上一次加仓",IF(AND(B185&gt;1,E185&lt;SUMIFS($E$2:$E$1001,$A$2:$A$1001,A185,$B$2:$B$1001,B185-1)),"违规：新止损价不得低于上一次",IF(AND(B185&gt;1,F185&gt;SUMIFS($F$2:$F$1001,$A$2:$A$1001,A185,$B$2:$B$1001,B185-1)),"违规：风险预算须逐次不增加",IF(OR(_LockStatus="已锁仓",_LockStatus="解锁信息不完整"),"违规：锁仓期间禁止加仓",IF(G185="","计划可执行：建议股数见N列",IF(OR(G185&lt;=0,G185&lt;&gt;INT(G185),MOD(G185,100)&lt;&gt;0),"违规：实际股数须为100股整数倍",IF(G185&gt;N185,"违规：实际股数超过风险或金字塔上限",IF(AND(B185&gt;1,G185&gt;SUMIFS($G$2:$G$1001,$A$2:$A$1001,A185,$B$2:$B$1001,B185-1)),"违规：加仓股数须逐次不增加",IF(Q185&gt;F185,"违规：止损风险超过本次预算","通过")))))))))))))))</f>
        <v>通过</v>
      </c>
    </row>
    <row r="186" ht="17" spans="1:18">
      <c r="A186" s="13">
        <v>86</v>
      </c>
      <c r="B186" s="14">
        <v>4</v>
      </c>
      <c r="C186" s="15">
        <v>43108</v>
      </c>
      <c r="D186" s="16">
        <v>5.19</v>
      </c>
      <c r="E186" s="16">
        <v>4.8</v>
      </c>
      <c r="F186" s="16">
        <v>1</v>
      </c>
      <c r="G186" s="14">
        <v>25000</v>
      </c>
      <c r="H186" s="17">
        <f t="shared" si="16"/>
        <v>129750</v>
      </c>
      <c r="I186" s="18">
        <f>IF(OR(A186="",B186=""),"",IFERROR(LOOKUP(2,1/(单次交易!$A$2:$A$201=A186),单次交易!$H$2:$H$201),0)+SUMIFS($G$2:$G$1001,$A$2:$A$1001,A186,$B$2:$B$1001,"&lt;"&amp;B186))</f>
        <v>128200</v>
      </c>
      <c r="J186" s="17">
        <f>IF(OR(A186="",B186=""),"",IFERROR(LOOKUP(2,1/(单次交易!$A$2:$A$201=A186),单次交易!$E$2:$E$201)*LOOKUP(2,1/(单次交易!$A$2:$A$201=A186),单次交易!$H$2:$H$201),0)+SUMIFS($H$2:$H$1001,$A$2:$A$1001,A186,$B$2:$B$1001,"&lt;"&amp;B186))</f>
        <v>551102</v>
      </c>
      <c r="K186" s="17">
        <f t="shared" si="17"/>
        <v>64258</v>
      </c>
      <c r="L186" s="18">
        <f t="shared" si="18"/>
        <v>164700</v>
      </c>
      <c r="M186" s="18">
        <f t="shared" si="19"/>
        <v>25000</v>
      </c>
      <c r="N186" s="18">
        <f t="shared" si="20"/>
        <v>25000</v>
      </c>
      <c r="O186" s="18">
        <f t="shared" si="21"/>
        <v>153200</v>
      </c>
      <c r="P186" s="17">
        <f t="shared" si="22"/>
        <v>4.44420365535248</v>
      </c>
      <c r="Q186" s="17">
        <f t="shared" si="23"/>
        <v>0</v>
      </c>
      <c r="R186" s="19" t="str">
        <f ca="1">IF(A186="","",IF(COUNTIF(_TradeIds,A186)=0,"违规：交易编号不存在",IF(OR(B186="",B186&lt;1,B186&gt;5,B186&lt;&gt;INT(B186)),"违规：加仓序号须为1到5的整数",IF(COUNTIFS($A$2:$A$1001,A186,$B$2:$B$1001,B186)&gt;1,"违规：同一交易的加仓序号重复",IF(OR(D186="",E186="",F186=""),"计划不完整：请填写加仓价、新止损价和风险预算",IF(OR(D186&lt;=0,E186&lt;=0,F186&lt;=0,D186&lt;=E186),"违规：加仓价必须高于新止损价，金额须大于0",IF(AND(B186&gt;1,COUNTIFS($A$2:$A$1001,A186,$B$2:$B$1001,B186-1,$G$2:$G$1001,"&gt;0")=0),"违规：须先完成上一次加仓",IF(AND(B186&gt;1,E186&lt;SUMIFS($E$2:$E$1001,$A$2:$A$1001,A186,$B$2:$B$1001,B186-1)),"违规：新止损价不得低于上一次",IF(AND(B186&gt;1,F186&gt;SUMIFS($F$2:$F$1001,$A$2:$A$1001,A186,$B$2:$B$1001,B186-1)),"违规：风险预算须逐次不增加",IF(OR(_LockStatus="已锁仓",_LockStatus="解锁信息不完整"),"违规：锁仓期间禁止加仓",IF(G186="","计划可执行：建议股数见N列",IF(OR(G186&lt;=0,G186&lt;&gt;INT(G186),MOD(G186,100)&lt;&gt;0),"违规：实际股数须为100股整数倍",IF(G186&gt;N186,"违规：实际股数超过风险或金字塔上限",IF(AND(B186&gt;1,G186&gt;SUMIFS($G$2:$G$1001,$A$2:$A$1001,A186,$B$2:$B$1001,B186-1)),"违规：加仓股数须逐次不增加",IF(Q186&gt;F186,"违规：止损风险超过本次预算","通过")))))))))))))))</f>
        <v>通过</v>
      </c>
    </row>
    <row r="187" ht="17" spans="1:18">
      <c r="A187" s="13">
        <v>86</v>
      </c>
      <c r="B187" s="14">
        <v>5</v>
      </c>
      <c r="C187" s="15">
        <v>43116</v>
      </c>
      <c r="D187" s="16">
        <v>5.52</v>
      </c>
      <c r="E187" s="16">
        <v>5</v>
      </c>
      <c r="F187" s="16">
        <v>1</v>
      </c>
      <c r="G187" s="14">
        <v>45000</v>
      </c>
      <c r="H187" s="17">
        <f t="shared" si="16"/>
        <v>248400</v>
      </c>
      <c r="I187" s="18">
        <f>IF(OR(A187="",B187=""),"",IFERROR(LOOKUP(2,1/(单次交易!$A$2:$A$201=A187),单次交易!$H$2:$H$201),0)+SUMIFS($G$2:$G$1001,$A$2:$A$1001,A187,$B$2:$B$1001,"&lt;"&amp;B187))</f>
        <v>153200</v>
      </c>
      <c r="J187" s="17">
        <f>IF(OR(A187="",B187=""),"",IFERROR(LOOKUP(2,1/(单次交易!$A$2:$A$201=A187),单次交易!$E$2:$E$201)*LOOKUP(2,1/(单次交易!$A$2:$A$201=A187),单次交易!$H$2:$H$201),0)+SUMIFS($H$2:$H$1001,$A$2:$A$1001,A187,$B$2:$B$1001,"&lt;"&amp;B187))</f>
        <v>680852</v>
      </c>
      <c r="K187" s="17">
        <f t="shared" si="17"/>
        <v>85148</v>
      </c>
      <c r="L187" s="18">
        <f t="shared" si="18"/>
        <v>163700</v>
      </c>
      <c r="M187" s="18">
        <f t="shared" si="19"/>
        <v>25000</v>
      </c>
      <c r="N187" s="18">
        <f t="shared" si="20"/>
        <v>25000</v>
      </c>
      <c r="O187" s="18">
        <f t="shared" si="21"/>
        <v>198200</v>
      </c>
      <c r="P187" s="17">
        <f t="shared" si="22"/>
        <v>4.6884561049445</v>
      </c>
      <c r="Q187" s="17">
        <f t="shared" si="23"/>
        <v>0</v>
      </c>
      <c r="R187" s="19" t="str">
        <f ca="1">IF(A187="","",IF(COUNTIF(_TradeIds,A187)=0,"违规：交易编号不存在",IF(OR(B187="",B187&lt;1,B187&gt;5,B187&lt;&gt;INT(B187)),"违规：加仓序号须为1到5的整数",IF(COUNTIFS($A$2:$A$1001,A187,$B$2:$B$1001,B187)&gt;1,"违规：同一交易的加仓序号重复",IF(OR(D187="",E187="",F187=""),"计划不完整：请填写加仓价、新止损价和风险预算",IF(OR(D187&lt;=0,E187&lt;=0,F187&lt;=0,D187&lt;=E187),"违规：加仓价必须高于新止损价，金额须大于0",IF(AND(B187&gt;1,COUNTIFS($A$2:$A$1001,A187,$B$2:$B$1001,B187-1,$G$2:$G$1001,"&gt;0")=0),"违规：须先完成上一次加仓",IF(AND(B187&gt;1,E187&lt;SUMIFS($E$2:$E$1001,$A$2:$A$1001,A187,$B$2:$B$1001,B187-1)),"违规：新止损价不得低于上一次",IF(AND(B187&gt;1,F187&gt;SUMIFS($F$2:$F$1001,$A$2:$A$1001,A187,$B$2:$B$1001,B187-1)),"违规：风险预算须逐次不增加",IF(OR(_LockStatus="已锁仓",_LockStatus="解锁信息不完整"),"违规：锁仓期间禁止加仓",IF(G187="","计划可执行：建议股数见N列",IF(OR(G187&lt;=0,G187&lt;&gt;INT(G187),MOD(G187,100)&lt;&gt;0),"违规：实际股数须为100股整数倍",IF(G187&gt;N187,"违规：实际股数超过风险或金字塔上限",IF(AND(B187&gt;1,G187&gt;SUMIFS($G$2:$G$1001,$A$2:$A$1001,A187,$B$2:$B$1001,B187-1)),"违规：加仓股数须逐次不增加",IF(Q187&gt;F187,"违规：止损风险超过本次预算","通过")))))))))))))))</f>
        <v>违规：实际股数超过风险或金字塔上限</v>
      </c>
    </row>
    <row r="188" ht="17" spans="1:18">
      <c r="A188" s="13">
        <v>87</v>
      </c>
      <c r="B188" s="14">
        <v>1</v>
      </c>
      <c r="C188" s="15">
        <v>43157</v>
      </c>
      <c r="D188" s="16">
        <v>5.83</v>
      </c>
      <c r="E188" s="16">
        <v>5.5</v>
      </c>
      <c r="F188" s="16">
        <v>1</v>
      </c>
      <c r="G188" s="14">
        <v>50000</v>
      </c>
      <c r="H188" s="17">
        <f t="shared" si="16"/>
        <v>291500</v>
      </c>
      <c r="I188" s="18">
        <f>IF(OR(A188="",B188=""),"",IFERROR(LOOKUP(2,1/(单次交易!$A$2:$A$201=A188),单次交易!$H$2:$H$201),0)+SUMIFS($G$2:$G$1001,$A$2:$A$1001,A188,$B$2:$B$1001,"&lt;"&amp;B188))</f>
        <v>42700</v>
      </c>
      <c r="J188" s="17">
        <f>IF(OR(A188="",B188=""),"",IFERROR(LOOKUP(2,1/(单次交易!$A$2:$A$201=A188),单次交易!$E$2:$E$201)*LOOKUP(2,1/(单次交易!$A$2:$A$201=A188),单次交易!$H$2:$H$201),0)+SUMIFS($H$2:$H$1001,$A$2:$A$1001,A188,$B$2:$B$1001,"&lt;"&amp;B188))</f>
        <v>233142</v>
      </c>
      <c r="K188" s="17">
        <f t="shared" si="17"/>
        <v>1708</v>
      </c>
      <c r="L188" s="18">
        <f t="shared" si="18"/>
        <v>5100</v>
      </c>
      <c r="M188" s="18">
        <f t="shared" si="19"/>
        <v>5100</v>
      </c>
      <c r="N188" s="18">
        <f t="shared" si="20"/>
        <v>5100</v>
      </c>
      <c r="O188" s="18">
        <f t="shared" si="21"/>
        <v>92700</v>
      </c>
      <c r="P188" s="17">
        <f t="shared" si="22"/>
        <v>5.65956850053937</v>
      </c>
      <c r="Q188" s="17">
        <f t="shared" si="23"/>
        <v>14792</v>
      </c>
      <c r="R188" s="19" t="str">
        <f ca="1">IF(A188="","",IF(COUNTIF(_TradeIds,A188)=0,"违规：交易编号不存在",IF(OR(B188="",B188&lt;1,B188&gt;5,B188&lt;&gt;INT(B188)),"违规：加仓序号须为1到5的整数",IF(COUNTIFS($A$2:$A$1001,A188,$B$2:$B$1001,B188)&gt;1,"违规：同一交易的加仓序号重复",IF(OR(D188="",E188="",F188=""),"计划不完整：请填写加仓价、新止损价和风险预算",IF(OR(D188&lt;=0,E188&lt;=0,F188&lt;=0,D188&lt;=E188),"违规：加仓价必须高于新止损价，金额须大于0",IF(AND(B188&gt;1,COUNTIFS($A$2:$A$1001,A188,$B$2:$B$1001,B188-1,$G$2:$G$1001,"&gt;0")=0),"违规：须先完成上一次加仓",IF(AND(B188&gt;1,E188&lt;SUMIFS($E$2:$E$1001,$A$2:$A$1001,A188,$B$2:$B$1001,B188-1)),"违规：新止损价不得低于上一次",IF(AND(B188&gt;1,F188&gt;SUMIFS($F$2:$F$1001,$A$2:$A$1001,A188,$B$2:$B$1001,B188-1)),"违规：风险预算须逐次不增加",IF(OR(_LockStatus="已锁仓",_LockStatus="解锁信息不完整"),"违规：锁仓期间禁止加仓",IF(G188="","计划可执行：建议股数见N列",IF(OR(G188&lt;=0,G188&lt;&gt;INT(G188),MOD(G188,100)&lt;&gt;0),"违规：实际股数须为100股整数倍",IF(G188&gt;N188,"违规：实际股数超过风险或金字塔上限",IF(AND(B188&gt;1,G188&gt;SUMIFS($G$2:$G$1001,$A$2:$A$1001,A188,$B$2:$B$1001,B188-1)),"违规：加仓股数须逐次不增加",IF(Q188&gt;F188,"违规：止损风险超过本次预算","通过")))))))))))))))</f>
        <v>违规：实际股数超过风险或金字塔上限</v>
      </c>
    </row>
    <row r="189" ht="17" spans="1:18">
      <c r="A189" s="13">
        <v>87</v>
      </c>
      <c r="B189" s="14">
        <v>2</v>
      </c>
      <c r="C189" s="15">
        <v>43167</v>
      </c>
      <c r="D189" s="16">
        <v>6.35</v>
      </c>
      <c r="E189" s="16">
        <v>6</v>
      </c>
      <c r="F189" s="16">
        <v>1</v>
      </c>
      <c r="G189" s="14">
        <v>25000</v>
      </c>
      <c r="H189" s="17">
        <f t="shared" si="16"/>
        <v>158750</v>
      </c>
      <c r="I189" s="18">
        <f>IF(OR(A189="",B189=""),"",IFERROR(LOOKUP(2,1/(单次交易!$A$2:$A$201=A189),单次交易!$H$2:$H$201),0)+SUMIFS($G$2:$G$1001,$A$2:$A$1001,A189,$B$2:$B$1001,"&lt;"&amp;B189))</f>
        <v>92700</v>
      </c>
      <c r="J189" s="17">
        <f>IF(OR(A189="",B189=""),"",IFERROR(LOOKUP(2,1/(单次交易!$A$2:$A$201=A189),单次交易!$E$2:$E$201)*LOOKUP(2,1/(单次交易!$A$2:$A$201=A189),单次交易!$H$2:$H$201),0)+SUMIFS($H$2:$H$1001,$A$2:$A$1001,A189,$B$2:$B$1001,"&lt;"&amp;B189))</f>
        <v>524642</v>
      </c>
      <c r="K189" s="17">
        <f t="shared" si="17"/>
        <v>31558</v>
      </c>
      <c r="L189" s="18">
        <f t="shared" si="18"/>
        <v>90100</v>
      </c>
      <c r="M189" s="18">
        <f t="shared" si="19"/>
        <v>50000</v>
      </c>
      <c r="N189" s="18">
        <f t="shared" si="20"/>
        <v>50000</v>
      </c>
      <c r="O189" s="18">
        <f t="shared" si="21"/>
        <v>117700</v>
      </c>
      <c r="P189" s="17">
        <f t="shared" si="22"/>
        <v>5.80621920135939</v>
      </c>
      <c r="Q189" s="17">
        <f t="shared" si="23"/>
        <v>0</v>
      </c>
      <c r="R189" s="19" t="str">
        <f ca="1">IF(A189="","",IF(COUNTIF(_TradeIds,A189)=0,"违规：交易编号不存在",IF(OR(B189="",B189&lt;1,B189&gt;5,B189&lt;&gt;INT(B189)),"违规：加仓序号须为1到5的整数",IF(COUNTIFS($A$2:$A$1001,A189,$B$2:$B$1001,B189)&gt;1,"违规：同一交易的加仓序号重复",IF(OR(D189="",E189="",F189=""),"计划不完整：请填写加仓价、新止损价和风险预算",IF(OR(D189&lt;=0,E189&lt;=0,F189&lt;=0,D189&lt;=E189),"违规：加仓价必须高于新止损价，金额须大于0",IF(AND(B189&gt;1,COUNTIFS($A$2:$A$1001,A189,$B$2:$B$1001,B189-1,$G$2:$G$1001,"&gt;0")=0),"违规：须先完成上一次加仓",IF(AND(B189&gt;1,E189&lt;SUMIFS($E$2:$E$1001,$A$2:$A$1001,A189,$B$2:$B$1001,B189-1)),"违规：新止损价不得低于上一次",IF(AND(B189&gt;1,F189&gt;SUMIFS($F$2:$F$1001,$A$2:$A$1001,A189,$B$2:$B$1001,B189-1)),"违规：风险预算须逐次不增加",IF(OR(_LockStatus="已锁仓",_LockStatus="解锁信息不完整"),"违规：锁仓期间禁止加仓",IF(G189="","计划可执行：建议股数见N列",IF(OR(G189&lt;=0,G189&lt;&gt;INT(G189),MOD(G189,100)&lt;&gt;0),"违规：实际股数须为100股整数倍",IF(G189&gt;N189,"违规：实际股数超过风险或金字塔上限",IF(AND(B189&gt;1,G189&gt;SUMIFS($G$2:$G$1001,$A$2:$A$1001,A189,$B$2:$B$1001,B189-1)),"违规：加仓股数须逐次不增加",IF(Q189&gt;F189,"违规：止损风险超过本次预算","通过")))))))))))))))</f>
        <v>通过</v>
      </c>
    </row>
    <row r="190" ht="17" spans="1:18">
      <c r="A190" s="13">
        <v>87</v>
      </c>
      <c r="B190" s="14">
        <v>3</v>
      </c>
      <c r="C190" s="15">
        <v>43186</v>
      </c>
      <c r="D190" s="16">
        <v>6.92</v>
      </c>
      <c r="E190" s="16">
        <v>6.5</v>
      </c>
      <c r="F190" s="16">
        <v>1</v>
      </c>
      <c r="G190" s="14">
        <v>25000</v>
      </c>
      <c r="H190" s="17">
        <f t="shared" si="16"/>
        <v>173000</v>
      </c>
      <c r="I190" s="18">
        <f>IF(OR(A190="",B190=""),"",IFERROR(LOOKUP(2,1/(单次交易!$A$2:$A$201=A190),单次交易!$H$2:$H$201),0)+SUMIFS($G$2:$G$1001,$A$2:$A$1001,A190,$B$2:$B$1001,"&lt;"&amp;B190))</f>
        <v>117700</v>
      </c>
      <c r="J190" s="17">
        <f>IF(OR(A190="",B190=""),"",IFERROR(LOOKUP(2,1/(单次交易!$A$2:$A$201=A190),单次交易!$E$2:$E$201)*LOOKUP(2,1/(单次交易!$A$2:$A$201=A190),单次交易!$H$2:$H$201),0)+SUMIFS($H$2:$H$1001,$A$2:$A$1001,A190,$B$2:$B$1001,"&lt;"&amp;B190))</f>
        <v>683392</v>
      </c>
      <c r="K190" s="17">
        <f t="shared" si="17"/>
        <v>81658</v>
      </c>
      <c r="L190" s="18">
        <f t="shared" si="18"/>
        <v>194400</v>
      </c>
      <c r="M190" s="18">
        <f t="shared" si="19"/>
        <v>25000</v>
      </c>
      <c r="N190" s="18">
        <f t="shared" si="20"/>
        <v>25000</v>
      </c>
      <c r="O190" s="18">
        <f t="shared" si="21"/>
        <v>142700</v>
      </c>
      <c r="P190" s="17">
        <f t="shared" si="22"/>
        <v>6.00134548002803</v>
      </c>
      <c r="Q190" s="17">
        <f t="shared" si="23"/>
        <v>0</v>
      </c>
      <c r="R190" s="19" t="str">
        <f ca="1">IF(A190="","",IF(COUNTIF(_TradeIds,A190)=0,"违规：交易编号不存在",IF(OR(B190="",B190&lt;1,B190&gt;5,B190&lt;&gt;INT(B190)),"违规：加仓序号须为1到5的整数",IF(COUNTIFS($A$2:$A$1001,A190,$B$2:$B$1001,B190)&gt;1,"违规：同一交易的加仓序号重复",IF(OR(D190="",E190="",F190=""),"计划不完整：请填写加仓价、新止损价和风险预算",IF(OR(D190&lt;=0,E190&lt;=0,F190&lt;=0,D190&lt;=E190),"违规：加仓价必须高于新止损价，金额须大于0",IF(AND(B190&gt;1,COUNTIFS($A$2:$A$1001,A190,$B$2:$B$1001,B190-1,$G$2:$G$1001,"&gt;0")=0),"违规：须先完成上一次加仓",IF(AND(B190&gt;1,E190&lt;SUMIFS($E$2:$E$1001,$A$2:$A$1001,A190,$B$2:$B$1001,B190-1)),"违规：新止损价不得低于上一次",IF(AND(B190&gt;1,F190&gt;SUMIFS($F$2:$F$1001,$A$2:$A$1001,A190,$B$2:$B$1001,B190-1)),"违规：风险预算须逐次不增加",IF(OR(_LockStatus="已锁仓",_LockStatus="解锁信息不完整"),"违规：锁仓期间禁止加仓",IF(G190="","计划可执行：建议股数见N列",IF(OR(G190&lt;=0,G190&lt;&gt;INT(G190),MOD(G190,100)&lt;&gt;0),"违规：实际股数须为100股整数倍",IF(G190&gt;N190,"违规：实际股数超过风险或金字塔上限",IF(AND(B190&gt;1,G190&gt;SUMIFS($G$2:$G$1001,$A$2:$A$1001,A190,$B$2:$B$1001,B190-1)),"违规：加仓股数须逐次不增加",IF(Q190&gt;F190,"违规：止损风险超过本次预算","通过")))))))))))))))</f>
        <v>通过</v>
      </c>
    </row>
    <row r="191" ht="17" spans="1:18">
      <c r="A191" s="13">
        <v>88</v>
      </c>
      <c r="B191" s="14">
        <v>1</v>
      </c>
      <c r="C191" s="15">
        <v>43241</v>
      </c>
      <c r="D191" s="16">
        <v>7.9</v>
      </c>
      <c r="E191" s="16">
        <v>7.2</v>
      </c>
      <c r="F191" s="16">
        <v>1</v>
      </c>
      <c r="G191" s="14">
        <v>20000</v>
      </c>
      <c r="H191" s="17">
        <f t="shared" si="16"/>
        <v>158000</v>
      </c>
      <c r="I191" s="18">
        <f>IF(OR(A191="",B191=""),"",IFERROR(LOOKUP(2,1/(单次交易!$A$2:$A$201=A191),单次交易!$H$2:$H$201),0)+SUMIFS($G$2:$G$1001,$A$2:$A$1001,A191,$B$2:$B$1001,"&lt;"&amp;B191))</f>
        <v>60600</v>
      </c>
      <c r="J191" s="17">
        <f>IF(OR(A191="",B191=""),"",IFERROR(LOOKUP(2,1/(单次交易!$A$2:$A$201=A191),单次交易!$E$2:$E$201)*LOOKUP(2,1/(单次交易!$A$2:$A$201=A191),单次交易!$H$2:$H$201),0)+SUMIFS($H$2:$H$1001,$A$2:$A$1001,A191,$B$2:$B$1001,"&lt;"&amp;B191))</f>
        <v>444804</v>
      </c>
      <c r="K191" s="17">
        <f t="shared" si="17"/>
        <v>0</v>
      </c>
      <c r="L191" s="18">
        <f t="shared" si="18"/>
        <v>0</v>
      </c>
      <c r="M191" s="18">
        <f t="shared" si="19"/>
        <v>0</v>
      </c>
      <c r="N191" s="18">
        <f t="shared" si="20"/>
        <v>0</v>
      </c>
      <c r="O191" s="18">
        <f t="shared" si="21"/>
        <v>80600</v>
      </c>
      <c r="P191" s="17">
        <f t="shared" si="22"/>
        <v>7.47895781637717</v>
      </c>
      <c r="Q191" s="17">
        <f t="shared" si="23"/>
        <v>22484</v>
      </c>
      <c r="R191" s="19" t="str">
        <f ca="1">IF(A191="","",IF(COUNTIF(_TradeIds,A191)=0,"违规：交易编号不存在",IF(OR(B191="",B191&lt;1,B191&gt;5,B191&lt;&gt;INT(B191)),"违规：加仓序号须为1到5的整数",IF(COUNTIFS($A$2:$A$1001,A191,$B$2:$B$1001,B191)&gt;1,"违规：同一交易的加仓序号重复",IF(OR(D191="",E191="",F191=""),"计划不完整：请填写加仓价、新止损价和风险预算",IF(OR(D191&lt;=0,E191&lt;=0,F191&lt;=0,D191&lt;=E191),"违规：加仓价必须高于新止损价，金额须大于0",IF(AND(B191&gt;1,COUNTIFS($A$2:$A$1001,A191,$B$2:$B$1001,B191-1,$G$2:$G$1001,"&gt;0")=0),"违规：须先完成上一次加仓",IF(AND(B191&gt;1,E191&lt;SUMIFS($E$2:$E$1001,$A$2:$A$1001,A191,$B$2:$B$1001,B191-1)),"违规：新止损价不得低于上一次",IF(AND(B191&gt;1,F191&gt;SUMIFS($F$2:$F$1001,$A$2:$A$1001,A191,$B$2:$B$1001,B191-1)),"违规：风险预算须逐次不增加",IF(OR(_LockStatus="已锁仓",_LockStatus="解锁信息不完整"),"违规：锁仓期间禁止加仓",IF(G191="","计划可执行：建议股数见N列",IF(OR(G191&lt;=0,G191&lt;&gt;INT(G191),MOD(G191,100)&lt;&gt;0),"违规：实际股数须为100股整数倍",IF(G191&gt;N191,"违规：实际股数超过风险或金字塔上限",IF(AND(B191&gt;1,G191&gt;SUMIFS($G$2:$G$1001,$A$2:$A$1001,A191,$B$2:$B$1001,B191-1)),"违规：加仓股数须逐次不增加",IF(Q191&gt;F191,"违规：止损风险超过本次预算","通过")))))))))))))))</f>
        <v>违规：实际股数超过风险或金字塔上限</v>
      </c>
    </row>
    <row r="192" ht="17" spans="1:18">
      <c r="A192" s="13">
        <v>92</v>
      </c>
      <c r="B192" s="14">
        <v>1</v>
      </c>
      <c r="C192" s="15">
        <v>43508</v>
      </c>
      <c r="D192" s="16">
        <v>7.09</v>
      </c>
      <c r="E192" s="16">
        <v>6.5</v>
      </c>
      <c r="F192" s="16">
        <v>1</v>
      </c>
      <c r="G192" s="14">
        <v>25000</v>
      </c>
      <c r="H192" s="17">
        <f t="shared" si="16"/>
        <v>177250</v>
      </c>
      <c r="I192" s="18">
        <f>IF(OR(A192="",B192=""),"",IFERROR(LOOKUP(2,1/(单次交易!$A$2:$A$201=A192),单次交易!$H$2:$H$201),0)+SUMIFS($G$2:$G$1001,$A$2:$A$1001,A192,$B$2:$B$1001,"&lt;"&amp;B192))</f>
        <v>32100</v>
      </c>
      <c r="J192" s="17">
        <f>IF(OR(A192="",B192=""),"",IFERROR(LOOKUP(2,1/(单次交易!$A$2:$A$201=A192),单次交易!$E$2:$E$201)*LOOKUP(2,1/(单次交易!$A$2:$A$201=A192),单次交易!$H$2:$H$201),0)+SUMIFS($H$2:$H$1001,$A$2:$A$1001,A192,$B$2:$B$1001,"&lt;"&amp;B192))</f>
        <v>211860</v>
      </c>
      <c r="K192" s="17">
        <f t="shared" si="17"/>
        <v>0</v>
      </c>
      <c r="L192" s="18">
        <f t="shared" si="18"/>
        <v>0</v>
      </c>
      <c r="M192" s="18">
        <f t="shared" si="19"/>
        <v>0</v>
      </c>
      <c r="N192" s="18">
        <f t="shared" si="20"/>
        <v>0</v>
      </c>
      <c r="O192" s="18">
        <f t="shared" si="21"/>
        <v>57100</v>
      </c>
      <c r="P192" s="17">
        <f t="shared" si="22"/>
        <v>6.81453590192644</v>
      </c>
      <c r="Q192" s="17">
        <f t="shared" si="23"/>
        <v>17960</v>
      </c>
      <c r="R192" s="19" t="str">
        <f ca="1">IF(A192="","",IF(COUNTIF(_TradeIds,A192)=0,"违规：交易编号不存在",IF(OR(B192="",B192&lt;1,B192&gt;5,B192&lt;&gt;INT(B192)),"违规：加仓序号须为1到5的整数",IF(COUNTIFS($A$2:$A$1001,A192,$B$2:$B$1001,B192)&gt;1,"违规：同一交易的加仓序号重复",IF(OR(D192="",E192="",F192=""),"计划不完整：请填写加仓价、新止损价和风险预算",IF(OR(D192&lt;=0,E192&lt;=0,F192&lt;=0,D192&lt;=E192),"违规：加仓价必须高于新止损价，金额须大于0",IF(AND(B192&gt;1,COUNTIFS($A$2:$A$1001,A192,$B$2:$B$1001,B192-1,$G$2:$G$1001,"&gt;0")=0),"违规：须先完成上一次加仓",IF(AND(B192&gt;1,E192&lt;SUMIFS($E$2:$E$1001,$A$2:$A$1001,A192,$B$2:$B$1001,B192-1)),"违规：新止损价不得低于上一次",IF(AND(B192&gt;1,F192&gt;SUMIFS($F$2:$F$1001,$A$2:$A$1001,A192,$B$2:$B$1001,B192-1)),"违规：风险预算须逐次不增加",IF(OR(_LockStatus="已锁仓",_LockStatus="解锁信息不完整"),"违规：锁仓期间禁止加仓",IF(G192="","计划可执行：建议股数见N列",IF(OR(G192&lt;=0,G192&lt;&gt;INT(G192),MOD(G192,100)&lt;&gt;0),"违规：实际股数须为100股整数倍",IF(G192&gt;N192,"违规：实际股数超过风险或金字塔上限",IF(AND(B192&gt;1,G192&gt;SUMIFS($G$2:$G$1001,$A$2:$A$1001,A192,$B$2:$B$1001,B192-1)),"违规：加仓股数须逐次不增加",IF(Q192&gt;F192,"违规：止损风险超过本次预算","通过")))))))))))))))</f>
        <v>违规：实际股数超过风险或金字塔上限</v>
      </c>
    </row>
    <row r="193" ht="17" spans="1:18">
      <c r="A193" s="13">
        <v>92</v>
      </c>
      <c r="B193" s="14">
        <v>2</v>
      </c>
      <c r="C193" s="15">
        <v>43514</v>
      </c>
      <c r="D193" s="16">
        <v>7.72</v>
      </c>
      <c r="E193" s="16">
        <v>7</v>
      </c>
      <c r="F193" s="16">
        <v>1</v>
      </c>
      <c r="G193" s="14">
        <v>15000</v>
      </c>
      <c r="H193" s="17">
        <f t="shared" si="16"/>
        <v>115800</v>
      </c>
      <c r="I193" s="18">
        <f>IF(OR(A193="",B193=""),"",IFERROR(LOOKUP(2,1/(单次交易!$A$2:$A$201=A193),单次交易!$H$2:$H$201),0)+SUMIFS($G$2:$G$1001,$A$2:$A$1001,A193,$B$2:$B$1001,"&lt;"&amp;B193))</f>
        <v>57100</v>
      </c>
      <c r="J193" s="17">
        <f>IF(OR(A193="",B193=""),"",IFERROR(LOOKUP(2,1/(单次交易!$A$2:$A$201=A193),单次交易!$E$2:$E$201)*LOOKUP(2,1/(单次交易!$A$2:$A$201=A193),单次交易!$H$2:$H$201),0)+SUMIFS($H$2:$H$1001,$A$2:$A$1001,A193,$B$2:$B$1001,"&lt;"&amp;B193))</f>
        <v>389110</v>
      </c>
      <c r="K193" s="17">
        <f t="shared" si="17"/>
        <v>10590</v>
      </c>
      <c r="L193" s="18">
        <f t="shared" si="18"/>
        <v>14700</v>
      </c>
      <c r="M193" s="18">
        <f t="shared" si="19"/>
        <v>25000</v>
      </c>
      <c r="N193" s="18">
        <f t="shared" si="20"/>
        <v>14700</v>
      </c>
      <c r="O193" s="18">
        <f t="shared" si="21"/>
        <v>72100</v>
      </c>
      <c r="P193" s="17">
        <f t="shared" si="22"/>
        <v>7.00291262135922</v>
      </c>
      <c r="Q193" s="17">
        <f t="shared" si="23"/>
        <v>210</v>
      </c>
      <c r="R193" s="19" t="str">
        <f ca="1">IF(A193="","",IF(COUNTIF(_TradeIds,A193)=0,"违规：交易编号不存在",IF(OR(B193="",B193&lt;1,B193&gt;5,B193&lt;&gt;INT(B193)),"违规：加仓序号须为1到5的整数",IF(COUNTIFS($A$2:$A$1001,A193,$B$2:$B$1001,B193)&gt;1,"违规：同一交易的加仓序号重复",IF(OR(D193="",E193="",F193=""),"计划不完整：请填写加仓价、新止损价和风险预算",IF(OR(D193&lt;=0,E193&lt;=0,F193&lt;=0,D193&lt;=E193),"违规：加仓价必须高于新止损价，金额须大于0",IF(AND(B193&gt;1,COUNTIFS($A$2:$A$1001,A193,$B$2:$B$1001,B193-1,$G$2:$G$1001,"&gt;0")=0),"违规：须先完成上一次加仓",IF(AND(B193&gt;1,E193&lt;SUMIFS($E$2:$E$1001,$A$2:$A$1001,A193,$B$2:$B$1001,B193-1)),"违规：新止损价不得低于上一次",IF(AND(B193&gt;1,F193&gt;SUMIFS($F$2:$F$1001,$A$2:$A$1001,A193,$B$2:$B$1001,B193-1)),"违规：风险预算须逐次不增加",IF(OR(_LockStatus="已锁仓",_LockStatus="解锁信息不完整"),"违规：锁仓期间禁止加仓",IF(G193="","计划可执行：建议股数见N列",IF(OR(G193&lt;=0,G193&lt;&gt;INT(G193),MOD(G193,100)&lt;&gt;0),"违规：实际股数须为100股整数倍",IF(G193&gt;N193,"违规：实际股数超过风险或金字塔上限",IF(AND(B193&gt;1,G193&gt;SUMIFS($G$2:$G$1001,$A$2:$A$1001,A193,$B$2:$B$1001,B193-1)),"违规：加仓股数须逐次不增加",IF(Q193&gt;F193,"违规：止损风险超过本次预算","通过")))))))))))))))</f>
        <v>违规：实际股数超过风险或金字塔上限</v>
      </c>
    </row>
    <row r="194" ht="17" spans="1:18">
      <c r="A194" s="13">
        <v>92</v>
      </c>
      <c r="B194" s="14">
        <v>3</v>
      </c>
      <c r="C194" s="15">
        <v>43521</v>
      </c>
      <c r="D194" s="16">
        <v>7.97</v>
      </c>
      <c r="E194" s="16">
        <v>7.2</v>
      </c>
      <c r="F194" s="16">
        <v>1</v>
      </c>
      <c r="G194" s="14">
        <v>15000</v>
      </c>
      <c r="H194" s="17">
        <f t="shared" ref="H194:H257" si="24">IF(OR(A194="",D194="",G194=""),"",D194*G194)</f>
        <v>119550</v>
      </c>
      <c r="I194" s="18">
        <f>IF(OR(A194="",B194=""),"",IFERROR(LOOKUP(2,1/(单次交易!$A$2:$A$201=A194),单次交易!$H$2:$H$201),0)+SUMIFS($G$2:$G$1001,$A$2:$A$1001,A194,$B$2:$B$1001,"&lt;"&amp;B194))</f>
        <v>72100</v>
      </c>
      <c r="J194" s="17">
        <f>IF(OR(A194="",B194=""),"",IFERROR(LOOKUP(2,1/(单次交易!$A$2:$A$201=A194),单次交易!$E$2:$E$201)*LOOKUP(2,1/(单次交易!$A$2:$A$201=A194),单次交易!$H$2:$H$201),0)+SUMIFS($H$2:$H$1001,$A$2:$A$1001,A194,$B$2:$B$1001,"&lt;"&amp;B194))</f>
        <v>504910</v>
      </c>
      <c r="K194" s="17">
        <f t="shared" ref="K194:K257" si="25">IF(OR(E194="",I194="",J194=""),"",MAX(E194*I194-J194,0))</f>
        <v>14210</v>
      </c>
      <c r="L194" s="18">
        <f t="shared" ref="L194:L257" si="26">IF(OR(D194="",E194="",F194="",D194&lt;=E194),"",FLOOR((F194+K194)/(D194-E194),100))</f>
        <v>18400</v>
      </c>
      <c r="M194" s="18">
        <f t="shared" ref="M194:M257" si="27">IF(OR(A194="",B194="",L194=""),"",IF(B194=1,L194,IFERROR(SUMIFS($G$2:$G$1001,$A$2:$A$1001,A194,$B$2:$B$1001,B194-1),0)))</f>
        <v>15000</v>
      </c>
      <c r="N194" s="18">
        <f t="shared" ref="N194:N257" si="28">IF(OR(L194="",M194=""),"",MIN(L194,M194))</f>
        <v>15000</v>
      </c>
      <c r="O194" s="18">
        <f t="shared" ref="O194:O257" si="29">IF(OR(I194="",G194=""),"",I194+G194)</f>
        <v>87100</v>
      </c>
      <c r="P194" s="17">
        <f t="shared" ref="P194:P257" si="30">IF(OR(O194="",O194=0),"",(J194+H194)/O194)</f>
        <v>7.16946039035591</v>
      </c>
      <c r="Q194" s="17">
        <f t="shared" ref="Q194:Q257" si="31">IF(OR(O194="",E194=""),"",MAX(J194+H194-E194*O194,0))</f>
        <v>0</v>
      </c>
      <c r="R194" s="19" t="str">
        <f ca="1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>通过</v>
      </c>
    </row>
    <row r="195" ht="17" spans="1:18">
      <c r="A195" s="13">
        <v>92</v>
      </c>
      <c r="B195" s="14">
        <v>4</v>
      </c>
      <c r="C195" s="15">
        <v>43525</v>
      </c>
      <c r="D195" s="16">
        <v>8.22</v>
      </c>
      <c r="E195" s="16">
        <v>7.5</v>
      </c>
      <c r="F195" s="16">
        <v>1</v>
      </c>
      <c r="G195" s="14">
        <v>15000</v>
      </c>
      <c r="H195" s="17">
        <f t="shared" si="24"/>
        <v>123300</v>
      </c>
      <c r="I195" s="18">
        <f>IF(OR(A195="",B195=""),"",IFERROR(LOOKUP(2,1/(单次交易!$A$2:$A$201=A195),单次交易!$H$2:$H$201),0)+SUMIFS($G$2:$G$1001,$A$2:$A$1001,A195,$B$2:$B$1001,"&lt;"&amp;B195))</f>
        <v>87100</v>
      </c>
      <c r="J195" s="17">
        <f>IF(OR(A195="",B195=""),"",IFERROR(LOOKUP(2,1/(单次交易!$A$2:$A$201=A195),单次交易!$E$2:$E$201)*LOOKUP(2,1/(单次交易!$A$2:$A$201=A195),单次交易!$H$2:$H$201),0)+SUMIFS($H$2:$H$1001,$A$2:$A$1001,A195,$B$2:$B$1001,"&lt;"&amp;B195))</f>
        <v>624460</v>
      </c>
      <c r="K195" s="17">
        <f t="shared" si="25"/>
        <v>28790</v>
      </c>
      <c r="L195" s="18">
        <f t="shared" si="26"/>
        <v>39900</v>
      </c>
      <c r="M195" s="18">
        <f t="shared" si="27"/>
        <v>15000</v>
      </c>
      <c r="N195" s="18">
        <f t="shared" si="28"/>
        <v>15000</v>
      </c>
      <c r="O195" s="18">
        <f t="shared" si="29"/>
        <v>102100</v>
      </c>
      <c r="P195" s="17">
        <f t="shared" si="30"/>
        <v>7.32380019588639</v>
      </c>
      <c r="Q195" s="17">
        <f t="shared" si="31"/>
        <v>0</v>
      </c>
      <c r="R195" s="19" t="str">
        <f ca="1">IF(A195="","",IF(COUNTIF(_TradeIds,A195)=0,"违规：交易编号不存在",IF(OR(B195="",B195&lt;1,B195&gt;5,B195&lt;&gt;INT(B195)),"违规：加仓序号须为1到5的整数",IF(COUNTIFS($A$2:$A$1001,A195,$B$2:$B$1001,B195)&gt;1,"违规：同一交易的加仓序号重复",IF(OR(D195="",E195="",F195=""),"计划不完整：请填写加仓价、新止损价和风险预算",IF(OR(D195&lt;=0,E195&lt;=0,F195&lt;=0,D195&lt;=E195),"违规：加仓价必须高于新止损价，金额须大于0",IF(AND(B195&gt;1,COUNTIFS($A$2:$A$1001,A195,$B$2:$B$1001,B195-1,$G$2:$G$1001,"&gt;0")=0),"违规：须先完成上一次加仓",IF(AND(B195&gt;1,E195&lt;SUMIFS($E$2:$E$1001,$A$2:$A$1001,A195,$B$2:$B$1001,B195-1)),"违规：新止损价不得低于上一次",IF(AND(B195&gt;1,F195&gt;SUMIFS($F$2:$F$1001,$A$2:$A$1001,A195,$B$2:$B$1001,B195-1)),"违规：风险预算须逐次不增加",IF(OR(_LockStatus="已锁仓",_LockStatus="解锁信息不完整"),"违规：锁仓期间禁止加仓",IF(G195="","计划可执行：建议股数见N列",IF(OR(G195&lt;=0,G195&lt;&gt;INT(G195),MOD(G195,100)&lt;&gt;0),"违规：实际股数须为100股整数倍",IF(G195&gt;N195,"违规：实际股数超过风险或金字塔上限",IF(AND(B195&gt;1,G195&gt;SUMIFS($G$2:$G$1001,$A$2:$A$1001,A195,$B$2:$B$1001,B195-1)),"违规：加仓股数须逐次不增加",IF(Q195&gt;F195,"违规：止损风险超过本次预算","通过")))))))))))))))</f>
        <v>通过</v>
      </c>
    </row>
    <row r="196" ht="17" spans="1:18">
      <c r="A196" s="13">
        <v>92</v>
      </c>
      <c r="B196" s="14">
        <v>5</v>
      </c>
      <c r="C196" s="15">
        <v>43482</v>
      </c>
      <c r="D196" s="16">
        <v>8.84</v>
      </c>
      <c r="E196" s="16">
        <v>8</v>
      </c>
      <c r="F196" s="16">
        <v>1</v>
      </c>
      <c r="G196" s="14">
        <v>10000</v>
      </c>
      <c r="H196" s="17">
        <f t="shared" si="24"/>
        <v>88400</v>
      </c>
      <c r="I196" s="18">
        <f>IF(OR(A196="",B196=""),"",IFERROR(LOOKUP(2,1/(单次交易!$A$2:$A$201=A196),单次交易!$H$2:$H$201),0)+SUMIFS($G$2:$G$1001,$A$2:$A$1001,A196,$B$2:$B$1001,"&lt;"&amp;B196))</f>
        <v>102100</v>
      </c>
      <c r="J196" s="17">
        <f>IF(OR(A196="",B196=""),"",IFERROR(LOOKUP(2,1/(单次交易!$A$2:$A$201=A196),单次交易!$E$2:$E$201)*LOOKUP(2,1/(单次交易!$A$2:$A$201=A196),单次交易!$H$2:$H$201),0)+SUMIFS($H$2:$H$1001,$A$2:$A$1001,A196,$B$2:$B$1001,"&lt;"&amp;B196))</f>
        <v>747760</v>
      </c>
      <c r="K196" s="17">
        <f t="shared" si="25"/>
        <v>69040</v>
      </c>
      <c r="L196" s="18">
        <f t="shared" si="26"/>
        <v>82100</v>
      </c>
      <c r="M196" s="18">
        <f t="shared" si="27"/>
        <v>15000</v>
      </c>
      <c r="N196" s="18">
        <f t="shared" si="28"/>
        <v>15000</v>
      </c>
      <c r="O196" s="18">
        <f t="shared" si="29"/>
        <v>112100</v>
      </c>
      <c r="P196" s="17">
        <f t="shared" si="30"/>
        <v>7.45905441570027</v>
      </c>
      <c r="Q196" s="17">
        <f t="shared" si="31"/>
        <v>0</v>
      </c>
      <c r="R196" s="19" t="str">
        <f ca="1">IF(A196="","",IF(COUNTIF(_TradeIds,A196)=0,"违规：交易编号不存在",IF(OR(B196="",B196&lt;1,B196&gt;5,B196&lt;&gt;INT(B196)),"违规：加仓序号须为1到5的整数",IF(COUNTIFS($A$2:$A$1001,A196,$B$2:$B$1001,B196)&gt;1,"违规：同一交易的加仓序号重复",IF(OR(D196="",E196="",F196=""),"计划不完整：请填写加仓价、新止损价和风险预算",IF(OR(D196&lt;=0,E196&lt;=0,F196&lt;=0,D196&lt;=E196),"违规：加仓价必须高于新止损价，金额须大于0",IF(AND(B196&gt;1,COUNTIFS($A$2:$A$1001,A196,$B$2:$B$1001,B196-1,$G$2:$G$1001,"&gt;0")=0),"违规：须先完成上一次加仓",IF(AND(B196&gt;1,E196&lt;SUMIFS($E$2:$E$1001,$A$2:$A$1001,A196,$B$2:$B$1001,B196-1)),"违规：新止损价不得低于上一次",IF(AND(B196&gt;1,F196&gt;SUMIFS($F$2:$F$1001,$A$2:$A$1001,A196,$B$2:$B$1001,B196-1)),"违规：风险预算须逐次不增加",IF(OR(_LockStatus="已锁仓",_LockStatus="解锁信息不完整"),"违规：锁仓期间禁止加仓",IF(G196="","计划可执行：建议股数见N列",IF(OR(G196&lt;=0,G196&lt;&gt;INT(G196),MOD(G196,100)&lt;&gt;0),"违规：实际股数须为100股整数倍",IF(G196&gt;N196,"违规：实际股数超过风险或金字塔上限",IF(AND(B196&gt;1,G196&gt;SUMIFS($G$2:$G$1001,$A$2:$A$1001,A196,$B$2:$B$1001,B196-1)),"违规：加仓股数须逐次不增加",IF(Q196&gt;F196,"违规：止损风险超过本次预算","通过")))))))))))))))</f>
        <v>通过</v>
      </c>
    </row>
    <row r="197" ht="17" spans="1:18">
      <c r="A197" s="13">
        <v>96</v>
      </c>
      <c r="B197" s="14">
        <v>1</v>
      </c>
      <c r="C197" s="15">
        <v>43788</v>
      </c>
      <c r="D197" s="16">
        <v>16.02</v>
      </c>
      <c r="E197" s="16">
        <v>15</v>
      </c>
      <c r="F197" s="16">
        <v>1</v>
      </c>
      <c r="G197" s="14">
        <v>10000</v>
      </c>
      <c r="H197" s="17">
        <f t="shared" si="24"/>
        <v>160200</v>
      </c>
      <c r="I197" s="18">
        <f>IF(OR(A197="",B197=""),"",IFERROR(LOOKUP(2,1/(单次交易!$A$2:$A$201=A197),单次交易!$H$2:$H$201),0)+SUMIFS($G$2:$G$1001,$A$2:$A$1001,A197,$B$2:$B$1001,"&lt;"&amp;B197))</f>
        <v>15300</v>
      </c>
      <c r="J197" s="17">
        <f>IF(OR(A197="",B197=""),"",IFERROR(LOOKUP(2,1/(单次交易!$A$2:$A$201=A197),单次交易!$E$2:$E$201)*LOOKUP(2,1/(单次交易!$A$2:$A$201=A197),单次交易!$H$2:$H$201),0)+SUMIFS($H$2:$H$1001,$A$2:$A$1001,A197,$B$2:$B$1001,"&lt;"&amp;B197))</f>
        <v>220167</v>
      </c>
      <c r="K197" s="17">
        <f t="shared" si="25"/>
        <v>9333</v>
      </c>
      <c r="L197" s="18">
        <f t="shared" si="26"/>
        <v>9100</v>
      </c>
      <c r="M197" s="18">
        <f t="shared" si="27"/>
        <v>9100</v>
      </c>
      <c r="N197" s="18">
        <f t="shared" si="28"/>
        <v>9100</v>
      </c>
      <c r="O197" s="18">
        <f t="shared" si="29"/>
        <v>25300</v>
      </c>
      <c r="P197" s="17">
        <f t="shared" si="30"/>
        <v>15.0342687747036</v>
      </c>
      <c r="Q197" s="17">
        <f t="shared" si="31"/>
        <v>867</v>
      </c>
      <c r="R197" s="19" t="str">
        <f ca="1">IF(A197="","",IF(COUNTIF(_TradeIds,A197)=0,"违规：交易编号不存在",IF(OR(B197="",B197&lt;1,B197&gt;5,B197&lt;&gt;INT(B197)),"违规：加仓序号须为1到5的整数",IF(COUNTIFS($A$2:$A$1001,A197,$B$2:$B$1001,B197)&gt;1,"违规：同一交易的加仓序号重复",IF(OR(D197="",E197="",F197=""),"计划不完整：请填写加仓价、新止损价和风险预算",IF(OR(D197&lt;=0,E197&lt;=0,F197&lt;=0,D197&lt;=E197),"违规：加仓价必须高于新止损价，金额须大于0",IF(AND(B197&gt;1,COUNTIFS($A$2:$A$1001,A197,$B$2:$B$1001,B197-1,$G$2:$G$1001,"&gt;0")=0),"违规：须先完成上一次加仓",IF(AND(B197&gt;1,E197&lt;SUMIFS($E$2:$E$1001,$A$2:$A$1001,A197,$B$2:$B$1001,B197-1)),"违规：新止损价不得低于上一次",IF(AND(B197&gt;1,F197&gt;SUMIFS($F$2:$F$1001,$A$2:$A$1001,A197,$B$2:$B$1001,B197-1)),"违规：风险预算须逐次不增加",IF(OR(_LockStatus="已锁仓",_LockStatus="解锁信息不完整"),"违规：锁仓期间禁止加仓",IF(G197="","计划可执行：建议股数见N列",IF(OR(G197&lt;=0,G197&lt;&gt;INT(G197),MOD(G197,100)&lt;&gt;0),"违规：实际股数须为100股整数倍",IF(G197&gt;N197,"违规：实际股数超过风险或金字塔上限",IF(AND(B197&gt;1,G197&gt;SUMIFS($G$2:$G$1001,$A$2:$A$1001,A197,$B$2:$B$1001,B197-1)),"违规：加仓股数须逐次不增加",IF(Q197&gt;F197,"违规：止损风险超过本次预算","通过")))))))))))))))</f>
        <v>违规：实际股数超过风险或金字塔上限</v>
      </c>
    </row>
    <row r="198" ht="17" spans="1:18">
      <c r="A198" s="13">
        <v>98</v>
      </c>
      <c r="B198" s="14">
        <v>1</v>
      </c>
      <c r="C198" s="15">
        <v>43980</v>
      </c>
      <c r="D198" s="16">
        <v>17.18</v>
      </c>
      <c r="E198" s="16">
        <v>16</v>
      </c>
      <c r="F198" s="16">
        <v>1</v>
      </c>
      <c r="G198" s="14">
        <v>10000</v>
      </c>
      <c r="H198" s="17">
        <f t="shared" si="24"/>
        <v>171800</v>
      </c>
      <c r="I198" s="18">
        <f>IF(OR(A198="",B198=""),"",IFERROR(LOOKUP(2,1/(单次交易!$A$2:$A$201=A198),单次交易!$H$2:$H$201),0)+SUMIFS($G$2:$G$1001,$A$2:$A$1001,A198,$B$2:$B$1001,"&lt;"&amp;B198))</f>
        <v>17400</v>
      </c>
      <c r="J198" s="17">
        <f>IF(OR(A198="",B198=""),"",IFERROR(LOOKUP(2,1/(单次交易!$A$2:$A$201=A198),单次交易!$E$2:$E$201)*LOOKUP(2,1/(单次交易!$A$2:$A$201=A198),单次交易!$H$2:$H$201),0)+SUMIFS($H$2:$H$1001,$A$2:$A$1001,A198,$B$2:$B$1001,"&lt;"&amp;B198))</f>
        <v>282054</v>
      </c>
      <c r="K198" s="17">
        <f t="shared" si="25"/>
        <v>0</v>
      </c>
      <c r="L198" s="18">
        <f t="shared" si="26"/>
        <v>0</v>
      </c>
      <c r="M198" s="18">
        <f t="shared" si="27"/>
        <v>0</v>
      </c>
      <c r="N198" s="18">
        <f t="shared" si="28"/>
        <v>0</v>
      </c>
      <c r="O198" s="18">
        <f t="shared" si="29"/>
        <v>27400</v>
      </c>
      <c r="P198" s="17">
        <f t="shared" si="30"/>
        <v>16.5640145985401</v>
      </c>
      <c r="Q198" s="17">
        <f t="shared" si="31"/>
        <v>15454</v>
      </c>
      <c r="R198" s="19" t="str">
        <f ca="1">IF(A198="","",IF(COUNTIF(_TradeIds,A198)=0,"违规：交易编号不存在",IF(OR(B198="",B198&lt;1,B198&gt;5,B198&lt;&gt;INT(B198)),"违规：加仓序号须为1到5的整数",IF(COUNTIFS($A$2:$A$1001,A198,$B$2:$B$1001,B198)&gt;1,"违规：同一交易的加仓序号重复",IF(OR(D198="",E198="",F198=""),"计划不完整：请填写加仓价、新止损价和风险预算",IF(OR(D198&lt;=0,E198&lt;=0,F198&lt;=0,D198&lt;=E198),"违规：加仓价必须高于新止损价，金额须大于0",IF(AND(B198&gt;1,COUNTIFS($A$2:$A$1001,A198,$B$2:$B$1001,B198-1,$G$2:$G$1001,"&gt;0")=0),"违规：须先完成上一次加仓",IF(AND(B198&gt;1,E198&lt;SUMIFS($E$2:$E$1001,$A$2:$A$1001,A198,$B$2:$B$1001,B198-1)),"违规：新止损价不得低于上一次",IF(AND(B198&gt;1,F198&gt;SUMIFS($F$2:$F$1001,$A$2:$A$1001,A198,$B$2:$B$1001,B198-1)),"违规：风险预算须逐次不增加",IF(OR(_LockStatus="已锁仓",_LockStatus="解锁信息不完整"),"违规：锁仓期间禁止加仓",IF(G198="","计划可执行：建议股数见N列",IF(OR(G198&lt;=0,G198&lt;&gt;INT(G198),MOD(G198,100)&lt;&gt;0),"违规：实际股数须为100股整数倍",IF(G198&gt;N198,"违规：实际股数超过风险或金字塔上限",IF(AND(B198&gt;1,G198&gt;SUMIFS($G$2:$G$1001,$A$2:$A$1001,A198,$B$2:$B$1001,B198-1)),"违规：加仓股数须逐次不增加",IF(Q198&gt;F198,"违规：止损风险超过本次预算","通过")))))))))))))))</f>
        <v>违规：实际股数超过风险或金字塔上限</v>
      </c>
    </row>
    <row r="199" ht="17" spans="1:18">
      <c r="A199" s="13">
        <v>98</v>
      </c>
      <c r="B199" s="14">
        <v>2</v>
      </c>
      <c r="C199" s="15">
        <v>43992</v>
      </c>
      <c r="D199" s="16">
        <v>18.38</v>
      </c>
      <c r="E199" s="16">
        <v>17.18</v>
      </c>
      <c r="F199" s="16">
        <v>1</v>
      </c>
      <c r="G199" s="14">
        <v>10000</v>
      </c>
      <c r="H199" s="17">
        <f t="shared" si="24"/>
        <v>183800</v>
      </c>
      <c r="I199" s="18">
        <f>IF(OR(A199="",B199=""),"",IFERROR(LOOKUP(2,1/(单次交易!$A$2:$A$201=A199),单次交易!$H$2:$H$201),0)+SUMIFS($G$2:$G$1001,$A$2:$A$1001,A199,$B$2:$B$1001,"&lt;"&amp;B199))</f>
        <v>27400</v>
      </c>
      <c r="J199" s="17">
        <f>IF(OR(A199="",B199=""),"",IFERROR(LOOKUP(2,1/(单次交易!$A$2:$A$201=A199),单次交易!$E$2:$E$201)*LOOKUP(2,1/(单次交易!$A$2:$A$201=A199),单次交易!$H$2:$H$201),0)+SUMIFS($H$2:$H$1001,$A$2:$A$1001,A199,$B$2:$B$1001,"&lt;"&amp;B199))</f>
        <v>453854</v>
      </c>
      <c r="K199" s="17">
        <f t="shared" si="25"/>
        <v>16878</v>
      </c>
      <c r="L199" s="18">
        <f t="shared" si="26"/>
        <v>14000</v>
      </c>
      <c r="M199" s="18">
        <f t="shared" si="27"/>
        <v>10000</v>
      </c>
      <c r="N199" s="18">
        <f t="shared" si="28"/>
        <v>10000</v>
      </c>
      <c r="O199" s="18">
        <f t="shared" si="29"/>
        <v>37400</v>
      </c>
      <c r="P199" s="17">
        <f t="shared" si="30"/>
        <v>17.0495721925134</v>
      </c>
      <c r="Q199" s="17">
        <f t="shared" si="31"/>
        <v>0</v>
      </c>
      <c r="R199" s="19" t="str">
        <f ca="1">IF(A199="","",IF(COUNTIF(_TradeIds,A199)=0,"违规：交易编号不存在",IF(OR(B199="",B199&lt;1,B199&gt;5,B199&lt;&gt;INT(B199)),"违规：加仓序号须为1到5的整数",IF(COUNTIFS($A$2:$A$1001,A199,$B$2:$B$1001,B199)&gt;1,"违规：同一交易的加仓序号重复",IF(OR(D199="",E199="",F199=""),"计划不完整：请填写加仓价、新止损价和风险预算",IF(OR(D199&lt;=0,E199&lt;=0,F199&lt;=0,D199&lt;=E199),"违规：加仓价必须高于新止损价，金额须大于0",IF(AND(B199&gt;1,COUNTIFS($A$2:$A$1001,A199,$B$2:$B$1001,B199-1,$G$2:$G$1001,"&gt;0")=0),"违规：须先完成上一次加仓",IF(AND(B199&gt;1,E199&lt;SUMIFS($E$2:$E$1001,$A$2:$A$1001,A199,$B$2:$B$1001,B199-1)),"违规：新止损价不得低于上一次",IF(AND(B199&gt;1,F199&gt;SUMIFS($F$2:$F$1001,$A$2:$A$1001,A199,$B$2:$B$1001,B199-1)),"违规：风险预算须逐次不增加",IF(OR(_LockStatus="已锁仓",_LockStatus="解锁信息不完整"),"违规：锁仓期间禁止加仓",IF(G199="","计划可执行：建议股数见N列",IF(OR(G199&lt;=0,G199&lt;&gt;INT(G199),MOD(G199,100)&lt;&gt;0),"违规：实际股数须为100股整数倍",IF(G199&gt;N199,"违规：实际股数超过风险或金字塔上限",IF(AND(B199&gt;1,G199&gt;SUMIFS($G$2:$G$1001,$A$2:$A$1001,A199,$B$2:$B$1001,B199-1)),"违规：加仓股数须逐次不增加",IF(Q199&gt;F199,"违规：止损风险超过本次预算","通过")))))))))))))))</f>
        <v>通过</v>
      </c>
    </row>
    <row r="200" ht="17" spans="1:18">
      <c r="A200" s="13">
        <v>98</v>
      </c>
      <c r="B200" s="14">
        <v>3</v>
      </c>
      <c r="C200" s="15">
        <v>44000</v>
      </c>
      <c r="D200" s="16">
        <v>19.49</v>
      </c>
      <c r="E200" s="16">
        <v>18.38</v>
      </c>
      <c r="F200" s="16">
        <v>1</v>
      </c>
      <c r="G200" s="14"/>
      <c r="H200" s="17" t="str">
        <f t="shared" si="24"/>
        <v/>
      </c>
      <c r="I200" s="18">
        <f>IF(OR(A200="",B200=""),"",IFERROR(LOOKUP(2,1/(单次交易!$A$2:$A$201=A200),单次交易!$H$2:$H$201),0)+SUMIFS($G$2:$G$1001,$A$2:$A$1001,A200,$B$2:$B$1001,"&lt;"&amp;B200))</f>
        <v>37400</v>
      </c>
      <c r="J200" s="17">
        <f>IF(OR(A200="",B200=""),"",IFERROR(LOOKUP(2,1/(单次交易!$A$2:$A$201=A200),单次交易!$E$2:$E$201)*LOOKUP(2,1/(单次交易!$A$2:$A$201=A200),单次交易!$H$2:$H$201),0)+SUMIFS($H$2:$H$1001,$A$2:$A$1001,A200,$B$2:$B$1001,"&lt;"&amp;B200))</f>
        <v>637654</v>
      </c>
      <c r="K200" s="17">
        <f t="shared" si="25"/>
        <v>49758</v>
      </c>
      <c r="L200" s="18">
        <f t="shared" si="26"/>
        <v>44800</v>
      </c>
      <c r="M200" s="18">
        <f t="shared" si="27"/>
        <v>10000</v>
      </c>
      <c r="N200" s="18">
        <f t="shared" si="28"/>
        <v>10000</v>
      </c>
      <c r="O200" s="18" t="str">
        <f t="shared" si="29"/>
        <v/>
      </c>
      <c r="P200" s="17" t="str">
        <f t="shared" si="30"/>
        <v/>
      </c>
      <c r="Q200" s="17" t="str">
        <f t="shared" si="31"/>
        <v/>
      </c>
      <c r="R200" s="19" t="str">
        <f ca="1">IF(A200="","",IF(COUNTIF(_TradeIds,A200)=0,"违规：交易编号不存在",IF(OR(B200="",B200&lt;1,B200&gt;5,B200&lt;&gt;INT(B200)),"违规：加仓序号须为1到5的整数",IF(COUNTIFS($A$2:$A$1001,A200,$B$2:$B$1001,B200)&gt;1,"违规：同一交易的加仓序号重复",IF(OR(D200="",E200="",F200=""),"计划不完整：请填写加仓价、新止损价和风险预算",IF(OR(D200&lt;=0,E200&lt;=0,F200&lt;=0,D200&lt;=E200),"违规：加仓价必须高于新止损价，金额须大于0",IF(AND(B200&gt;1,COUNTIFS($A$2:$A$1001,A200,$B$2:$B$1001,B200-1,$G$2:$G$1001,"&gt;0")=0),"违规：须先完成上一次加仓",IF(AND(B200&gt;1,E200&lt;SUMIFS($E$2:$E$1001,$A$2:$A$1001,A200,$B$2:$B$1001,B200-1)),"违规：新止损价不得低于上一次",IF(AND(B200&gt;1,F200&gt;SUMIFS($F$2:$F$1001,$A$2:$A$1001,A200,$B$2:$B$1001,B200-1)),"违规：风险预算须逐次不增加",IF(OR(_LockStatus="已锁仓",_LockStatus="解锁信息不完整"),"违规：锁仓期间禁止加仓",IF(G200="","计划可执行：建议股数见N列",IF(OR(G200&lt;=0,G200&lt;&gt;INT(G200),MOD(G200,100)&lt;&gt;0),"违规：实际股数须为100股整数倍",IF(G200&gt;N200,"违规：实际股数超过风险或金字塔上限",IF(AND(B200&gt;1,G200&gt;SUMIFS($G$2:$G$1001,$A$2:$A$1001,A200,$B$2:$B$1001,B200-1)),"违规：加仓股数须逐次不增加",IF(Q200&gt;F200,"违规：止损风险超过本次预算","通过")))))))))))))))</f>
        <v>计划可执行：建议股数见N列</v>
      </c>
    </row>
    <row r="201" ht="17" spans="1:18">
      <c r="A201" s="13"/>
      <c r="B201" s="14"/>
      <c r="C201" s="15"/>
      <c r="D201" s="16"/>
      <c r="E201" s="16"/>
      <c r="F201" s="16"/>
      <c r="G201" s="14"/>
      <c r="H201" s="17" t="str">
        <f t="shared" si="24"/>
        <v/>
      </c>
      <c r="I201" s="18" t="str">
        <f>IF(OR(A201="",B201=""),"",IFERROR(LOOKUP(2,1/(单次交易!$A$2:$A$201=A201),单次交易!$H$2:$H$201),0)+SUMIFS($G$2:$G$1001,$A$2:$A$1001,A201,$B$2:$B$1001,"&lt;"&amp;B201))</f>
        <v/>
      </c>
      <c r="J201" s="17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17" t="str">
        <f t="shared" si="25"/>
        <v/>
      </c>
      <c r="L201" s="18" t="str">
        <f t="shared" si="26"/>
        <v/>
      </c>
      <c r="M201" s="18" t="str">
        <f t="shared" si="27"/>
        <v/>
      </c>
      <c r="N201" s="18" t="str">
        <f t="shared" si="28"/>
        <v/>
      </c>
      <c r="O201" s="18" t="str">
        <f t="shared" si="29"/>
        <v/>
      </c>
      <c r="P201" s="17" t="str">
        <f t="shared" si="30"/>
        <v/>
      </c>
      <c r="Q201" s="17" t="str">
        <f t="shared" si="31"/>
        <v/>
      </c>
      <c r="R201" s="19" t="str">
        <f ca="1">IF(A201="","",IF(COUNTIF(_TradeIds,A201)=0,"违规：交易编号不存在",IF(OR(B201="",B201&lt;1,B201&gt;5,B201&lt;&gt;INT(B201)),"违规：加仓序号须为1到5的整数",IF(COUNTIFS($A$2:$A$1001,A201,$B$2:$B$1001,B201)&gt;1,"违规：同一交易的加仓序号重复",IF(OR(D201="",E201="",F201=""),"计划不完整：请填写加仓价、新止损价和风险预算",IF(OR(D201&lt;=0,E201&lt;=0,F201&lt;=0,D201&lt;=E201),"违规：加仓价必须高于新止损价，金额须大于0",IF(AND(B201&gt;1,COUNTIFS($A$2:$A$1001,A201,$B$2:$B$1001,B201-1,$G$2:$G$1001,"&gt;0")=0),"违规：须先完成上一次加仓",IF(AND(B201&gt;1,E201&lt;SUMIFS($E$2:$E$1001,$A$2:$A$1001,A201,$B$2:$B$1001,B201-1)),"违规：新止损价不得低于上一次",IF(AND(B201&gt;1,F201&gt;SUMIFS($F$2:$F$1001,$A$2:$A$1001,A201,$B$2:$B$1001,B201-1)),"违规：风险预算须逐次不增加",IF(OR(_LockStatus="已锁仓",_LockStatus="解锁信息不完整"),"违规：锁仓期间禁止加仓",IF(G201="","计划可执行：建议股数见N列",IF(OR(G201&lt;=0,G201&lt;&gt;INT(G201),MOD(G201,100)&lt;&gt;0),"违规：实际股数须为100股整数倍",IF(G201&gt;N201,"违规：实际股数超过风险或金字塔上限",IF(AND(B201&gt;1,G201&gt;SUMIFS($G$2:$G$1001,$A$2:$A$1001,A201,$B$2:$B$1001,B201-1)),"违规：加仓股数须逐次不增加",IF(Q201&gt;F201,"违规：止损风险超过本次预算","通过")))))))))))))))</f>
        <v/>
      </c>
    </row>
    <row r="202" ht="17" spans="1:18">
      <c r="A202" s="13"/>
      <c r="B202" s="14"/>
      <c r="C202" s="15"/>
      <c r="D202" s="16"/>
      <c r="E202" s="16"/>
      <c r="F202" s="16"/>
      <c r="G202" s="14"/>
      <c r="H202" s="17" t="str">
        <f t="shared" si="24"/>
        <v/>
      </c>
      <c r="I202" s="18" t="str">
        <f>IF(OR(A202="",B202=""),"",IFERROR(LOOKUP(2,1/(单次交易!$A$2:$A$201=A202),单次交易!$H$2:$H$201),0)+SUMIFS($G$2:$G$1001,$A$2:$A$1001,A202,$B$2:$B$1001,"&lt;"&amp;B202))</f>
        <v/>
      </c>
      <c r="J202" s="17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17" t="str">
        <f t="shared" si="25"/>
        <v/>
      </c>
      <c r="L202" s="18" t="str">
        <f t="shared" si="26"/>
        <v/>
      </c>
      <c r="M202" s="18" t="str">
        <f t="shared" si="27"/>
        <v/>
      </c>
      <c r="N202" s="18" t="str">
        <f t="shared" si="28"/>
        <v/>
      </c>
      <c r="O202" s="18" t="str">
        <f t="shared" si="29"/>
        <v/>
      </c>
      <c r="P202" s="17" t="str">
        <f t="shared" si="30"/>
        <v/>
      </c>
      <c r="Q202" s="17" t="str">
        <f t="shared" si="31"/>
        <v/>
      </c>
      <c r="R202" s="19" t="str">
        <f ca="1">IF(A202="","",IF(COUNTIF(_TradeIds,A202)=0,"违规：交易编号不存在",IF(OR(B202="",B202&lt;1,B202&gt;5,B202&lt;&gt;INT(B202)),"违规：加仓序号须为1到5的整数",IF(COUNTIFS($A$2:$A$1001,A202,$B$2:$B$1001,B202)&gt;1,"违规：同一交易的加仓序号重复",IF(OR(D202="",E202="",F202=""),"计划不完整：请填写加仓价、新止损价和风险预算",IF(OR(D202&lt;=0,E202&lt;=0,F202&lt;=0,D202&lt;=E202),"违规：加仓价必须高于新止损价，金额须大于0",IF(AND(B202&gt;1,COUNTIFS($A$2:$A$1001,A202,$B$2:$B$1001,B202-1,$G$2:$G$1001,"&gt;0")=0),"违规：须先完成上一次加仓",IF(AND(B202&gt;1,E202&lt;SUMIFS($E$2:$E$1001,$A$2:$A$1001,A202,$B$2:$B$1001,B202-1)),"违规：新止损价不得低于上一次",IF(AND(B202&gt;1,F202&gt;SUMIFS($F$2:$F$1001,$A$2:$A$1001,A202,$B$2:$B$1001,B202-1)),"违规：风险预算须逐次不增加",IF(OR(_LockStatus="已锁仓",_LockStatus="解锁信息不完整"),"违规：锁仓期间禁止加仓",IF(G202="","计划可执行：建议股数见N列",IF(OR(G202&lt;=0,G202&lt;&gt;INT(G202),MOD(G202,100)&lt;&gt;0),"违规：实际股数须为100股整数倍",IF(G202&gt;N202,"违规：实际股数超过风险或金字塔上限",IF(AND(B202&gt;1,G202&gt;SUMIFS($G$2:$G$1001,$A$2:$A$1001,A202,$B$2:$B$1001,B202-1)),"违规：加仓股数须逐次不增加",IF(Q202&gt;F202,"违规：止损风险超过本次预算","通过")))))))))))))))</f>
        <v/>
      </c>
    </row>
    <row r="203" ht="17" spans="1:18">
      <c r="A203" s="13"/>
      <c r="B203" s="14"/>
      <c r="C203" s="15"/>
      <c r="D203" s="16"/>
      <c r="E203" s="16"/>
      <c r="F203" s="16"/>
      <c r="G203" s="14"/>
      <c r="H203" s="17" t="str">
        <f t="shared" si="24"/>
        <v/>
      </c>
      <c r="I203" s="18" t="str">
        <f>IF(OR(A203="",B203=""),"",IFERROR(LOOKUP(2,1/(单次交易!$A$2:$A$201=A203),单次交易!$H$2:$H$201),0)+SUMIFS($G$2:$G$1001,$A$2:$A$1001,A203,$B$2:$B$1001,"&lt;"&amp;B203))</f>
        <v/>
      </c>
      <c r="J203" s="17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17" t="str">
        <f t="shared" si="25"/>
        <v/>
      </c>
      <c r="L203" s="18" t="str">
        <f t="shared" si="26"/>
        <v/>
      </c>
      <c r="M203" s="18" t="str">
        <f t="shared" si="27"/>
        <v/>
      </c>
      <c r="N203" s="18" t="str">
        <f t="shared" si="28"/>
        <v/>
      </c>
      <c r="O203" s="18" t="str">
        <f t="shared" si="29"/>
        <v/>
      </c>
      <c r="P203" s="17" t="str">
        <f t="shared" si="30"/>
        <v/>
      </c>
      <c r="Q203" s="17" t="str">
        <f t="shared" si="31"/>
        <v/>
      </c>
      <c r="R203" s="19" t="str">
        <f ca="1">IF(A203="","",IF(COUNTIF(_TradeIds,A203)=0,"违规：交易编号不存在",IF(OR(B203="",B203&lt;1,B203&gt;5,B203&lt;&gt;INT(B203)),"违规：加仓序号须为1到5的整数",IF(COUNTIFS($A$2:$A$1001,A203,$B$2:$B$1001,B203)&gt;1,"违规：同一交易的加仓序号重复",IF(OR(D203="",E203="",F203=""),"计划不完整：请填写加仓价、新止损价和风险预算",IF(OR(D203&lt;=0,E203&lt;=0,F203&lt;=0,D203&lt;=E203),"违规：加仓价必须高于新止损价，金额须大于0",IF(AND(B203&gt;1,COUNTIFS($A$2:$A$1001,A203,$B$2:$B$1001,B203-1,$G$2:$G$1001,"&gt;0")=0),"违规：须先完成上一次加仓",IF(AND(B203&gt;1,E203&lt;SUMIFS($E$2:$E$1001,$A$2:$A$1001,A203,$B$2:$B$1001,B203-1)),"违规：新止损价不得低于上一次",IF(AND(B203&gt;1,F203&gt;SUMIFS($F$2:$F$1001,$A$2:$A$1001,A203,$B$2:$B$1001,B203-1)),"违规：风险预算须逐次不增加",IF(OR(_LockStatus="已锁仓",_LockStatus="解锁信息不完整"),"违规：锁仓期间禁止加仓",IF(G203="","计划可执行：建议股数见N列",IF(OR(G203&lt;=0,G203&lt;&gt;INT(G203),MOD(G203,100)&lt;&gt;0),"违规：实际股数须为100股整数倍",IF(G203&gt;N203,"违规：实际股数超过风险或金字塔上限",IF(AND(B203&gt;1,G203&gt;SUMIFS($G$2:$G$1001,$A$2:$A$1001,A203,$B$2:$B$1001,B203-1)),"违规：加仓股数须逐次不增加",IF(Q203&gt;F203,"违规：止损风险超过本次预算","通过")))))))))))))))</f>
        <v/>
      </c>
    </row>
    <row r="204" ht="17" spans="1:18">
      <c r="A204" s="13"/>
      <c r="B204" s="14"/>
      <c r="C204" s="15"/>
      <c r="D204" s="16"/>
      <c r="E204" s="16"/>
      <c r="F204" s="16"/>
      <c r="G204" s="14"/>
      <c r="H204" s="17" t="str">
        <f t="shared" si="24"/>
        <v/>
      </c>
      <c r="I204" s="18" t="str">
        <f>IF(OR(A204="",B204=""),"",IFERROR(LOOKUP(2,1/(单次交易!$A$2:$A$201=A204),单次交易!$H$2:$H$201),0)+SUMIFS($G$2:$G$1001,$A$2:$A$1001,A204,$B$2:$B$1001,"&lt;"&amp;B204))</f>
        <v/>
      </c>
      <c r="J204" s="17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17" t="str">
        <f t="shared" si="25"/>
        <v/>
      </c>
      <c r="L204" s="18" t="str">
        <f t="shared" si="26"/>
        <v/>
      </c>
      <c r="M204" s="18" t="str">
        <f t="shared" si="27"/>
        <v/>
      </c>
      <c r="N204" s="18" t="str">
        <f t="shared" si="28"/>
        <v/>
      </c>
      <c r="O204" s="18" t="str">
        <f t="shared" si="29"/>
        <v/>
      </c>
      <c r="P204" s="17" t="str">
        <f t="shared" si="30"/>
        <v/>
      </c>
      <c r="Q204" s="17" t="str">
        <f t="shared" si="31"/>
        <v/>
      </c>
      <c r="R204" s="19" t="str">
        <f ca="1">IF(A204="","",IF(COUNTIF(_TradeIds,A204)=0,"违规：交易编号不存在",IF(OR(B204="",B204&lt;1,B204&gt;5,B204&lt;&gt;INT(B204)),"违规：加仓序号须为1到5的整数",IF(COUNTIFS($A$2:$A$1001,A204,$B$2:$B$1001,B204)&gt;1,"违规：同一交易的加仓序号重复",IF(OR(D204="",E204="",F204=""),"计划不完整：请填写加仓价、新止损价和风险预算",IF(OR(D204&lt;=0,E204&lt;=0,F204&lt;=0,D204&lt;=E204),"违规：加仓价必须高于新止损价，金额须大于0",IF(AND(B204&gt;1,COUNTIFS($A$2:$A$1001,A204,$B$2:$B$1001,B204-1,$G$2:$G$1001,"&gt;0")=0),"违规：须先完成上一次加仓",IF(AND(B204&gt;1,E204&lt;SUMIFS($E$2:$E$1001,$A$2:$A$1001,A204,$B$2:$B$1001,B204-1)),"违规：新止损价不得低于上一次",IF(AND(B204&gt;1,F204&gt;SUMIFS($F$2:$F$1001,$A$2:$A$1001,A204,$B$2:$B$1001,B204-1)),"违规：风险预算须逐次不增加",IF(OR(_LockStatus="已锁仓",_LockStatus="解锁信息不完整"),"违规：锁仓期间禁止加仓",IF(G204="","计划可执行：建议股数见N列",IF(OR(G204&lt;=0,G204&lt;&gt;INT(G204),MOD(G204,100)&lt;&gt;0),"违规：实际股数须为100股整数倍",IF(G204&gt;N204,"违规：实际股数超过风险或金字塔上限",IF(AND(B204&gt;1,G204&gt;SUMIFS($G$2:$G$1001,$A$2:$A$1001,A204,$B$2:$B$1001,B204-1)),"违规：加仓股数须逐次不增加",IF(Q204&gt;F204,"违规：止损风险超过本次预算","通过")))))))))))))))</f>
        <v/>
      </c>
    </row>
    <row r="205" ht="17" spans="1:18">
      <c r="A205" s="13"/>
      <c r="B205" s="14"/>
      <c r="C205" s="15"/>
      <c r="D205" s="16"/>
      <c r="E205" s="16"/>
      <c r="F205" s="16"/>
      <c r="G205" s="14"/>
      <c r="H205" s="17" t="str">
        <f t="shared" si="24"/>
        <v/>
      </c>
      <c r="I205" s="18" t="str">
        <f>IF(OR(A205="",B205=""),"",IFERROR(LOOKUP(2,1/(单次交易!$A$2:$A$201=A205),单次交易!$H$2:$H$201),0)+SUMIFS($G$2:$G$1001,$A$2:$A$1001,A205,$B$2:$B$1001,"&lt;"&amp;B205))</f>
        <v/>
      </c>
      <c r="J205" s="17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17" t="str">
        <f t="shared" si="25"/>
        <v/>
      </c>
      <c r="L205" s="18" t="str">
        <f t="shared" si="26"/>
        <v/>
      </c>
      <c r="M205" s="18" t="str">
        <f t="shared" si="27"/>
        <v/>
      </c>
      <c r="N205" s="18" t="str">
        <f t="shared" si="28"/>
        <v/>
      </c>
      <c r="O205" s="18" t="str">
        <f t="shared" si="29"/>
        <v/>
      </c>
      <c r="P205" s="17" t="str">
        <f t="shared" si="30"/>
        <v/>
      </c>
      <c r="Q205" s="17" t="str">
        <f t="shared" si="31"/>
        <v/>
      </c>
      <c r="R205" s="19" t="str">
        <f ca="1">IF(A205="","",IF(COUNTIF(_TradeIds,A205)=0,"违规：交易编号不存在",IF(OR(B205="",B205&lt;1,B205&gt;5,B205&lt;&gt;INT(B205)),"违规：加仓序号须为1到5的整数",IF(COUNTIFS($A$2:$A$1001,A205,$B$2:$B$1001,B205)&gt;1,"违规：同一交易的加仓序号重复",IF(OR(D205="",E205="",F205=""),"计划不完整：请填写加仓价、新止损价和风险预算",IF(OR(D205&lt;=0,E205&lt;=0,F205&lt;=0,D205&lt;=E205),"违规：加仓价必须高于新止损价，金额须大于0",IF(AND(B205&gt;1,COUNTIFS($A$2:$A$1001,A205,$B$2:$B$1001,B205-1,$G$2:$G$1001,"&gt;0")=0),"违规：须先完成上一次加仓",IF(AND(B205&gt;1,E205&lt;SUMIFS($E$2:$E$1001,$A$2:$A$1001,A205,$B$2:$B$1001,B205-1)),"违规：新止损价不得低于上一次",IF(AND(B205&gt;1,F205&gt;SUMIFS($F$2:$F$1001,$A$2:$A$1001,A205,$B$2:$B$1001,B205-1)),"违规：风险预算须逐次不增加",IF(OR(_LockStatus="已锁仓",_LockStatus="解锁信息不完整"),"违规：锁仓期间禁止加仓",IF(G205="","计划可执行：建议股数见N列",IF(OR(G205&lt;=0,G205&lt;&gt;INT(G205),MOD(G205,100)&lt;&gt;0),"违规：实际股数须为100股整数倍",IF(G205&gt;N205,"违规：实际股数超过风险或金字塔上限",IF(AND(B205&gt;1,G205&gt;SUMIFS($G$2:$G$1001,$A$2:$A$1001,A205,$B$2:$B$1001,B205-1)),"违规：加仓股数须逐次不增加",IF(Q205&gt;F205,"违规：止损风险超过本次预算","通过")))))))))))))))</f>
        <v/>
      </c>
    </row>
    <row r="206" ht="17" spans="1:18">
      <c r="A206" s="13"/>
      <c r="B206" s="14"/>
      <c r="C206" s="15"/>
      <c r="D206" s="16"/>
      <c r="E206" s="16"/>
      <c r="F206" s="16"/>
      <c r="G206" s="14"/>
      <c r="H206" s="17" t="str">
        <f t="shared" si="24"/>
        <v/>
      </c>
      <c r="I206" s="18" t="str">
        <f>IF(OR(A206="",B206=""),"",IFERROR(LOOKUP(2,1/(单次交易!$A$2:$A$201=A206),单次交易!$H$2:$H$201),0)+SUMIFS($G$2:$G$1001,$A$2:$A$1001,A206,$B$2:$B$1001,"&lt;"&amp;B206))</f>
        <v/>
      </c>
      <c r="J206" s="17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17" t="str">
        <f t="shared" si="25"/>
        <v/>
      </c>
      <c r="L206" s="18" t="str">
        <f t="shared" si="26"/>
        <v/>
      </c>
      <c r="M206" s="18" t="str">
        <f t="shared" si="27"/>
        <v/>
      </c>
      <c r="N206" s="18" t="str">
        <f t="shared" si="28"/>
        <v/>
      </c>
      <c r="O206" s="18" t="str">
        <f t="shared" si="29"/>
        <v/>
      </c>
      <c r="P206" s="17" t="str">
        <f t="shared" si="30"/>
        <v/>
      </c>
      <c r="Q206" s="17" t="str">
        <f t="shared" si="31"/>
        <v/>
      </c>
      <c r="R206" s="19" t="str">
        <f ca="1">IF(A206="","",IF(COUNTIF(_TradeIds,A206)=0,"违规：交易编号不存在",IF(OR(B206="",B206&lt;1,B206&gt;5,B206&lt;&gt;INT(B206)),"违规：加仓序号须为1到5的整数",IF(COUNTIFS($A$2:$A$1001,A206,$B$2:$B$1001,B206)&gt;1,"违规：同一交易的加仓序号重复",IF(OR(D206="",E206="",F206=""),"计划不完整：请填写加仓价、新止损价和风险预算",IF(OR(D206&lt;=0,E206&lt;=0,F206&lt;=0,D206&lt;=E206),"违规：加仓价必须高于新止损价，金额须大于0",IF(AND(B206&gt;1,COUNTIFS($A$2:$A$1001,A206,$B$2:$B$1001,B206-1,$G$2:$G$1001,"&gt;0")=0),"违规：须先完成上一次加仓",IF(AND(B206&gt;1,E206&lt;SUMIFS($E$2:$E$1001,$A$2:$A$1001,A206,$B$2:$B$1001,B206-1)),"违规：新止损价不得低于上一次",IF(AND(B206&gt;1,F206&gt;SUMIFS($F$2:$F$1001,$A$2:$A$1001,A206,$B$2:$B$1001,B206-1)),"违规：风险预算须逐次不增加",IF(OR(_LockStatus="已锁仓",_LockStatus="解锁信息不完整"),"违规：锁仓期间禁止加仓",IF(G206="","计划可执行：建议股数见N列",IF(OR(G206&lt;=0,G206&lt;&gt;INT(G206),MOD(G206,100)&lt;&gt;0),"违规：实际股数须为100股整数倍",IF(G206&gt;N206,"违规：实际股数超过风险或金字塔上限",IF(AND(B206&gt;1,G206&gt;SUMIFS($G$2:$G$1001,$A$2:$A$1001,A206,$B$2:$B$1001,B206-1)),"违规：加仓股数须逐次不增加",IF(Q206&gt;F206,"违规：止损风险超过本次预算","通过")))))))))))))))</f>
        <v/>
      </c>
    </row>
    <row r="207" ht="17" spans="1:18">
      <c r="A207" s="13"/>
      <c r="B207" s="14"/>
      <c r="C207" s="15"/>
      <c r="D207" s="16"/>
      <c r="E207" s="16"/>
      <c r="F207" s="16"/>
      <c r="G207" s="14"/>
      <c r="H207" s="17" t="str">
        <f t="shared" si="24"/>
        <v/>
      </c>
      <c r="I207" s="18" t="str">
        <f>IF(OR(A207="",B207=""),"",IFERROR(LOOKUP(2,1/(单次交易!$A$2:$A$201=A207),单次交易!$H$2:$H$201),0)+SUMIFS($G$2:$G$1001,$A$2:$A$1001,A207,$B$2:$B$1001,"&lt;"&amp;B207))</f>
        <v/>
      </c>
      <c r="J207" s="17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17" t="str">
        <f t="shared" si="25"/>
        <v/>
      </c>
      <c r="L207" s="18" t="str">
        <f t="shared" si="26"/>
        <v/>
      </c>
      <c r="M207" s="18" t="str">
        <f t="shared" si="27"/>
        <v/>
      </c>
      <c r="N207" s="18" t="str">
        <f t="shared" si="28"/>
        <v/>
      </c>
      <c r="O207" s="18" t="str">
        <f t="shared" si="29"/>
        <v/>
      </c>
      <c r="P207" s="17" t="str">
        <f t="shared" si="30"/>
        <v/>
      </c>
      <c r="Q207" s="17" t="str">
        <f t="shared" si="31"/>
        <v/>
      </c>
      <c r="R207" s="19" t="str">
        <f ca="1">IF(A207="","",IF(COUNTIF(_TradeIds,A207)=0,"违规：交易编号不存在",IF(OR(B207="",B207&lt;1,B207&gt;5,B207&lt;&gt;INT(B207)),"违规：加仓序号须为1到5的整数",IF(COUNTIFS($A$2:$A$1001,A207,$B$2:$B$1001,B207)&gt;1,"违规：同一交易的加仓序号重复",IF(OR(D207="",E207="",F207=""),"计划不完整：请填写加仓价、新止损价和风险预算",IF(OR(D207&lt;=0,E207&lt;=0,F207&lt;=0,D207&lt;=E207),"违规：加仓价必须高于新止损价，金额须大于0",IF(AND(B207&gt;1,COUNTIFS($A$2:$A$1001,A207,$B$2:$B$1001,B207-1,$G$2:$G$1001,"&gt;0")=0),"违规：须先完成上一次加仓",IF(AND(B207&gt;1,E207&lt;SUMIFS($E$2:$E$1001,$A$2:$A$1001,A207,$B$2:$B$1001,B207-1)),"违规：新止损价不得低于上一次",IF(AND(B207&gt;1,F207&gt;SUMIFS($F$2:$F$1001,$A$2:$A$1001,A207,$B$2:$B$1001,B207-1)),"违规：风险预算须逐次不增加",IF(OR(_LockStatus="已锁仓",_LockStatus="解锁信息不完整"),"违规：锁仓期间禁止加仓",IF(G207="","计划可执行：建议股数见N列",IF(OR(G207&lt;=0,G207&lt;&gt;INT(G207),MOD(G207,100)&lt;&gt;0),"违规：实际股数须为100股整数倍",IF(G207&gt;N207,"违规：实际股数超过风险或金字塔上限",IF(AND(B207&gt;1,G207&gt;SUMIFS($G$2:$G$1001,$A$2:$A$1001,A207,$B$2:$B$1001,B207-1)),"违规：加仓股数须逐次不增加",IF(Q207&gt;F207,"违规：止损风险超过本次预算","通过")))))))))))))))</f>
        <v/>
      </c>
    </row>
    <row r="208" ht="17" spans="1:18">
      <c r="A208" s="13"/>
      <c r="B208" s="14"/>
      <c r="C208" s="15"/>
      <c r="D208" s="16"/>
      <c r="E208" s="16"/>
      <c r="F208" s="16"/>
      <c r="G208" s="14"/>
      <c r="H208" s="17" t="str">
        <f t="shared" si="24"/>
        <v/>
      </c>
      <c r="I208" s="18" t="str">
        <f>IF(OR(A208="",B208=""),"",IFERROR(LOOKUP(2,1/(单次交易!$A$2:$A$201=A208),单次交易!$H$2:$H$201),0)+SUMIFS($G$2:$G$1001,$A$2:$A$1001,A208,$B$2:$B$1001,"&lt;"&amp;B208))</f>
        <v/>
      </c>
      <c r="J208" s="17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17" t="str">
        <f t="shared" si="25"/>
        <v/>
      </c>
      <c r="L208" s="18" t="str">
        <f t="shared" si="26"/>
        <v/>
      </c>
      <c r="M208" s="18" t="str">
        <f t="shared" si="27"/>
        <v/>
      </c>
      <c r="N208" s="18" t="str">
        <f t="shared" si="28"/>
        <v/>
      </c>
      <c r="O208" s="18" t="str">
        <f t="shared" si="29"/>
        <v/>
      </c>
      <c r="P208" s="17" t="str">
        <f t="shared" si="30"/>
        <v/>
      </c>
      <c r="Q208" s="17" t="str">
        <f t="shared" si="31"/>
        <v/>
      </c>
      <c r="R208" s="19" t="str">
        <f ca="1">IF(A208="","",IF(COUNTIF(_TradeIds,A208)=0,"违规：交易编号不存在",IF(OR(B208="",B208&lt;1,B208&gt;5,B208&lt;&gt;INT(B208)),"违规：加仓序号须为1到5的整数",IF(COUNTIFS($A$2:$A$1001,A208,$B$2:$B$1001,B208)&gt;1,"违规：同一交易的加仓序号重复",IF(OR(D208="",E208="",F208=""),"计划不完整：请填写加仓价、新止损价和风险预算",IF(OR(D208&lt;=0,E208&lt;=0,F208&lt;=0,D208&lt;=E208),"违规：加仓价必须高于新止损价，金额须大于0",IF(AND(B208&gt;1,COUNTIFS($A$2:$A$1001,A208,$B$2:$B$1001,B208-1,$G$2:$G$1001,"&gt;0")=0),"违规：须先完成上一次加仓",IF(AND(B208&gt;1,E208&lt;SUMIFS($E$2:$E$1001,$A$2:$A$1001,A208,$B$2:$B$1001,B208-1)),"违规：新止损价不得低于上一次",IF(AND(B208&gt;1,F208&gt;SUMIFS($F$2:$F$1001,$A$2:$A$1001,A208,$B$2:$B$1001,B208-1)),"违规：风险预算须逐次不增加",IF(OR(_LockStatus="已锁仓",_LockStatus="解锁信息不完整"),"违规：锁仓期间禁止加仓",IF(G208="","计划可执行：建议股数见N列",IF(OR(G208&lt;=0,G208&lt;&gt;INT(G208),MOD(G208,100)&lt;&gt;0),"违规：实际股数须为100股整数倍",IF(G208&gt;N208,"违规：实际股数超过风险或金字塔上限",IF(AND(B208&gt;1,G208&gt;SUMIFS($G$2:$G$1001,$A$2:$A$1001,A208,$B$2:$B$1001,B208-1)),"违规：加仓股数须逐次不增加",IF(Q208&gt;F208,"违规：止损风险超过本次预算","通过")))))))))))))))</f>
        <v/>
      </c>
    </row>
    <row r="209" ht="17" spans="1:18">
      <c r="A209" s="13"/>
      <c r="B209" s="14"/>
      <c r="C209" s="15"/>
      <c r="D209" s="16"/>
      <c r="E209" s="16"/>
      <c r="F209" s="16"/>
      <c r="G209" s="14"/>
      <c r="H209" s="17" t="str">
        <f t="shared" si="24"/>
        <v/>
      </c>
      <c r="I209" s="18" t="str">
        <f>IF(OR(A209="",B209=""),"",IFERROR(LOOKUP(2,1/(单次交易!$A$2:$A$201=A209),单次交易!$H$2:$H$201),0)+SUMIFS($G$2:$G$1001,$A$2:$A$1001,A209,$B$2:$B$1001,"&lt;"&amp;B209))</f>
        <v/>
      </c>
      <c r="J209" s="17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17" t="str">
        <f t="shared" si="25"/>
        <v/>
      </c>
      <c r="L209" s="18" t="str">
        <f t="shared" si="26"/>
        <v/>
      </c>
      <c r="M209" s="18" t="str">
        <f t="shared" si="27"/>
        <v/>
      </c>
      <c r="N209" s="18" t="str">
        <f t="shared" si="28"/>
        <v/>
      </c>
      <c r="O209" s="18" t="str">
        <f t="shared" si="29"/>
        <v/>
      </c>
      <c r="P209" s="17" t="str">
        <f t="shared" si="30"/>
        <v/>
      </c>
      <c r="Q209" s="17" t="str">
        <f t="shared" si="31"/>
        <v/>
      </c>
      <c r="R209" s="19" t="str">
        <f ca="1">IF(A209="","",IF(COUNTIF(_TradeIds,A209)=0,"违规：交易编号不存在",IF(OR(B209="",B209&lt;1,B209&gt;5,B209&lt;&gt;INT(B209)),"违规：加仓序号须为1到5的整数",IF(COUNTIFS($A$2:$A$1001,A209,$B$2:$B$1001,B209)&gt;1,"违规：同一交易的加仓序号重复",IF(OR(D209="",E209="",F209=""),"计划不完整：请填写加仓价、新止损价和风险预算",IF(OR(D209&lt;=0,E209&lt;=0,F209&lt;=0,D209&lt;=E209),"违规：加仓价必须高于新止损价，金额须大于0",IF(AND(B209&gt;1,COUNTIFS($A$2:$A$1001,A209,$B$2:$B$1001,B209-1,$G$2:$G$1001,"&gt;0")=0),"违规：须先完成上一次加仓",IF(AND(B209&gt;1,E209&lt;SUMIFS($E$2:$E$1001,$A$2:$A$1001,A209,$B$2:$B$1001,B209-1)),"违规：新止损价不得低于上一次",IF(AND(B209&gt;1,F209&gt;SUMIFS($F$2:$F$1001,$A$2:$A$1001,A209,$B$2:$B$1001,B209-1)),"违规：风险预算须逐次不增加",IF(OR(_LockStatus="已锁仓",_LockStatus="解锁信息不完整"),"违规：锁仓期间禁止加仓",IF(G209="","计划可执行：建议股数见N列",IF(OR(G209&lt;=0,G209&lt;&gt;INT(G209),MOD(G209,100)&lt;&gt;0),"违规：实际股数须为100股整数倍",IF(G209&gt;N209,"违规：实际股数超过风险或金字塔上限",IF(AND(B209&gt;1,G209&gt;SUMIFS($G$2:$G$1001,$A$2:$A$1001,A209,$B$2:$B$1001,B209-1)),"违规：加仓股数须逐次不增加",IF(Q209&gt;F209,"违规：止损风险超过本次预算","通过")))))))))))))))</f>
        <v/>
      </c>
    </row>
    <row r="210" ht="17" spans="1:18">
      <c r="A210" s="13"/>
      <c r="B210" s="14"/>
      <c r="C210" s="15"/>
      <c r="D210" s="16"/>
      <c r="E210" s="16"/>
      <c r="F210" s="16"/>
      <c r="G210" s="14"/>
      <c r="H210" s="17" t="str">
        <f t="shared" si="24"/>
        <v/>
      </c>
      <c r="I210" s="18" t="str">
        <f>IF(OR(A210="",B210=""),"",IFERROR(LOOKUP(2,1/(单次交易!$A$2:$A$201=A210),单次交易!$H$2:$H$201),0)+SUMIFS($G$2:$G$1001,$A$2:$A$1001,A210,$B$2:$B$1001,"&lt;"&amp;B210))</f>
        <v/>
      </c>
      <c r="J210" s="17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17" t="str">
        <f t="shared" si="25"/>
        <v/>
      </c>
      <c r="L210" s="18" t="str">
        <f t="shared" si="26"/>
        <v/>
      </c>
      <c r="M210" s="18" t="str">
        <f t="shared" si="27"/>
        <v/>
      </c>
      <c r="N210" s="18" t="str">
        <f t="shared" si="28"/>
        <v/>
      </c>
      <c r="O210" s="18" t="str">
        <f t="shared" si="29"/>
        <v/>
      </c>
      <c r="P210" s="17" t="str">
        <f t="shared" si="30"/>
        <v/>
      </c>
      <c r="Q210" s="17" t="str">
        <f t="shared" si="31"/>
        <v/>
      </c>
      <c r="R210" s="19" t="str">
        <f ca="1">IF(A210="","",IF(COUNTIF(_TradeIds,A210)=0,"违规：交易编号不存在",IF(OR(B210="",B210&lt;1,B210&gt;5,B210&lt;&gt;INT(B210)),"违规：加仓序号须为1到5的整数",IF(COUNTIFS($A$2:$A$1001,A210,$B$2:$B$1001,B210)&gt;1,"违规：同一交易的加仓序号重复",IF(OR(D210="",E210="",F210=""),"计划不完整：请填写加仓价、新止损价和风险预算",IF(OR(D210&lt;=0,E210&lt;=0,F210&lt;=0,D210&lt;=E210),"违规：加仓价必须高于新止损价，金额须大于0",IF(AND(B210&gt;1,COUNTIFS($A$2:$A$1001,A210,$B$2:$B$1001,B210-1,$G$2:$G$1001,"&gt;0")=0),"违规：须先完成上一次加仓",IF(AND(B210&gt;1,E210&lt;SUMIFS($E$2:$E$1001,$A$2:$A$1001,A210,$B$2:$B$1001,B210-1)),"违规：新止损价不得低于上一次",IF(AND(B210&gt;1,F210&gt;SUMIFS($F$2:$F$1001,$A$2:$A$1001,A210,$B$2:$B$1001,B210-1)),"违规：风险预算须逐次不增加",IF(OR(_LockStatus="已锁仓",_LockStatus="解锁信息不完整"),"违规：锁仓期间禁止加仓",IF(G210="","计划可执行：建议股数见N列",IF(OR(G210&lt;=0,G210&lt;&gt;INT(G210),MOD(G210,100)&lt;&gt;0),"违规：实际股数须为100股整数倍",IF(G210&gt;N210,"违规：实际股数超过风险或金字塔上限",IF(AND(B210&gt;1,G210&gt;SUMIFS($G$2:$G$1001,$A$2:$A$1001,A210,$B$2:$B$1001,B210-1)),"违规：加仓股数须逐次不增加",IF(Q210&gt;F210,"违规：止损风险超过本次预算","通过")))))))))))))))</f>
        <v/>
      </c>
    </row>
    <row r="211" ht="17" spans="1:18">
      <c r="A211" s="13"/>
      <c r="B211" s="14"/>
      <c r="C211" s="15"/>
      <c r="D211" s="16"/>
      <c r="E211" s="16"/>
      <c r="F211" s="16"/>
      <c r="G211" s="14"/>
      <c r="H211" s="17" t="str">
        <f t="shared" si="24"/>
        <v/>
      </c>
      <c r="I211" s="18" t="str">
        <f>IF(OR(A211="",B211=""),"",IFERROR(LOOKUP(2,1/(单次交易!$A$2:$A$201=A211),单次交易!$H$2:$H$201),0)+SUMIFS($G$2:$G$1001,$A$2:$A$1001,A211,$B$2:$B$1001,"&lt;"&amp;B211))</f>
        <v/>
      </c>
      <c r="J211" s="17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17" t="str">
        <f t="shared" si="25"/>
        <v/>
      </c>
      <c r="L211" s="18" t="str">
        <f t="shared" si="26"/>
        <v/>
      </c>
      <c r="M211" s="18" t="str">
        <f t="shared" si="27"/>
        <v/>
      </c>
      <c r="N211" s="18" t="str">
        <f t="shared" si="28"/>
        <v/>
      </c>
      <c r="O211" s="18" t="str">
        <f t="shared" si="29"/>
        <v/>
      </c>
      <c r="P211" s="17" t="str">
        <f t="shared" si="30"/>
        <v/>
      </c>
      <c r="Q211" s="17" t="str">
        <f t="shared" si="31"/>
        <v/>
      </c>
      <c r="R211" s="19" t="str">
        <f ca="1">IF(A211="","",IF(COUNTIF(_TradeIds,A211)=0,"违规：交易编号不存在",IF(OR(B211="",B211&lt;1,B211&gt;5,B211&lt;&gt;INT(B211)),"违规：加仓序号须为1到5的整数",IF(COUNTIFS($A$2:$A$1001,A211,$B$2:$B$1001,B211)&gt;1,"违规：同一交易的加仓序号重复",IF(OR(D211="",E211="",F211=""),"计划不完整：请填写加仓价、新止损价和风险预算",IF(OR(D211&lt;=0,E211&lt;=0,F211&lt;=0,D211&lt;=E211),"违规：加仓价必须高于新止损价，金额须大于0",IF(AND(B211&gt;1,COUNTIFS($A$2:$A$1001,A211,$B$2:$B$1001,B211-1,$G$2:$G$1001,"&gt;0")=0),"违规：须先完成上一次加仓",IF(AND(B211&gt;1,E211&lt;SUMIFS($E$2:$E$1001,$A$2:$A$1001,A211,$B$2:$B$1001,B211-1)),"违规：新止损价不得低于上一次",IF(AND(B211&gt;1,F211&gt;SUMIFS($F$2:$F$1001,$A$2:$A$1001,A211,$B$2:$B$1001,B211-1)),"违规：风险预算须逐次不增加",IF(OR(_LockStatus="已锁仓",_LockStatus="解锁信息不完整"),"违规：锁仓期间禁止加仓",IF(G211="","计划可执行：建议股数见N列",IF(OR(G211&lt;=0,G211&lt;&gt;INT(G211),MOD(G211,100)&lt;&gt;0),"违规：实际股数须为100股整数倍",IF(G211&gt;N211,"违规：实际股数超过风险或金字塔上限",IF(AND(B211&gt;1,G211&gt;SUMIFS($G$2:$G$1001,$A$2:$A$1001,A211,$B$2:$B$1001,B211-1)),"违规：加仓股数须逐次不增加",IF(Q211&gt;F211,"违规：止损风险超过本次预算","通过")))))))))))))))</f>
        <v/>
      </c>
    </row>
    <row r="212" ht="17" spans="1:18">
      <c r="A212" s="13"/>
      <c r="B212" s="14"/>
      <c r="C212" s="15"/>
      <c r="D212" s="16"/>
      <c r="E212" s="16"/>
      <c r="F212" s="16"/>
      <c r="G212" s="14"/>
      <c r="H212" s="17" t="str">
        <f t="shared" si="24"/>
        <v/>
      </c>
      <c r="I212" s="18" t="str">
        <f>IF(OR(A212="",B212=""),"",IFERROR(LOOKUP(2,1/(单次交易!$A$2:$A$201=A212),单次交易!$H$2:$H$201),0)+SUMIFS($G$2:$G$1001,$A$2:$A$1001,A212,$B$2:$B$1001,"&lt;"&amp;B212))</f>
        <v/>
      </c>
      <c r="J212" s="17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17" t="str">
        <f t="shared" si="25"/>
        <v/>
      </c>
      <c r="L212" s="18" t="str">
        <f t="shared" si="26"/>
        <v/>
      </c>
      <c r="M212" s="18" t="str">
        <f t="shared" si="27"/>
        <v/>
      </c>
      <c r="N212" s="18" t="str">
        <f t="shared" si="28"/>
        <v/>
      </c>
      <c r="O212" s="18" t="str">
        <f t="shared" si="29"/>
        <v/>
      </c>
      <c r="P212" s="17" t="str">
        <f t="shared" si="30"/>
        <v/>
      </c>
      <c r="Q212" s="17" t="str">
        <f t="shared" si="31"/>
        <v/>
      </c>
      <c r="R212" s="19" t="str">
        <f ca="1">IF(A212="","",IF(COUNTIF(_TradeIds,A212)=0,"违规：交易编号不存在",IF(OR(B212="",B212&lt;1,B212&gt;5,B212&lt;&gt;INT(B212)),"违规：加仓序号须为1到5的整数",IF(COUNTIFS($A$2:$A$1001,A212,$B$2:$B$1001,B212)&gt;1,"违规：同一交易的加仓序号重复",IF(OR(D212="",E212="",F212=""),"计划不完整：请填写加仓价、新止损价和风险预算",IF(OR(D212&lt;=0,E212&lt;=0,F212&lt;=0,D212&lt;=E212),"违规：加仓价必须高于新止损价，金额须大于0",IF(AND(B212&gt;1,COUNTIFS($A$2:$A$1001,A212,$B$2:$B$1001,B212-1,$G$2:$G$1001,"&gt;0")=0),"违规：须先完成上一次加仓",IF(AND(B212&gt;1,E212&lt;SUMIFS($E$2:$E$1001,$A$2:$A$1001,A212,$B$2:$B$1001,B212-1)),"违规：新止损价不得低于上一次",IF(AND(B212&gt;1,F212&gt;SUMIFS($F$2:$F$1001,$A$2:$A$1001,A212,$B$2:$B$1001,B212-1)),"违规：风险预算须逐次不增加",IF(OR(_LockStatus="已锁仓",_LockStatus="解锁信息不完整"),"违规：锁仓期间禁止加仓",IF(G212="","计划可执行：建议股数见N列",IF(OR(G212&lt;=0,G212&lt;&gt;INT(G212),MOD(G212,100)&lt;&gt;0),"违规：实际股数须为100股整数倍",IF(G212&gt;N212,"违规：实际股数超过风险或金字塔上限",IF(AND(B212&gt;1,G212&gt;SUMIFS($G$2:$G$1001,$A$2:$A$1001,A212,$B$2:$B$1001,B212-1)),"违规：加仓股数须逐次不增加",IF(Q212&gt;F212,"违规：止损风险超过本次预算","通过")))))))))))))))</f>
        <v/>
      </c>
    </row>
    <row r="213" ht="17" spans="1:18">
      <c r="A213" s="13"/>
      <c r="B213" s="14"/>
      <c r="C213" s="15"/>
      <c r="D213" s="16"/>
      <c r="E213" s="16"/>
      <c r="F213" s="16"/>
      <c r="G213" s="14"/>
      <c r="H213" s="17" t="str">
        <f t="shared" si="24"/>
        <v/>
      </c>
      <c r="I213" s="18" t="str">
        <f>IF(OR(A213="",B213=""),"",IFERROR(LOOKUP(2,1/(单次交易!$A$2:$A$201=A213),单次交易!$H$2:$H$201),0)+SUMIFS($G$2:$G$1001,$A$2:$A$1001,A213,$B$2:$B$1001,"&lt;"&amp;B213))</f>
        <v/>
      </c>
      <c r="J213" s="17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17" t="str">
        <f t="shared" si="25"/>
        <v/>
      </c>
      <c r="L213" s="18" t="str">
        <f t="shared" si="26"/>
        <v/>
      </c>
      <c r="M213" s="18" t="str">
        <f t="shared" si="27"/>
        <v/>
      </c>
      <c r="N213" s="18" t="str">
        <f t="shared" si="28"/>
        <v/>
      </c>
      <c r="O213" s="18" t="str">
        <f t="shared" si="29"/>
        <v/>
      </c>
      <c r="P213" s="17" t="str">
        <f t="shared" si="30"/>
        <v/>
      </c>
      <c r="Q213" s="17" t="str">
        <f t="shared" si="31"/>
        <v/>
      </c>
      <c r="R213" s="19" t="str">
        <f ca="1">IF(A213="","",IF(COUNTIF(_TradeIds,A213)=0,"违规：交易编号不存在",IF(OR(B213="",B213&lt;1,B213&gt;5,B213&lt;&gt;INT(B213)),"违规：加仓序号须为1到5的整数",IF(COUNTIFS($A$2:$A$1001,A213,$B$2:$B$1001,B213)&gt;1,"违规：同一交易的加仓序号重复",IF(OR(D213="",E213="",F213=""),"计划不完整：请填写加仓价、新止损价和风险预算",IF(OR(D213&lt;=0,E213&lt;=0,F213&lt;=0,D213&lt;=E213),"违规：加仓价必须高于新止损价，金额须大于0",IF(AND(B213&gt;1,COUNTIFS($A$2:$A$1001,A213,$B$2:$B$1001,B213-1,$G$2:$G$1001,"&gt;0")=0),"违规：须先完成上一次加仓",IF(AND(B213&gt;1,E213&lt;SUMIFS($E$2:$E$1001,$A$2:$A$1001,A213,$B$2:$B$1001,B213-1)),"违规：新止损价不得低于上一次",IF(AND(B213&gt;1,F213&gt;SUMIFS($F$2:$F$1001,$A$2:$A$1001,A213,$B$2:$B$1001,B213-1)),"违规：风险预算须逐次不增加",IF(OR(_LockStatus="已锁仓",_LockStatus="解锁信息不完整"),"违规：锁仓期间禁止加仓",IF(G213="","计划可执行：建议股数见N列",IF(OR(G213&lt;=0,G213&lt;&gt;INT(G213),MOD(G213,100)&lt;&gt;0),"违规：实际股数须为100股整数倍",IF(G213&gt;N213,"违规：实际股数超过风险或金字塔上限",IF(AND(B213&gt;1,G213&gt;SUMIFS($G$2:$G$1001,$A$2:$A$1001,A213,$B$2:$B$1001,B213-1)),"违规：加仓股数须逐次不增加",IF(Q213&gt;F213,"违规：止损风险超过本次预算","通过")))))))))))))))</f>
        <v/>
      </c>
    </row>
    <row r="214" ht="17" spans="1:18">
      <c r="A214" s="13"/>
      <c r="B214" s="14"/>
      <c r="C214" s="15"/>
      <c r="D214" s="16"/>
      <c r="E214" s="16"/>
      <c r="F214" s="16"/>
      <c r="G214" s="14"/>
      <c r="H214" s="17" t="str">
        <f t="shared" si="24"/>
        <v/>
      </c>
      <c r="I214" s="18" t="str">
        <f>IF(OR(A214="",B214=""),"",IFERROR(LOOKUP(2,1/(单次交易!$A$2:$A$201=A214),单次交易!$H$2:$H$201),0)+SUMIFS($G$2:$G$1001,$A$2:$A$1001,A214,$B$2:$B$1001,"&lt;"&amp;B214))</f>
        <v/>
      </c>
      <c r="J214" s="17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17" t="str">
        <f t="shared" si="25"/>
        <v/>
      </c>
      <c r="L214" s="18" t="str">
        <f t="shared" si="26"/>
        <v/>
      </c>
      <c r="M214" s="18" t="str">
        <f t="shared" si="27"/>
        <v/>
      </c>
      <c r="N214" s="18" t="str">
        <f t="shared" si="28"/>
        <v/>
      </c>
      <c r="O214" s="18" t="str">
        <f t="shared" si="29"/>
        <v/>
      </c>
      <c r="P214" s="17" t="str">
        <f t="shared" si="30"/>
        <v/>
      </c>
      <c r="Q214" s="17" t="str">
        <f t="shared" si="31"/>
        <v/>
      </c>
      <c r="R214" s="19" t="str">
        <f ca="1">IF(A214="","",IF(COUNTIF(_TradeIds,A214)=0,"违规：交易编号不存在",IF(OR(B214="",B214&lt;1,B214&gt;5,B214&lt;&gt;INT(B214)),"违规：加仓序号须为1到5的整数",IF(COUNTIFS($A$2:$A$1001,A214,$B$2:$B$1001,B214)&gt;1,"违规：同一交易的加仓序号重复",IF(OR(D214="",E214="",F214=""),"计划不完整：请填写加仓价、新止损价和风险预算",IF(OR(D214&lt;=0,E214&lt;=0,F214&lt;=0,D214&lt;=E214),"违规：加仓价必须高于新止损价，金额须大于0",IF(AND(B214&gt;1,COUNTIFS($A$2:$A$1001,A214,$B$2:$B$1001,B214-1,$G$2:$G$1001,"&gt;0")=0),"违规：须先完成上一次加仓",IF(AND(B214&gt;1,E214&lt;SUMIFS($E$2:$E$1001,$A$2:$A$1001,A214,$B$2:$B$1001,B214-1)),"违规：新止损价不得低于上一次",IF(AND(B214&gt;1,F214&gt;SUMIFS($F$2:$F$1001,$A$2:$A$1001,A214,$B$2:$B$1001,B214-1)),"违规：风险预算须逐次不增加",IF(OR(_LockStatus="已锁仓",_LockStatus="解锁信息不完整"),"违规：锁仓期间禁止加仓",IF(G214="","计划可执行：建议股数见N列",IF(OR(G214&lt;=0,G214&lt;&gt;INT(G214),MOD(G214,100)&lt;&gt;0),"违规：实际股数须为100股整数倍",IF(G214&gt;N214,"违规：实际股数超过风险或金字塔上限",IF(AND(B214&gt;1,G214&gt;SUMIFS($G$2:$G$1001,$A$2:$A$1001,A214,$B$2:$B$1001,B214-1)),"违规：加仓股数须逐次不增加",IF(Q214&gt;F214,"违规：止损风险超过本次预算","通过")))))))))))))))</f>
        <v/>
      </c>
    </row>
    <row r="215" ht="17" spans="1:18">
      <c r="A215" s="13"/>
      <c r="B215" s="14"/>
      <c r="C215" s="15"/>
      <c r="D215" s="16"/>
      <c r="E215" s="16"/>
      <c r="F215" s="16"/>
      <c r="G215" s="14"/>
      <c r="H215" s="17" t="str">
        <f t="shared" si="24"/>
        <v/>
      </c>
      <c r="I215" s="18" t="str">
        <f>IF(OR(A215="",B215=""),"",IFERROR(LOOKUP(2,1/(单次交易!$A$2:$A$201=A215),单次交易!$H$2:$H$201),0)+SUMIFS($G$2:$G$1001,$A$2:$A$1001,A215,$B$2:$B$1001,"&lt;"&amp;B215))</f>
        <v/>
      </c>
      <c r="J215" s="17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17" t="str">
        <f t="shared" si="25"/>
        <v/>
      </c>
      <c r="L215" s="18" t="str">
        <f t="shared" si="26"/>
        <v/>
      </c>
      <c r="M215" s="18" t="str">
        <f t="shared" si="27"/>
        <v/>
      </c>
      <c r="N215" s="18" t="str">
        <f t="shared" si="28"/>
        <v/>
      </c>
      <c r="O215" s="18" t="str">
        <f t="shared" si="29"/>
        <v/>
      </c>
      <c r="P215" s="17" t="str">
        <f t="shared" si="30"/>
        <v/>
      </c>
      <c r="Q215" s="17" t="str">
        <f t="shared" si="31"/>
        <v/>
      </c>
      <c r="R215" s="19" t="str">
        <f ca="1">IF(A215="","",IF(COUNTIF(_TradeIds,A215)=0,"违规：交易编号不存在",IF(OR(B215="",B215&lt;1,B215&gt;5,B215&lt;&gt;INT(B215)),"违规：加仓序号须为1到5的整数",IF(COUNTIFS($A$2:$A$1001,A215,$B$2:$B$1001,B215)&gt;1,"违规：同一交易的加仓序号重复",IF(OR(D215="",E215="",F215=""),"计划不完整：请填写加仓价、新止损价和风险预算",IF(OR(D215&lt;=0,E215&lt;=0,F215&lt;=0,D215&lt;=E215),"违规：加仓价必须高于新止损价，金额须大于0",IF(AND(B215&gt;1,COUNTIFS($A$2:$A$1001,A215,$B$2:$B$1001,B215-1,$G$2:$G$1001,"&gt;0")=0),"违规：须先完成上一次加仓",IF(AND(B215&gt;1,E215&lt;SUMIFS($E$2:$E$1001,$A$2:$A$1001,A215,$B$2:$B$1001,B215-1)),"违规：新止损价不得低于上一次",IF(AND(B215&gt;1,F215&gt;SUMIFS($F$2:$F$1001,$A$2:$A$1001,A215,$B$2:$B$1001,B215-1)),"违规：风险预算须逐次不增加",IF(OR(_LockStatus="已锁仓",_LockStatus="解锁信息不完整"),"违规：锁仓期间禁止加仓",IF(G215="","计划可执行：建议股数见N列",IF(OR(G215&lt;=0,G215&lt;&gt;INT(G215),MOD(G215,100)&lt;&gt;0),"违规：实际股数须为100股整数倍",IF(G215&gt;N215,"违规：实际股数超过风险或金字塔上限",IF(AND(B215&gt;1,G215&gt;SUMIFS($G$2:$G$1001,$A$2:$A$1001,A215,$B$2:$B$1001,B215-1)),"违规：加仓股数须逐次不增加",IF(Q215&gt;F215,"违规：止损风险超过本次预算","通过")))))))))))))))</f>
        <v/>
      </c>
    </row>
    <row r="216" ht="17" spans="1:18">
      <c r="A216" s="13"/>
      <c r="B216" s="14"/>
      <c r="C216" s="15"/>
      <c r="D216" s="16"/>
      <c r="E216" s="16"/>
      <c r="F216" s="16"/>
      <c r="G216" s="14"/>
      <c r="H216" s="17" t="str">
        <f t="shared" si="24"/>
        <v/>
      </c>
      <c r="I216" s="18" t="str">
        <f>IF(OR(A216="",B216=""),"",IFERROR(LOOKUP(2,1/(单次交易!$A$2:$A$201=A216),单次交易!$H$2:$H$201),0)+SUMIFS($G$2:$G$1001,$A$2:$A$1001,A216,$B$2:$B$1001,"&lt;"&amp;B216))</f>
        <v/>
      </c>
      <c r="J216" s="17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17" t="str">
        <f t="shared" si="25"/>
        <v/>
      </c>
      <c r="L216" s="18" t="str">
        <f t="shared" si="26"/>
        <v/>
      </c>
      <c r="M216" s="18" t="str">
        <f t="shared" si="27"/>
        <v/>
      </c>
      <c r="N216" s="18" t="str">
        <f t="shared" si="28"/>
        <v/>
      </c>
      <c r="O216" s="18" t="str">
        <f t="shared" si="29"/>
        <v/>
      </c>
      <c r="P216" s="17" t="str">
        <f t="shared" si="30"/>
        <v/>
      </c>
      <c r="Q216" s="17" t="str">
        <f t="shared" si="31"/>
        <v/>
      </c>
      <c r="R216" s="19" t="str">
        <f ca="1">IF(A216="","",IF(COUNTIF(_TradeIds,A216)=0,"违规：交易编号不存在",IF(OR(B216="",B216&lt;1,B216&gt;5,B216&lt;&gt;INT(B216)),"违规：加仓序号须为1到5的整数",IF(COUNTIFS($A$2:$A$1001,A216,$B$2:$B$1001,B216)&gt;1,"违规：同一交易的加仓序号重复",IF(OR(D216="",E216="",F216=""),"计划不完整：请填写加仓价、新止损价和风险预算",IF(OR(D216&lt;=0,E216&lt;=0,F216&lt;=0,D216&lt;=E216),"违规：加仓价必须高于新止损价，金额须大于0",IF(AND(B216&gt;1,COUNTIFS($A$2:$A$1001,A216,$B$2:$B$1001,B216-1,$G$2:$G$1001,"&gt;0")=0),"违规：须先完成上一次加仓",IF(AND(B216&gt;1,E216&lt;SUMIFS($E$2:$E$1001,$A$2:$A$1001,A216,$B$2:$B$1001,B216-1)),"违规：新止损价不得低于上一次",IF(AND(B216&gt;1,F216&gt;SUMIFS($F$2:$F$1001,$A$2:$A$1001,A216,$B$2:$B$1001,B216-1)),"违规：风险预算须逐次不增加",IF(OR(_LockStatus="已锁仓",_LockStatus="解锁信息不完整"),"违规：锁仓期间禁止加仓",IF(G216="","计划可执行：建议股数见N列",IF(OR(G216&lt;=0,G216&lt;&gt;INT(G216),MOD(G216,100)&lt;&gt;0),"违规：实际股数须为100股整数倍",IF(G216&gt;N216,"违规：实际股数超过风险或金字塔上限",IF(AND(B216&gt;1,G216&gt;SUMIFS($G$2:$G$1001,$A$2:$A$1001,A216,$B$2:$B$1001,B216-1)),"违规：加仓股数须逐次不增加",IF(Q216&gt;F216,"违规：止损风险超过本次预算","通过")))))))))))))))</f>
        <v/>
      </c>
    </row>
    <row r="217" ht="17" spans="1:18">
      <c r="A217" s="13"/>
      <c r="B217" s="14"/>
      <c r="C217" s="15"/>
      <c r="D217" s="16"/>
      <c r="E217" s="16"/>
      <c r="F217" s="16"/>
      <c r="G217" s="14"/>
      <c r="H217" s="17" t="str">
        <f t="shared" si="24"/>
        <v/>
      </c>
      <c r="I217" s="18" t="str">
        <f>IF(OR(A217="",B217=""),"",IFERROR(LOOKUP(2,1/(单次交易!$A$2:$A$201=A217),单次交易!$H$2:$H$201),0)+SUMIFS($G$2:$G$1001,$A$2:$A$1001,A217,$B$2:$B$1001,"&lt;"&amp;B217))</f>
        <v/>
      </c>
      <c r="J217" s="17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17" t="str">
        <f t="shared" si="25"/>
        <v/>
      </c>
      <c r="L217" s="18" t="str">
        <f t="shared" si="26"/>
        <v/>
      </c>
      <c r="M217" s="18" t="str">
        <f t="shared" si="27"/>
        <v/>
      </c>
      <c r="N217" s="18" t="str">
        <f t="shared" si="28"/>
        <v/>
      </c>
      <c r="O217" s="18" t="str">
        <f t="shared" si="29"/>
        <v/>
      </c>
      <c r="P217" s="17" t="str">
        <f t="shared" si="30"/>
        <v/>
      </c>
      <c r="Q217" s="17" t="str">
        <f t="shared" si="31"/>
        <v/>
      </c>
      <c r="R217" s="19" t="str">
        <f ca="1">IF(A217="","",IF(COUNTIF(_TradeIds,A217)=0,"违规：交易编号不存在",IF(OR(B217="",B217&lt;1,B217&gt;5,B217&lt;&gt;INT(B217)),"违规：加仓序号须为1到5的整数",IF(COUNTIFS($A$2:$A$1001,A217,$B$2:$B$1001,B217)&gt;1,"违规：同一交易的加仓序号重复",IF(OR(D217="",E217="",F217=""),"计划不完整：请填写加仓价、新止损价和风险预算",IF(OR(D217&lt;=0,E217&lt;=0,F217&lt;=0,D217&lt;=E217),"违规：加仓价必须高于新止损价，金额须大于0",IF(AND(B217&gt;1,COUNTIFS($A$2:$A$1001,A217,$B$2:$B$1001,B217-1,$G$2:$G$1001,"&gt;0")=0),"违规：须先完成上一次加仓",IF(AND(B217&gt;1,E217&lt;SUMIFS($E$2:$E$1001,$A$2:$A$1001,A217,$B$2:$B$1001,B217-1)),"违规：新止损价不得低于上一次",IF(AND(B217&gt;1,F217&gt;SUMIFS($F$2:$F$1001,$A$2:$A$1001,A217,$B$2:$B$1001,B217-1)),"违规：风险预算须逐次不增加",IF(OR(_LockStatus="已锁仓",_LockStatus="解锁信息不完整"),"违规：锁仓期间禁止加仓",IF(G217="","计划可执行：建议股数见N列",IF(OR(G217&lt;=0,G217&lt;&gt;INT(G217),MOD(G217,100)&lt;&gt;0),"违规：实际股数须为100股整数倍",IF(G217&gt;N217,"违规：实际股数超过风险或金字塔上限",IF(AND(B217&gt;1,G217&gt;SUMIFS($G$2:$G$1001,$A$2:$A$1001,A217,$B$2:$B$1001,B217-1)),"违规：加仓股数须逐次不增加",IF(Q217&gt;F217,"违规：止损风险超过本次预算","通过")))))))))))))))</f>
        <v/>
      </c>
    </row>
    <row r="218" ht="17" spans="1:18">
      <c r="A218" s="13"/>
      <c r="B218" s="14"/>
      <c r="C218" s="15"/>
      <c r="D218" s="16"/>
      <c r="E218" s="16"/>
      <c r="F218" s="16"/>
      <c r="G218" s="14"/>
      <c r="H218" s="17" t="str">
        <f t="shared" si="24"/>
        <v/>
      </c>
      <c r="I218" s="18" t="str">
        <f>IF(OR(A218="",B218=""),"",IFERROR(LOOKUP(2,1/(单次交易!$A$2:$A$201=A218),单次交易!$H$2:$H$201),0)+SUMIFS($G$2:$G$1001,$A$2:$A$1001,A218,$B$2:$B$1001,"&lt;"&amp;B218))</f>
        <v/>
      </c>
      <c r="J218" s="17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17" t="str">
        <f t="shared" si="25"/>
        <v/>
      </c>
      <c r="L218" s="18" t="str">
        <f t="shared" si="26"/>
        <v/>
      </c>
      <c r="M218" s="18" t="str">
        <f t="shared" si="27"/>
        <v/>
      </c>
      <c r="N218" s="18" t="str">
        <f t="shared" si="28"/>
        <v/>
      </c>
      <c r="O218" s="18" t="str">
        <f t="shared" si="29"/>
        <v/>
      </c>
      <c r="P218" s="17" t="str">
        <f t="shared" si="30"/>
        <v/>
      </c>
      <c r="Q218" s="17" t="str">
        <f t="shared" si="31"/>
        <v/>
      </c>
      <c r="R218" s="19" t="str">
        <f ca="1">IF(A218="","",IF(COUNTIF(_TradeIds,A218)=0,"违规：交易编号不存在",IF(OR(B218="",B218&lt;1,B218&gt;5,B218&lt;&gt;INT(B218)),"违规：加仓序号须为1到5的整数",IF(COUNTIFS($A$2:$A$1001,A218,$B$2:$B$1001,B218)&gt;1,"违规：同一交易的加仓序号重复",IF(OR(D218="",E218="",F218=""),"计划不完整：请填写加仓价、新止损价和风险预算",IF(OR(D218&lt;=0,E218&lt;=0,F218&lt;=0,D218&lt;=E218),"违规：加仓价必须高于新止损价，金额须大于0",IF(AND(B218&gt;1,COUNTIFS($A$2:$A$1001,A218,$B$2:$B$1001,B218-1,$G$2:$G$1001,"&gt;0")=0),"违规：须先完成上一次加仓",IF(AND(B218&gt;1,E218&lt;SUMIFS($E$2:$E$1001,$A$2:$A$1001,A218,$B$2:$B$1001,B218-1)),"违规：新止损价不得低于上一次",IF(AND(B218&gt;1,F218&gt;SUMIFS($F$2:$F$1001,$A$2:$A$1001,A218,$B$2:$B$1001,B218-1)),"违规：风险预算须逐次不增加",IF(OR(_LockStatus="已锁仓",_LockStatus="解锁信息不完整"),"违规：锁仓期间禁止加仓",IF(G218="","计划可执行：建议股数见N列",IF(OR(G218&lt;=0,G218&lt;&gt;INT(G218),MOD(G218,100)&lt;&gt;0),"违规：实际股数须为100股整数倍",IF(G218&gt;N218,"违规：实际股数超过风险或金字塔上限",IF(AND(B218&gt;1,G218&gt;SUMIFS($G$2:$G$1001,$A$2:$A$1001,A218,$B$2:$B$1001,B218-1)),"违规：加仓股数须逐次不增加",IF(Q218&gt;F218,"违规：止损风险超过本次预算","通过")))))))))))))))</f>
        <v/>
      </c>
    </row>
    <row r="219" ht="17" spans="1:18">
      <c r="A219" s="13"/>
      <c r="B219" s="14"/>
      <c r="C219" s="15"/>
      <c r="D219" s="16"/>
      <c r="E219" s="16"/>
      <c r="F219" s="16"/>
      <c r="G219" s="14"/>
      <c r="H219" s="17" t="str">
        <f t="shared" si="24"/>
        <v/>
      </c>
      <c r="I219" s="18" t="str">
        <f>IF(OR(A219="",B219=""),"",IFERROR(LOOKUP(2,1/(单次交易!$A$2:$A$201=A219),单次交易!$H$2:$H$201),0)+SUMIFS($G$2:$G$1001,$A$2:$A$1001,A219,$B$2:$B$1001,"&lt;"&amp;B219))</f>
        <v/>
      </c>
      <c r="J219" s="17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17" t="str">
        <f t="shared" si="25"/>
        <v/>
      </c>
      <c r="L219" s="18" t="str">
        <f t="shared" si="26"/>
        <v/>
      </c>
      <c r="M219" s="18" t="str">
        <f t="shared" si="27"/>
        <v/>
      </c>
      <c r="N219" s="18" t="str">
        <f t="shared" si="28"/>
        <v/>
      </c>
      <c r="O219" s="18" t="str">
        <f t="shared" si="29"/>
        <v/>
      </c>
      <c r="P219" s="17" t="str">
        <f t="shared" si="30"/>
        <v/>
      </c>
      <c r="Q219" s="17" t="str">
        <f t="shared" si="31"/>
        <v/>
      </c>
      <c r="R219" s="19" t="str">
        <f ca="1">IF(A219="","",IF(COUNTIF(_TradeIds,A219)=0,"违规：交易编号不存在",IF(OR(B219="",B219&lt;1,B219&gt;5,B219&lt;&gt;INT(B219)),"违规：加仓序号须为1到5的整数",IF(COUNTIFS($A$2:$A$1001,A219,$B$2:$B$1001,B219)&gt;1,"违规：同一交易的加仓序号重复",IF(OR(D219="",E219="",F219=""),"计划不完整：请填写加仓价、新止损价和风险预算",IF(OR(D219&lt;=0,E219&lt;=0,F219&lt;=0,D219&lt;=E219),"违规：加仓价必须高于新止损价，金额须大于0",IF(AND(B219&gt;1,COUNTIFS($A$2:$A$1001,A219,$B$2:$B$1001,B219-1,$G$2:$G$1001,"&gt;0")=0),"违规：须先完成上一次加仓",IF(AND(B219&gt;1,E219&lt;SUMIFS($E$2:$E$1001,$A$2:$A$1001,A219,$B$2:$B$1001,B219-1)),"违规：新止损价不得低于上一次",IF(AND(B219&gt;1,F219&gt;SUMIFS($F$2:$F$1001,$A$2:$A$1001,A219,$B$2:$B$1001,B219-1)),"违规：风险预算须逐次不增加",IF(OR(_LockStatus="已锁仓",_LockStatus="解锁信息不完整"),"违规：锁仓期间禁止加仓",IF(G219="","计划可执行：建议股数见N列",IF(OR(G219&lt;=0,G219&lt;&gt;INT(G219),MOD(G219,100)&lt;&gt;0),"违规：实际股数须为100股整数倍",IF(G219&gt;N219,"违规：实际股数超过风险或金字塔上限",IF(AND(B219&gt;1,G219&gt;SUMIFS($G$2:$G$1001,$A$2:$A$1001,A219,$B$2:$B$1001,B219-1)),"违规：加仓股数须逐次不增加",IF(Q219&gt;F219,"违规：止损风险超过本次预算","通过")))))))))))))))</f>
        <v/>
      </c>
    </row>
    <row r="220" ht="17" spans="1:18">
      <c r="A220" s="13"/>
      <c r="B220" s="14"/>
      <c r="C220" s="15"/>
      <c r="D220" s="16"/>
      <c r="E220" s="16"/>
      <c r="F220" s="16"/>
      <c r="G220" s="14"/>
      <c r="H220" s="17" t="str">
        <f t="shared" si="24"/>
        <v/>
      </c>
      <c r="I220" s="18" t="str">
        <f>IF(OR(A220="",B220=""),"",IFERROR(LOOKUP(2,1/(单次交易!$A$2:$A$201=A220),单次交易!$H$2:$H$201),0)+SUMIFS($G$2:$G$1001,$A$2:$A$1001,A220,$B$2:$B$1001,"&lt;"&amp;B220))</f>
        <v/>
      </c>
      <c r="J220" s="17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17" t="str">
        <f t="shared" si="25"/>
        <v/>
      </c>
      <c r="L220" s="18" t="str">
        <f t="shared" si="26"/>
        <v/>
      </c>
      <c r="M220" s="18" t="str">
        <f t="shared" si="27"/>
        <v/>
      </c>
      <c r="N220" s="18" t="str">
        <f t="shared" si="28"/>
        <v/>
      </c>
      <c r="O220" s="18" t="str">
        <f t="shared" si="29"/>
        <v/>
      </c>
      <c r="P220" s="17" t="str">
        <f t="shared" si="30"/>
        <v/>
      </c>
      <c r="Q220" s="17" t="str">
        <f t="shared" si="31"/>
        <v/>
      </c>
      <c r="R220" s="19" t="str">
        <f ca="1">IF(A220="","",IF(COUNTIF(_TradeIds,A220)=0,"违规：交易编号不存在",IF(OR(B220="",B220&lt;1,B220&gt;5,B220&lt;&gt;INT(B220)),"违规：加仓序号须为1到5的整数",IF(COUNTIFS($A$2:$A$1001,A220,$B$2:$B$1001,B220)&gt;1,"违规：同一交易的加仓序号重复",IF(OR(D220="",E220="",F220=""),"计划不完整：请填写加仓价、新止损价和风险预算",IF(OR(D220&lt;=0,E220&lt;=0,F220&lt;=0,D220&lt;=E220),"违规：加仓价必须高于新止损价，金额须大于0",IF(AND(B220&gt;1,COUNTIFS($A$2:$A$1001,A220,$B$2:$B$1001,B220-1,$G$2:$G$1001,"&gt;0")=0),"违规：须先完成上一次加仓",IF(AND(B220&gt;1,E220&lt;SUMIFS($E$2:$E$1001,$A$2:$A$1001,A220,$B$2:$B$1001,B220-1)),"违规：新止损价不得低于上一次",IF(AND(B220&gt;1,F220&gt;SUMIFS($F$2:$F$1001,$A$2:$A$1001,A220,$B$2:$B$1001,B220-1)),"违规：风险预算须逐次不增加",IF(OR(_LockStatus="已锁仓",_LockStatus="解锁信息不完整"),"违规：锁仓期间禁止加仓",IF(G220="","计划可执行：建议股数见N列",IF(OR(G220&lt;=0,G220&lt;&gt;INT(G220),MOD(G220,100)&lt;&gt;0),"违规：实际股数须为100股整数倍",IF(G220&gt;N220,"违规：实际股数超过风险或金字塔上限",IF(AND(B220&gt;1,G220&gt;SUMIFS($G$2:$G$1001,$A$2:$A$1001,A220,$B$2:$B$1001,B220-1)),"违规：加仓股数须逐次不增加",IF(Q220&gt;F220,"违规：止损风险超过本次预算","通过")))))))))))))))</f>
        <v/>
      </c>
    </row>
    <row r="221" ht="17" spans="1:18">
      <c r="A221" s="13"/>
      <c r="B221" s="14"/>
      <c r="C221" s="15"/>
      <c r="D221" s="16"/>
      <c r="E221" s="16"/>
      <c r="F221" s="16"/>
      <c r="G221" s="14"/>
      <c r="H221" s="17" t="str">
        <f t="shared" si="24"/>
        <v/>
      </c>
      <c r="I221" s="18" t="str">
        <f>IF(OR(A221="",B221=""),"",IFERROR(LOOKUP(2,1/(单次交易!$A$2:$A$201=A221),单次交易!$H$2:$H$201),0)+SUMIFS($G$2:$G$1001,$A$2:$A$1001,A221,$B$2:$B$1001,"&lt;"&amp;B221))</f>
        <v/>
      </c>
      <c r="J221" s="17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17" t="str">
        <f t="shared" si="25"/>
        <v/>
      </c>
      <c r="L221" s="18" t="str">
        <f t="shared" si="26"/>
        <v/>
      </c>
      <c r="M221" s="18" t="str">
        <f t="shared" si="27"/>
        <v/>
      </c>
      <c r="N221" s="18" t="str">
        <f t="shared" si="28"/>
        <v/>
      </c>
      <c r="O221" s="18" t="str">
        <f t="shared" si="29"/>
        <v/>
      </c>
      <c r="P221" s="17" t="str">
        <f t="shared" si="30"/>
        <v/>
      </c>
      <c r="Q221" s="17" t="str">
        <f t="shared" si="31"/>
        <v/>
      </c>
      <c r="R221" s="19" t="str">
        <f ca="1">IF(A221="","",IF(COUNTIF(_TradeIds,A221)=0,"违规：交易编号不存在",IF(OR(B221="",B221&lt;1,B221&gt;5,B221&lt;&gt;INT(B221)),"违规：加仓序号须为1到5的整数",IF(COUNTIFS($A$2:$A$1001,A221,$B$2:$B$1001,B221)&gt;1,"违规：同一交易的加仓序号重复",IF(OR(D221="",E221="",F221=""),"计划不完整：请填写加仓价、新止损价和风险预算",IF(OR(D221&lt;=0,E221&lt;=0,F221&lt;=0,D221&lt;=E221),"违规：加仓价必须高于新止损价，金额须大于0",IF(AND(B221&gt;1,COUNTIFS($A$2:$A$1001,A221,$B$2:$B$1001,B221-1,$G$2:$G$1001,"&gt;0")=0),"违规：须先完成上一次加仓",IF(AND(B221&gt;1,E221&lt;SUMIFS($E$2:$E$1001,$A$2:$A$1001,A221,$B$2:$B$1001,B221-1)),"违规：新止损价不得低于上一次",IF(AND(B221&gt;1,F221&gt;SUMIFS($F$2:$F$1001,$A$2:$A$1001,A221,$B$2:$B$1001,B221-1)),"违规：风险预算须逐次不增加",IF(OR(_LockStatus="已锁仓",_LockStatus="解锁信息不完整"),"违规：锁仓期间禁止加仓",IF(G221="","计划可执行：建议股数见N列",IF(OR(G221&lt;=0,G221&lt;&gt;INT(G221),MOD(G221,100)&lt;&gt;0),"违规：实际股数须为100股整数倍",IF(G221&gt;N221,"违规：实际股数超过风险或金字塔上限",IF(AND(B221&gt;1,G221&gt;SUMIFS($G$2:$G$1001,$A$2:$A$1001,A221,$B$2:$B$1001,B221-1)),"违规：加仓股数须逐次不增加",IF(Q221&gt;F221,"违规：止损风险超过本次预算","通过")))))))))))))))</f>
        <v/>
      </c>
    </row>
    <row r="222" ht="17" spans="1:18">
      <c r="A222" s="13"/>
      <c r="B222" s="14"/>
      <c r="C222" s="15"/>
      <c r="D222" s="16"/>
      <c r="E222" s="16"/>
      <c r="F222" s="16"/>
      <c r="G222" s="14"/>
      <c r="H222" s="17" t="str">
        <f t="shared" si="24"/>
        <v/>
      </c>
      <c r="I222" s="18" t="str">
        <f>IF(OR(A222="",B222=""),"",IFERROR(LOOKUP(2,1/(单次交易!$A$2:$A$201=A222),单次交易!$H$2:$H$201),0)+SUMIFS($G$2:$G$1001,$A$2:$A$1001,A222,$B$2:$B$1001,"&lt;"&amp;B222))</f>
        <v/>
      </c>
      <c r="J222" s="17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17" t="str">
        <f t="shared" si="25"/>
        <v/>
      </c>
      <c r="L222" s="18" t="str">
        <f t="shared" si="26"/>
        <v/>
      </c>
      <c r="M222" s="18" t="str">
        <f t="shared" si="27"/>
        <v/>
      </c>
      <c r="N222" s="18" t="str">
        <f t="shared" si="28"/>
        <v/>
      </c>
      <c r="O222" s="18" t="str">
        <f t="shared" si="29"/>
        <v/>
      </c>
      <c r="P222" s="17" t="str">
        <f t="shared" si="30"/>
        <v/>
      </c>
      <c r="Q222" s="17" t="str">
        <f t="shared" si="31"/>
        <v/>
      </c>
      <c r="R222" s="19" t="str">
        <f ca="1">IF(A222="","",IF(COUNTIF(_TradeIds,A222)=0,"违规：交易编号不存在",IF(OR(B222="",B222&lt;1,B222&gt;5,B222&lt;&gt;INT(B222)),"违规：加仓序号须为1到5的整数",IF(COUNTIFS($A$2:$A$1001,A222,$B$2:$B$1001,B222)&gt;1,"违规：同一交易的加仓序号重复",IF(OR(D222="",E222="",F222=""),"计划不完整：请填写加仓价、新止损价和风险预算",IF(OR(D222&lt;=0,E222&lt;=0,F222&lt;=0,D222&lt;=E222),"违规：加仓价必须高于新止损价，金额须大于0",IF(AND(B222&gt;1,COUNTIFS($A$2:$A$1001,A222,$B$2:$B$1001,B222-1,$G$2:$G$1001,"&gt;0")=0),"违规：须先完成上一次加仓",IF(AND(B222&gt;1,E222&lt;SUMIFS($E$2:$E$1001,$A$2:$A$1001,A222,$B$2:$B$1001,B222-1)),"违规：新止损价不得低于上一次",IF(AND(B222&gt;1,F222&gt;SUMIFS($F$2:$F$1001,$A$2:$A$1001,A222,$B$2:$B$1001,B222-1)),"违规：风险预算须逐次不增加",IF(OR(_LockStatus="已锁仓",_LockStatus="解锁信息不完整"),"违规：锁仓期间禁止加仓",IF(G222="","计划可执行：建议股数见N列",IF(OR(G222&lt;=0,G222&lt;&gt;INT(G222),MOD(G222,100)&lt;&gt;0),"违规：实际股数须为100股整数倍",IF(G222&gt;N222,"违规：实际股数超过风险或金字塔上限",IF(AND(B222&gt;1,G222&gt;SUMIFS($G$2:$G$1001,$A$2:$A$1001,A222,$B$2:$B$1001,B222-1)),"违规：加仓股数须逐次不增加",IF(Q222&gt;F222,"违规：止损风险超过本次预算","通过")))))))))))))))</f>
        <v/>
      </c>
    </row>
    <row r="223" ht="17" spans="1:18">
      <c r="A223" s="13"/>
      <c r="B223" s="14"/>
      <c r="C223" s="15"/>
      <c r="D223" s="16"/>
      <c r="E223" s="16"/>
      <c r="F223" s="16"/>
      <c r="G223" s="14"/>
      <c r="H223" s="17" t="str">
        <f t="shared" si="24"/>
        <v/>
      </c>
      <c r="I223" s="18" t="str">
        <f>IF(OR(A223="",B223=""),"",IFERROR(LOOKUP(2,1/(单次交易!$A$2:$A$201=A223),单次交易!$H$2:$H$201),0)+SUMIFS($G$2:$G$1001,$A$2:$A$1001,A223,$B$2:$B$1001,"&lt;"&amp;B223))</f>
        <v/>
      </c>
      <c r="J223" s="17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17" t="str">
        <f t="shared" si="25"/>
        <v/>
      </c>
      <c r="L223" s="18" t="str">
        <f t="shared" si="26"/>
        <v/>
      </c>
      <c r="M223" s="18" t="str">
        <f t="shared" si="27"/>
        <v/>
      </c>
      <c r="N223" s="18" t="str">
        <f t="shared" si="28"/>
        <v/>
      </c>
      <c r="O223" s="18" t="str">
        <f t="shared" si="29"/>
        <v/>
      </c>
      <c r="P223" s="17" t="str">
        <f t="shared" si="30"/>
        <v/>
      </c>
      <c r="Q223" s="17" t="str">
        <f t="shared" si="31"/>
        <v/>
      </c>
      <c r="R223" s="19" t="str">
        <f ca="1">IF(A223="","",IF(COUNTIF(_TradeIds,A223)=0,"违规：交易编号不存在",IF(OR(B223="",B223&lt;1,B223&gt;5,B223&lt;&gt;INT(B223)),"违规：加仓序号须为1到5的整数",IF(COUNTIFS($A$2:$A$1001,A223,$B$2:$B$1001,B223)&gt;1,"违规：同一交易的加仓序号重复",IF(OR(D223="",E223="",F223=""),"计划不完整：请填写加仓价、新止损价和风险预算",IF(OR(D223&lt;=0,E223&lt;=0,F223&lt;=0,D223&lt;=E223),"违规：加仓价必须高于新止损价，金额须大于0",IF(AND(B223&gt;1,COUNTIFS($A$2:$A$1001,A223,$B$2:$B$1001,B223-1,$G$2:$G$1001,"&gt;0")=0),"违规：须先完成上一次加仓",IF(AND(B223&gt;1,E223&lt;SUMIFS($E$2:$E$1001,$A$2:$A$1001,A223,$B$2:$B$1001,B223-1)),"违规：新止损价不得低于上一次",IF(AND(B223&gt;1,F223&gt;SUMIFS($F$2:$F$1001,$A$2:$A$1001,A223,$B$2:$B$1001,B223-1)),"违规：风险预算须逐次不增加",IF(OR(_LockStatus="已锁仓",_LockStatus="解锁信息不完整"),"违规：锁仓期间禁止加仓",IF(G223="","计划可执行：建议股数见N列",IF(OR(G223&lt;=0,G223&lt;&gt;INT(G223),MOD(G223,100)&lt;&gt;0),"违规：实际股数须为100股整数倍",IF(G223&gt;N223,"违规：实际股数超过风险或金字塔上限",IF(AND(B223&gt;1,G223&gt;SUMIFS($G$2:$G$1001,$A$2:$A$1001,A223,$B$2:$B$1001,B223-1)),"违规：加仓股数须逐次不增加",IF(Q223&gt;F223,"违规：止损风险超过本次预算","通过")))))))))))))))</f>
        <v/>
      </c>
    </row>
    <row r="224" ht="17" spans="1:18">
      <c r="A224" s="13"/>
      <c r="B224" s="14"/>
      <c r="C224" s="15"/>
      <c r="D224" s="16"/>
      <c r="E224" s="16"/>
      <c r="F224" s="16"/>
      <c r="G224" s="14"/>
      <c r="H224" s="17" t="str">
        <f t="shared" si="24"/>
        <v/>
      </c>
      <c r="I224" s="18" t="str">
        <f>IF(OR(A224="",B224=""),"",IFERROR(LOOKUP(2,1/(单次交易!$A$2:$A$201=A224),单次交易!$H$2:$H$201),0)+SUMIFS($G$2:$G$1001,$A$2:$A$1001,A224,$B$2:$B$1001,"&lt;"&amp;B224))</f>
        <v/>
      </c>
      <c r="J224" s="17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17" t="str">
        <f t="shared" si="25"/>
        <v/>
      </c>
      <c r="L224" s="18" t="str">
        <f t="shared" si="26"/>
        <v/>
      </c>
      <c r="M224" s="18" t="str">
        <f t="shared" si="27"/>
        <v/>
      </c>
      <c r="N224" s="18" t="str">
        <f t="shared" si="28"/>
        <v/>
      </c>
      <c r="O224" s="18" t="str">
        <f t="shared" si="29"/>
        <v/>
      </c>
      <c r="P224" s="17" t="str">
        <f t="shared" si="30"/>
        <v/>
      </c>
      <c r="Q224" s="17" t="str">
        <f t="shared" si="31"/>
        <v/>
      </c>
      <c r="R224" s="19" t="str">
        <f ca="1">IF(A224="","",IF(COUNTIF(_TradeIds,A224)=0,"违规：交易编号不存在",IF(OR(B224="",B224&lt;1,B224&gt;5,B224&lt;&gt;INT(B224)),"违规：加仓序号须为1到5的整数",IF(COUNTIFS($A$2:$A$1001,A224,$B$2:$B$1001,B224)&gt;1,"违规：同一交易的加仓序号重复",IF(OR(D224="",E224="",F224=""),"计划不完整：请填写加仓价、新止损价和风险预算",IF(OR(D224&lt;=0,E224&lt;=0,F224&lt;=0,D224&lt;=E224),"违规：加仓价必须高于新止损价，金额须大于0",IF(AND(B224&gt;1,COUNTIFS($A$2:$A$1001,A224,$B$2:$B$1001,B224-1,$G$2:$G$1001,"&gt;0")=0),"违规：须先完成上一次加仓",IF(AND(B224&gt;1,E224&lt;SUMIFS($E$2:$E$1001,$A$2:$A$1001,A224,$B$2:$B$1001,B224-1)),"违规：新止损价不得低于上一次",IF(AND(B224&gt;1,F224&gt;SUMIFS($F$2:$F$1001,$A$2:$A$1001,A224,$B$2:$B$1001,B224-1)),"违规：风险预算须逐次不增加",IF(OR(_LockStatus="已锁仓",_LockStatus="解锁信息不完整"),"违规：锁仓期间禁止加仓",IF(G224="","计划可执行：建议股数见N列",IF(OR(G224&lt;=0,G224&lt;&gt;INT(G224),MOD(G224,100)&lt;&gt;0),"违规：实际股数须为100股整数倍",IF(G224&gt;N224,"违规：实际股数超过风险或金字塔上限",IF(AND(B224&gt;1,G224&gt;SUMIFS($G$2:$G$1001,$A$2:$A$1001,A224,$B$2:$B$1001,B224-1)),"违规：加仓股数须逐次不增加",IF(Q224&gt;F224,"违规：止损风险超过本次预算","通过")))))))))))))))</f>
        <v/>
      </c>
    </row>
    <row r="225" ht="17" spans="1:18">
      <c r="A225" s="13"/>
      <c r="B225" s="14"/>
      <c r="C225" s="15"/>
      <c r="D225" s="16"/>
      <c r="E225" s="16"/>
      <c r="F225" s="16"/>
      <c r="G225" s="14"/>
      <c r="H225" s="17" t="str">
        <f t="shared" si="24"/>
        <v/>
      </c>
      <c r="I225" s="18" t="str">
        <f>IF(OR(A225="",B225=""),"",IFERROR(LOOKUP(2,1/(单次交易!$A$2:$A$201=A225),单次交易!$H$2:$H$201),0)+SUMIFS($G$2:$G$1001,$A$2:$A$1001,A225,$B$2:$B$1001,"&lt;"&amp;B225))</f>
        <v/>
      </c>
      <c r="J225" s="17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17" t="str">
        <f t="shared" si="25"/>
        <v/>
      </c>
      <c r="L225" s="18" t="str">
        <f t="shared" si="26"/>
        <v/>
      </c>
      <c r="M225" s="18" t="str">
        <f t="shared" si="27"/>
        <v/>
      </c>
      <c r="N225" s="18" t="str">
        <f t="shared" si="28"/>
        <v/>
      </c>
      <c r="O225" s="18" t="str">
        <f t="shared" si="29"/>
        <v/>
      </c>
      <c r="P225" s="17" t="str">
        <f t="shared" si="30"/>
        <v/>
      </c>
      <c r="Q225" s="17" t="str">
        <f t="shared" si="31"/>
        <v/>
      </c>
      <c r="R225" s="19" t="str">
        <f ca="1">IF(A225="","",IF(COUNTIF(_TradeIds,A225)=0,"违规：交易编号不存在",IF(OR(B225="",B225&lt;1,B225&gt;5,B225&lt;&gt;INT(B225)),"违规：加仓序号须为1到5的整数",IF(COUNTIFS($A$2:$A$1001,A225,$B$2:$B$1001,B225)&gt;1,"违规：同一交易的加仓序号重复",IF(OR(D225="",E225="",F225=""),"计划不完整：请填写加仓价、新止损价和风险预算",IF(OR(D225&lt;=0,E225&lt;=0,F225&lt;=0,D225&lt;=E225),"违规：加仓价必须高于新止损价，金额须大于0",IF(AND(B225&gt;1,COUNTIFS($A$2:$A$1001,A225,$B$2:$B$1001,B225-1,$G$2:$G$1001,"&gt;0")=0),"违规：须先完成上一次加仓",IF(AND(B225&gt;1,E225&lt;SUMIFS($E$2:$E$1001,$A$2:$A$1001,A225,$B$2:$B$1001,B225-1)),"违规：新止损价不得低于上一次",IF(AND(B225&gt;1,F225&gt;SUMIFS($F$2:$F$1001,$A$2:$A$1001,A225,$B$2:$B$1001,B225-1)),"违规：风险预算须逐次不增加",IF(OR(_LockStatus="已锁仓",_LockStatus="解锁信息不完整"),"违规：锁仓期间禁止加仓",IF(G225="","计划可执行：建议股数见N列",IF(OR(G225&lt;=0,G225&lt;&gt;INT(G225),MOD(G225,100)&lt;&gt;0),"违规：实际股数须为100股整数倍",IF(G225&gt;N225,"违规：实际股数超过风险或金字塔上限",IF(AND(B225&gt;1,G225&gt;SUMIFS($G$2:$G$1001,$A$2:$A$1001,A225,$B$2:$B$1001,B225-1)),"违规：加仓股数须逐次不增加",IF(Q225&gt;F225,"违规：止损风险超过本次预算","通过")))))))))))))))</f>
        <v/>
      </c>
    </row>
    <row r="226" ht="17" spans="1:18">
      <c r="A226" s="13"/>
      <c r="B226" s="14"/>
      <c r="C226" s="15"/>
      <c r="D226" s="16"/>
      <c r="E226" s="16"/>
      <c r="F226" s="16"/>
      <c r="G226" s="14"/>
      <c r="H226" s="17" t="str">
        <f t="shared" si="24"/>
        <v/>
      </c>
      <c r="I226" s="18" t="str">
        <f>IF(OR(A226="",B226=""),"",IFERROR(LOOKUP(2,1/(单次交易!$A$2:$A$201=A226),单次交易!$H$2:$H$201),0)+SUMIFS($G$2:$G$1001,$A$2:$A$1001,A226,$B$2:$B$1001,"&lt;"&amp;B226))</f>
        <v/>
      </c>
      <c r="J226" s="17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17" t="str">
        <f t="shared" si="25"/>
        <v/>
      </c>
      <c r="L226" s="18" t="str">
        <f t="shared" si="26"/>
        <v/>
      </c>
      <c r="M226" s="18" t="str">
        <f t="shared" si="27"/>
        <v/>
      </c>
      <c r="N226" s="18" t="str">
        <f t="shared" si="28"/>
        <v/>
      </c>
      <c r="O226" s="18" t="str">
        <f t="shared" si="29"/>
        <v/>
      </c>
      <c r="P226" s="17" t="str">
        <f t="shared" si="30"/>
        <v/>
      </c>
      <c r="Q226" s="17" t="str">
        <f t="shared" si="31"/>
        <v/>
      </c>
      <c r="R226" s="19" t="str">
        <f ca="1">IF(A226="","",IF(COUNTIF(_TradeIds,A226)=0,"违规：交易编号不存在",IF(OR(B226="",B226&lt;1,B226&gt;5,B226&lt;&gt;INT(B226)),"违规：加仓序号须为1到5的整数",IF(COUNTIFS($A$2:$A$1001,A226,$B$2:$B$1001,B226)&gt;1,"违规：同一交易的加仓序号重复",IF(OR(D226="",E226="",F226=""),"计划不完整：请填写加仓价、新止损价和风险预算",IF(OR(D226&lt;=0,E226&lt;=0,F226&lt;=0,D226&lt;=E226),"违规：加仓价必须高于新止损价，金额须大于0",IF(AND(B226&gt;1,COUNTIFS($A$2:$A$1001,A226,$B$2:$B$1001,B226-1,$G$2:$G$1001,"&gt;0")=0),"违规：须先完成上一次加仓",IF(AND(B226&gt;1,E226&lt;SUMIFS($E$2:$E$1001,$A$2:$A$1001,A226,$B$2:$B$1001,B226-1)),"违规：新止损价不得低于上一次",IF(AND(B226&gt;1,F226&gt;SUMIFS($F$2:$F$1001,$A$2:$A$1001,A226,$B$2:$B$1001,B226-1)),"违规：风险预算须逐次不增加",IF(OR(_LockStatus="已锁仓",_LockStatus="解锁信息不完整"),"违规：锁仓期间禁止加仓",IF(G226="","计划可执行：建议股数见N列",IF(OR(G226&lt;=0,G226&lt;&gt;INT(G226),MOD(G226,100)&lt;&gt;0),"违规：实际股数须为100股整数倍",IF(G226&gt;N226,"违规：实际股数超过风险或金字塔上限",IF(AND(B226&gt;1,G226&gt;SUMIFS($G$2:$G$1001,$A$2:$A$1001,A226,$B$2:$B$1001,B226-1)),"违规：加仓股数须逐次不增加",IF(Q226&gt;F226,"违规：止损风险超过本次预算","通过")))))))))))))))</f>
        <v/>
      </c>
    </row>
    <row r="227" ht="17" spans="1:18">
      <c r="A227" s="13"/>
      <c r="B227" s="14"/>
      <c r="C227" s="15"/>
      <c r="D227" s="16"/>
      <c r="E227" s="16"/>
      <c r="F227" s="16"/>
      <c r="G227" s="14"/>
      <c r="H227" s="17" t="str">
        <f t="shared" si="24"/>
        <v/>
      </c>
      <c r="I227" s="18" t="str">
        <f>IF(OR(A227="",B227=""),"",IFERROR(LOOKUP(2,1/(单次交易!$A$2:$A$201=A227),单次交易!$H$2:$H$201),0)+SUMIFS($G$2:$G$1001,$A$2:$A$1001,A227,$B$2:$B$1001,"&lt;"&amp;B227))</f>
        <v/>
      </c>
      <c r="J227" s="17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17" t="str">
        <f t="shared" si="25"/>
        <v/>
      </c>
      <c r="L227" s="18" t="str">
        <f t="shared" si="26"/>
        <v/>
      </c>
      <c r="M227" s="18" t="str">
        <f t="shared" si="27"/>
        <v/>
      </c>
      <c r="N227" s="18" t="str">
        <f t="shared" si="28"/>
        <v/>
      </c>
      <c r="O227" s="18" t="str">
        <f t="shared" si="29"/>
        <v/>
      </c>
      <c r="P227" s="17" t="str">
        <f t="shared" si="30"/>
        <v/>
      </c>
      <c r="Q227" s="17" t="str">
        <f t="shared" si="31"/>
        <v/>
      </c>
      <c r="R227" s="19" t="str">
        <f ca="1">IF(A227="","",IF(COUNTIF(_TradeIds,A227)=0,"违规：交易编号不存在",IF(OR(B227="",B227&lt;1,B227&gt;5,B227&lt;&gt;INT(B227)),"违规：加仓序号须为1到5的整数",IF(COUNTIFS($A$2:$A$1001,A227,$B$2:$B$1001,B227)&gt;1,"违规：同一交易的加仓序号重复",IF(OR(D227="",E227="",F227=""),"计划不完整：请填写加仓价、新止损价和风险预算",IF(OR(D227&lt;=0,E227&lt;=0,F227&lt;=0,D227&lt;=E227),"违规：加仓价必须高于新止损价，金额须大于0",IF(AND(B227&gt;1,COUNTIFS($A$2:$A$1001,A227,$B$2:$B$1001,B227-1,$G$2:$G$1001,"&gt;0")=0),"违规：须先完成上一次加仓",IF(AND(B227&gt;1,E227&lt;SUMIFS($E$2:$E$1001,$A$2:$A$1001,A227,$B$2:$B$1001,B227-1)),"违规：新止损价不得低于上一次",IF(AND(B227&gt;1,F227&gt;SUMIFS($F$2:$F$1001,$A$2:$A$1001,A227,$B$2:$B$1001,B227-1)),"违规：风险预算须逐次不增加",IF(OR(_LockStatus="已锁仓",_LockStatus="解锁信息不完整"),"违规：锁仓期间禁止加仓",IF(G227="","计划可执行：建议股数见N列",IF(OR(G227&lt;=0,G227&lt;&gt;INT(G227),MOD(G227,100)&lt;&gt;0),"违规：实际股数须为100股整数倍",IF(G227&gt;N227,"违规：实际股数超过风险或金字塔上限",IF(AND(B227&gt;1,G227&gt;SUMIFS($G$2:$G$1001,$A$2:$A$1001,A227,$B$2:$B$1001,B227-1)),"违规：加仓股数须逐次不增加",IF(Q227&gt;F227,"违规：止损风险超过本次预算","通过")))))))))))))))</f>
        <v/>
      </c>
    </row>
    <row r="228" ht="17" spans="1:18">
      <c r="A228" s="13"/>
      <c r="B228" s="14"/>
      <c r="C228" s="15"/>
      <c r="D228" s="16"/>
      <c r="E228" s="16"/>
      <c r="F228" s="16"/>
      <c r="G228" s="14"/>
      <c r="H228" s="17" t="str">
        <f t="shared" si="24"/>
        <v/>
      </c>
      <c r="I228" s="18" t="str">
        <f>IF(OR(A228="",B228=""),"",IFERROR(LOOKUP(2,1/(单次交易!$A$2:$A$201=A228),单次交易!$H$2:$H$201),0)+SUMIFS($G$2:$G$1001,$A$2:$A$1001,A228,$B$2:$B$1001,"&lt;"&amp;B228))</f>
        <v/>
      </c>
      <c r="J228" s="17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17" t="str">
        <f t="shared" si="25"/>
        <v/>
      </c>
      <c r="L228" s="18" t="str">
        <f t="shared" si="26"/>
        <v/>
      </c>
      <c r="M228" s="18" t="str">
        <f t="shared" si="27"/>
        <v/>
      </c>
      <c r="N228" s="18" t="str">
        <f t="shared" si="28"/>
        <v/>
      </c>
      <c r="O228" s="18" t="str">
        <f t="shared" si="29"/>
        <v/>
      </c>
      <c r="P228" s="17" t="str">
        <f t="shared" si="30"/>
        <v/>
      </c>
      <c r="Q228" s="17" t="str">
        <f t="shared" si="31"/>
        <v/>
      </c>
      <c r="R228" s="19" t="str">
        <f ca="1">IF(A228="","",IF(COUNTIF(_TradeIds,A228)=0,"违规：交易编号不存在",IF(OR(B228="",B228&lt;1,B228&gt;5,B228&lt;&gt;INT(B228)),"违规：加仓序号须为1到5的整数",IF(COUNTIFS($A$2:$A$1001,A228,$B$2:$B$1001,B228)&gt;1,"违规：同一交易的加仓序号重复",IF(OR(D228="",E228="",F228=""),"计划不完整：请填写加仓价、新止损价和风险预算",IF(OR(D228&lt;=0,E228&lt;=0,F228&lt;=0,D228&lt;=E228),"违规：加仓价必须高于新止损价，金额须大于0",IF(AND(B228&gt;1,COUNTIFS($A$2:$A$1001,A228,$B$2:$B$1001,B228-1,$G$2:$G$1001,"&gt;0")=0),"违规：须先完成上一次加仓",IF(AND(B228&gt;1,E228&lt;SUMIFS($E$2:$E$1001,$A$2:$A$1001,A228,$B$2:$B$1001,B228-1)),"违规：新止损价不得低于上一次",IF(AND(B228&gt;1,F228&gt;SUMIFS($F$2:$F$1001,$A$2:$A$1001,A228,$B$2:$B$1001,B228-1)),"违规：风险预算须逐次不增加",IF(OR(_LockStatus="已锁仓",_LockStatus="解锁信息不完整"),"违规：锁仓期间禁止加仓",IF(G228="","计划可执行：建议股数见N列",IF(OR(G228&lt;=0,G228&lt;&gt;INT(G228),MOD(G228,100)&lt;&gt;0),"违规：实际股数须为100股整数倍",IF(G228&gt;N228,"违规：实际股数超过风险或金字塔上限",IF(AND(B228&gt;1,G228&gt;SUMIFS($G$2:$G$1001,$A$2:$A$1001,A228,$B$2:$B$1001,B228-1)),"违规：加仓股数须逐次不增加",IF(Q228&gt;F228,"违规：止损风险超过本次预算","通过")))))))))))))))</f>
        <v/>
      </c>
    </row>
    <row r="229" ht="17" spans="1:18">
      <c r="A229" s="13"/>
      <c r="B229" s="14"/>
      <c r="C229" s="15"/>
      <c r="D229" s="16"/>
      <c r="E229" s="16"/>
      <c r="F229" s="16"/>
      <c r="G229" s="14"/>
      <c r="H229" s="17" t="str">
        <f t="shared" si="24"/>
        <v/>
      </c>
      <c r="I229" s="18" t="str">
        <f>IF(OR(A229="",B229=""),"",IFERROR(LOOKUP(2,1/(单次交易!$A$2:$A$201=A229),单次交易!$H$2:$H$201),0)+SUMIFS($G$2:$G$1001,$A$2:$A$1001,A229,$B$2:$B$1001,"&lt;"&amp;B229))</f>
        <v/>
      </c>
      <c r="J229" s="17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17" t="str">
        <f t="shared" si="25"/>
        <v/>
      </c>
      <c r="L229" s="18" t="str">
        <f t="shared" si="26"/>
        <v/>
      </c>
      <c r="M229" s="18" t="str">
        <f t="shared" si="27"/>
        <v/>
      </c>
      <c r="N229" s="18" t="str">
        <f t="shared" si="28"/>
        <v/>
      </c>
      <c r="O229" s="18" t="str">
        <f t="shared" si="29"/>
        <v/>
      </c>
      <c r="P229" s="17" t="str">
        <f t="shared" si="30"/>
        <v/>
      </c>
      <c r="Q229" s="17" t="str">
        <f t="shared" si="31"/>
        <v/>
      </c>
      <c r="R229" s="19" t="str">
        <f ca="1">IF(A229="","",IF(COUNTIF(_TradeIds,A229)=0,"违规：交易编号不存在",IF(OR(B229="",B229&lt;1,B229&gt;5,B229&lt;&gt;INT(B229)),"违规：加仓序号须为1到5的整数",IF(COUNTIFS($A$2:$A$1001,A229,$B$2:$B$1001,B229)&gt;1,"违规：同一交易的加仓序号重复",IF(OR(D229="",E229="",F229=""),"计划不完整：请填写加仓价、新止损价和风险预算",IF(OR(D229&lt;=0,E229&lt;=0,F229&lt;=0,D229&lt;=E229),"违规：加仓价必须高于新止损价，金额须大于0",IF(AND(B229&gt;1,COUNTIFS($A$2:$A$1001,A229,$B$2:$B$1001,B229-1,$G$2:$G$1001,"&gt;0")=0),"违规：须先完成上一次加仓",IF(AND(B229&gt;1,E229&lt;SUMIFS($E$2:$E$1001,$A$2:$A$1001,A229,$B$2:$B$1001,B229-1)),"违规：新止损价不得低于上一次",IF(AND(B229&gt;1,F229&gt;SUMIFS($F$2:$F$1001,$A$2:$A$1001,A229,$B$2:$B$1001,B229-1)),"违规：风险预算须逐次不增加",IF(OR(_LockStatus="已锁仓",_LockStatus="解锁信息不完整"),"违规：锁仓期间禁止加仓",IF(G229="","计划可执行：建议股数见N列",IF(OR(G229&lt;=0,G229&lt;&gt;INT(G229),MOD(G229,100)&lt;&gt;0),"违规：实际股数须为100股整数倍",IF(G229&gt;N229,"违规：实际股数超过风险或金字塔上限",IF(AND(B229&gt;1,G229&gt;SUMIFS($G$2:$G$1001,$A$2:$A$1001,A229,$B$2:$B$1001,B229-1)),"违规：加仓股数须逐次不增加",IF(Q229&gt;F229,"违规：止损风险超过本次预算","通过")))))))))))))))</f>
        <v/>
      </c>
    </row>
    <row r="230" ht="17" spans="1:18">
      <c r="A230" s="13"/>
      <c r="B230" s="14"/>
      <c r="C230" s="15"/>
      <c r="D230" s="16"/>
      <c r="E230" s="16"/>
      <c r="F230" s="16"/>
      <c r="G230" s="14"/>
      <c r="H230" s="17" t="str">
        <f t="shared" si="24"/>
        <v/>
      </c>
      <c r="I230" s="18" t="str">
        <f>IF(OR(A230="",B230=""),"",IFERROR(LOOKUP(2,1/(单次交易!$A$2:$A$201=A230),单次交易!$H$2:$H$201),0)+SUMIFS($G$2:$G$1001,$A$2:$A$1001,A230,$B$2:$B$1001,"&lt;"&amp;B230))</f>
        <v/>
      </c>
      <c r="J230" s="17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17" t="str">
        <f t="shared" si="25"/>
        <v/>
      </c>
      <c r="L230" s="18" t="str">
        <f t="shared" si="26"/>
        <v/>
      </c>
      <c r="M230" s="18" t="str">
        <f t="shared" si="27"/>
        <v/>
      </c>
      <c r="N230" s="18" t="str">
        <f t="shared" si="28"/>
        <v/>
      </c>
      <c r="O230" s="18" t="str">
        <f t="shared" si="29"/>
        <v/>
      </c>
      <c r="P230" s="17" t="str">
        <f t="shared" si="30"/>
        <v/>
      </c>
      <c r="Q230" s="17" t="str">
        <f t="shared" si="31"/>
        <v/>
      </c>
      <c r="R230" s="19" t="str">
        <f ca="1">IF(A230="","",IF(COUNTIF(_TradeIds,A230)=0,"违规：交易编号不存在",IF(OR(B230="",B230&lt;1,B230&gt;5,B230&lt;&gt;INT(B230)),"违规：加仓序号须为1到5的整数",IF(COUNTIFS($A$2:$A$1001,A230,$B$2:$B$1001,B230)&gt;1,"违规：同一交易的加仓序号重复",IF(OR(D230="",E230="",F230=""),"计划不完整：请填写加仓价、新止损价和风险预算",IF(OR(D230&lt;=0,E230&lt;=0,F230&lt;=0,D230&lt;=E230),"违规：加仓价必须高于新止损价，金额须大于0",IF(AND(B230&gt;1,COUNTIFS($A$2:$A$1001,A230,$B$2:$B$1001,B230-1,$G$2:$G$1001,"&gt;0")=0),"违规：须先完成上一次加仓",IF(AND(B230&gt;1,E230&lt;SUMIFS($E$2:$E$1001,$A$2:$A$1001,A230,$B$2:$B$1001,B230-1)),"违规：新止损价不得低于上一次",IF(AND(B230&gt;1,F230&gt;SUMIFS($F$2:$F$1001,$A$2:$A$1001,A230,$B$2:$B$1001,B230-1)),"违规：风险预算须逐次不增加",IF(OR(_LockStatus="已锁仓",_LockStatus="解锁信息不完整"),"违规：锁仓期间禁止加仓",IF(G230="","计划可执行：建议股数见N列",IF(OR(G230&lt;=0,G230&lt;&gt;INT(G230),MOD(G230,100)&lt;&gt;0),"违规：实际股数须为100股整数倍",IF(G230&gt;N230,"违规：实际股数超过风险或金字塔上限",IF(AND(B230&gt;1,G230&gt;SUMIFS($G$2:$G$1001,$A$2:$A$1001,A230,$B$2:$B$1001,B230-1)),"违规：加仓股数须逐次不增加",IF(Q230&gt;F230,"违规：止损风险超过本次预算","通过")))))))))))))))</f>
        <v/>
      </c>
    </row>
    <row r="231" ht="17" spans="1:18">
      <c r="A231" s="13"/>
      <c r="B231" s="14"/>
      <c r="C231" s="15"/>
      <c r="D231" s="16"/>
      <c r="E231" s="16"/>
      <c r="F231" s="16"/>
      <c r="G231" s="14"/>
      <c r="H231" s="17" t="str">
        <f t="shared" si="24"/>
        <v/>
      </c>
      <c r="I231" s="18" t="str">
        <f>IF(OR(A231="",B231=""),"",IFERROR(LOOKUP(2,1/(单次交易!$A$2:$A$201=A231),单次交易!$H$2:$H$201),0)+SUMIFS($G$2:$G$1001,$A$2:$A$1001,A231,$B$2:$B$1001,"&lt;"&amp;B231))</f>
        <v/>
      </c>
      <c r="J231" s="17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17" t="str">
        <f t="shared" si="25"/>
        <v/>
      </c>
      <c r="L231" s="18" t="str">
        <f t="shared" si="26"/>
        <v/>
      </c>
      <c r="M231" s="18" t="str">
        <f t="shared" si="27"/>
        <v/>
      </c>
      <c r="N231" s="18" t="str">
        <f t="shared" si="28"/>
        <v/>
      </c>
      <c r="O231" s="18" t="str">
        <f t="shared" si="29"/>
        <v/>
      </c>
      <c r="P231" s="17" t="str">
        <f t="shared" si="30"/>
        <v/>
      </c>
      <c r="Q231" s="17" t="str">
        <f t="shared" si="31"/>
        <v/>
      </c>
      <c r="R231" s="19" t="str">
        <f ca="1">IF(A231="","",IF(COUNTIF(_TradeIds,A231)=0,"违规：交易编号不存在",IF(OR(B231="",B231&lt;1,B231&gt;5,B231&lt;&gt;INT(B231)),"违规：加仓序号须为1到5的整数",IF(COUNTIFS($A$2:$A$1001,A231,$B$2:$B$1001,B231)&gt;1,"违规：同一交易的加仓序号重复",IF(OR(D231="",E231="",F231=""),"计划不完整：请填写加仓价、新止损价和风险预算",IF(OR(D231&lt;=0,E231&lt;=0,F231&lt;=0,D231&lt;=E231),"违规：加仓价必须高于新止损价，金额须大于0",IF(AND(B231&gt;1,COUNTIFS($A$2:$A$1001,A231,$B$2:$B$1001,B231-1,$G$2:$G$1001,"&gt;0")=0),"违规：须先完成上一次加仓",IF(AND(B231&gt;1,E231&lt;SUMIFS($E$2:$E$1001,$A$2:$A$1001,A231,$B$2:$B$1001,B231-1)),"违规：新止损价不得低于上一次",IF(AND(B231&gt;1,F231&gt;SUMIFS($F$2:$F$1001,$A$2:$A$1001,A231,$B$2:$B$1001,B231-1)),"违规：风险预算须逐次不增加",IF(OR(_LockStatus="已锁仓",_LockStatus="解锁信息不完整"),"违规：锁仓期间禁止加仓",IF(G231="","计划可执行：建议股数见N列",IF(OR(G231&lt;=0,G231&lt;&gt;INT(G231),MOD(G231,100)&lt;&gt;0),"违规：实际股数须为100股整数倍",IF(G231&gt;N231,"违规：实际股数超过风险或金字塔上限",IF(AND(B231&gt;1,G231&gt;SUMIFS($G$2:$G$1001,$A$2:$A$1001,A231,$B$2:$B$1001,B231-1)),"违规：加仓股数须逐次不增加",IF(Q231&gt;F231,"违规：止损风险超过本次预算","通过")))))))))))))))</f>
        <v/>
      </c>
    </row>
    <row r="232" ht="17" spans="1:18">
      <c r="A232" s="13"/>
      <c r="B232" s="14"/>
      <c r="C232" s="15"/>
      <c r="D232" s="16"/>
      <c r="E232" s="16"/>
      <c r="F232" s="16"/>
      <c r="G232" s="14"/>
      <c r="H232" s="17" t="str">
        <f t="shared" si="24"/>
        <v/>
      </c>
      <c r="I232" s="18" t="str">
        <f>IF(OR(A232="",B232=""),"",IFERROR(LOOKUP(2,1/(单次交易!$A$2:$A$201=A232),单次交易!$H$2:$H$201),0)+SUMIFS($G$2:$G$1001,$A$2:$A$1001,A232,$B$2:$B$1001,"&lt;"&amp;B232))</f>
        <v/>
      </c>
      <c r="J232" s="17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17" t="str">
        <f t="shared" si="25"/>
        <v/>
      </c>
      <c r="L232" s="18" t="str">
        <f t="shared" si="26"/>
        <v/>
      </c>
      <c r="M232" s="18" t="str">
        <f t="shared" si="27"/>
        <v/>
      </c>
      <c r="N232" s="18" t="str">
        <f t="shared" si="28"/>
        <v/>
      </c>
      <c r="O232" s="18" t="str">
        <f t="shared" si="29"/>
        <v/>
      </c>
      <c r="P232" s="17" t="str">
        <f t="shared" si="30"/>
        <v/>
      </c>
      <c r="Q232" s="17" t="str">
        <f t="shared" si="31"/>
        <v/>
      </c>
      <c r="R232" s="19" t="str">
        <f ca="1">IF(A232="","",IF(COUNTIF(_TradeIds,A232)=0,"违规：交易编号不存在",IF(OR(B232="",B232&lt;1,B232&gt;5,B232&lt;&gt;INT(B232)),"违规：加仓序号须为1到5的整数",IF(COUNTIFS($A$2:$A$1001,A232,$B$2:$B$1001,B232)&gt;1,"违规：同一交易的加仓序号重复",IF(OR(D232="",E232="",F232=""),"计划不完整：请填写加仓价、新止损价和风险预算",IF(OR(D232&lt;=0,E232&lt;=0,F232&lt;=0,D232&lt;=E232),"违规：加仓价必须高于新止损价，金额须大于0",IF(AND(B232&gt;1,COUNTIFS($A$2:$A$1001,A232,$B$2:$B$1001,B232-1,$G$2:$G$1001,"&gt;0")=0),"违规：须先完成上一次加仓",IF(AND(B232&gt;1,E232&lt;SUMIFS($E$2:$E$1001,$A$2:$A$1001,A232,$B$2:$B$1001,B232-1)),"违规：新止损价不得低于上一次",IF(AND(B232&gt;1,F232&gt;SUMIFS($F$2:$F$1001,$A$2:$A$1001,A232,$B$2:$B$1001,B232-1)),"违规：风险预算须逐次不增加",IF(OR(_LockStatus="已锁仓",_LockStatus="解锁信息不完整"),"违规：锁仓期间禁止加仓",IF(G232="","计划可执行：建议股数见N列",IF(OR(G232&lt;=0,G232&lt;&gt;INT(G232),MOD(G232,100)&lt;&gt;0),"违规：实际股数须为100股整数倍",IF(G232&gt;N232,"违规：实际股数超过风险或金字塔上限",IF(AND(B232&gt;1,G232&gt;SUMIFS($G$2:$G$1001,$A$2:$A$1001,A232,$B$2:$B$1001,B232-1)),"违规：加仓股数须逐次不增加",IF(Q232&gt;F232,"违规：止损风险超过本次预算","通过")))))))))))))))</f>
        <v/>
      </c>
    </row>
    <row r="233" ht="17" spans="1:18">
      <c r="A233" s="13"/>
      <c r="B233" s="14"/>
      <c r="C233" s="15"/>
      <c r="D233" s="16"/>
      <c r="E233" s="16"/>
      <c r="F233" s="16"/>
      <c r="G233" s="14"/>
      <c r="H233" s="17" t="str">
        <f t="shared" si="24"/>
        <v/>
      </c>
      <c r="I233" s="18" t="str">
        <f>IF(OR(A233="",B233=""),"",IFERROR(LOOKUP(2,1/(单次交易!$A$2:$A$201=A233),单次交易!$H$2:$H$201),0)+SUMIFS($G$2:$G$1001,$A$2:$A$1001,A233,$B$2:$B$1001,"&lt;"&amp;B233))</f>
        <v/>
      </c>
      <c r="J233" s="17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17" t="str">
        <f t="shared" si="25"/>
        <v/>
      </c>
      <c r="L233" s="18" t="str">
        <f t="shared" si="26"/>
        <v/>
      </c>
      <c r="M233" s="18" t="str">
        <f t="shared" si="27"/>
        <v/>
      </c>
      <c r="N233" s="18" t="str">
        <f t="shared" si="28"/>
        <v/>
      </c>
      <c r="O233" s="18" t="str">
        <f t="shared" si="29"/>
        <v/>
      </c>
      <c r="P233" s="17" t="str">
        <f t="shared" si="30"/>
        <v/>
      </c>
      <c r="Q233" s="17" t="str">
        <f t="shared" si="31"/>
        <v/>
      </c>
      <c r="R233" s="19" t="str">
        <f ca="1">IF(A233="","",IF(COUNTIF(_TradeIds,A233)=0,"违规：交易编号不存在",IF(OR(B233="",B233&lt;1,B233&gt;5,B233&lt;&gt;INT(B233)),"违规：加仓序号须为1到5的整数",IF(COUNTIFS($A$2:$A$1001,A233,$B$2:$B$1001,B233)&gt;1,"违规：同一交易的加仓序号重复",IF(OR(D233="",E233="",F233=""),"计划不完整：请填写加仓价、新止损价和风险预算",IF(OR(D233&lt;=0,E233&lt;=0,F233&lt;=0,D233&lt;=E233),"违规：加仓价必须高于新止损价，金额须大于0",IF(AND(B233&gt;1,COUNTIFS($A$2:$A$1001,A233,$B$2:$B$1001,B233-1,$G$2:$G$1001,"&gt;0")=0),"违规：须先完成上一次加仓",IF(AND(B233&gt;1,E233&lt;SUMIFS($E$2:$E$1001,$A$2:$A$1001,A233,$B$2:$B$1001,B233-1)),"违规：新止损价不得低于上一次",IF(AND(B233&gt;1,F233&gt;SUMIFS($F$2:$F$1001,$A$2:$A$1001,A233,$B$2:$B$1001,B233-1)),"违规：风险预算须逐次不增加",IF(OR(_LockStatus="已锁仓",_LockStatus="解锁信息不完整"),"违规：锁仓期间禁止加仓",IF(G233="","计划可执行：建议股数见N列",IF(OR(G233&lt;=0,G233&lt;&gt;INT(G233),MOD(G233,100)&lt;&gt;0),"违规：实际股数须为100股整数倍",IF(G233&gt;N233,"违规：实际股数超过风险或金字塔上限",IF(AND(B233&gt;1,G233&gt;SUMIFS($G$2:$G$1001,$A$2:$A$1001,A233,$B$2:$B$1001,B233-1)),"违规：加仓股数须逐次不增加",IF(Q233&gt;F233,"违规：止损风险超过本次预算","通过")))))))))))))))</f>
        <v/>
      </c>
    </row>
    <row r="234" ht="17" spans="1:18">
      <c r="A234" s="13"/>
      <c r="B234" s="14"/>
      <c r="C234" s="15"/>
      <c r="D234" s="16"/>
      <c r="E234" s="16"/>
      <c r="F234" s="16"/>
      <c r="G234" s="14"/>
      <c r="H234" s="17" t="str">
        <f t="shared" si="24"/>
        <v/>
      </c>
      <c r="I234" s="18" t="str">
        <f>IF(OR(A234="",B234=""),"",IFERROR(LOOKUP(2,1/(单次交易!$A$2:$A$201=A234),单次交易!$H$2:$H$201),0)+SUMIFS($G$2:$G$1001,$A$2:$A$1001,A234,$B$2:$B$1001,"&lt;"&amp;B234))</f>
        <v/>
      </c>
      <c r="J234" s="17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17" t="str">
        <f t="shared" si="25"/>
        <v/>
      </c>
      <c r="L234" s="18" t="str">
        <f t="shared" si="26"/>
        <v/>
      </c>
      <c r="M234" s="18" t="str">
        <f t="shared" si="27"/>
        <v/>
      </c>
      <c r="N234" s="18" t="str">
        <f t="shared" si="28"/>
        <v/>
      </c>
      <c r="O234" s="18" t="str">
        <f t="shared" si="29"/>
        <v/>
      </c>
      <c r="P234" s="17" t="str">
        <f t="shared" si="30"/>
        <v/>
      </c>
      <c r="Q234" s="17" t="str">
        <f t="shared" si="31"/>
        <v/>
      </c>
      <c r="R234" s="19" t="str">
        <f ca="1">IF(A234="","",IF(COUNTIF(_TradeIds,A234)=0,"违规：交易编号不存在",IF(OR(B234="",B234&lt;1,B234&gt;5,B234&lt;&gt;INT(B234)),"违规：加仓序号须为1到5的整数",IF(COUNTIFS($A$2:$A$1001,A234,$B$2:$B$1001,B234)&gt;1,"违规：同一交易的加仓序号重复",IF(OR(D234="",E234="",F234=""),"计划不完整：请填写加仓价、新止损价和风险预算",IF(OR(D234&lt;=0,E234&lt;=0,F234&lt;=0,D234&lt;=E234),"违规：加仓价必须高于新止损价，金额须大于0",IF(AND(B234&gt;1,COUNTIFS($A$2:$A$1001,A234,$B$2:$B$1001,B234-1,$G$2:$G$1001,"&gt;0")=0),"违规：须先完成上一次加仓",IF(AND(B234&gt;1,E234&lt;SUMIFS($E$2:$E$1001,$A$2:$A$1001,A234,$B$2:$B$1001,B234-1)),"违规：新止损价不得低于上一次",IF(AND(B234&gt;1,F234&gt;SUMIFS($F$2:$F$1001,$A$2:$A$1001,A234,$B$2:$B$1001,B234-1)),"违规：风险预算须逐次不增加",IF(OR(_LockStatus="已锁仓",_LockStatus="解锁信息不完整"),"违规：锁仓期间禁止加仓",IF(G234="","计划可执行：建议股数见N列",IF(OR(G234&lt;=0,G234&lt;&gt;INT(G234),MOD(G234,100)&lt;&gt;0),"违规：实际股数须为100股整数倍",IF(G234&gt;N234,"违规：实际股数超过风险或金字塔上限",IF(AND(B234&gt;1,G234&gt;SUMIFS($G$2:$G$1001,$A$2:$A$1001,A234,$B$2:$B$1001,B234-1)),"违规：加仓股数须逐次不增加",IF(Q234&gt;F234,"违规：止损风险超过本次预算","通过")))))))))))))))</f>
        <v/>
      </c>
    </row>
    <row r="235" ht="17" spans="1:18">
      <c r="A235" s="13"/>
      <c r="B235" s="14"/>
      <c r="C235" s="15"/>
      <c r="D235" s="16"/>
      <c r="E235" s="16"/>
      <c r="F235" s="16"/>
      <c r="G235" s="14"/>
      <c r="H235" s="17" t="str">
        <f t="shared" si="24"/>
        <v/>
      </c>
      <c r="I235" s="18" t="str">
        <f>IF(OR(A235="",B235=""),"",IFERROR(LOOKUP(2,1/(单次交易!$A$2:$A$201=A235),单次交易!$H$2:$H$201),0)+SUMIFS($G$2:$G$1001,$A$2:$A$1001,A235,$B$2:$B$1001,"&lt;"&amp;B235))</f>
        <v/>
      </c>
      <c r="J235" s="17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17" t="str">
        <f t="shared" si="25"/>
        <v/>
      </c>
      <c r="L235" s="18" t="str">
        <f t="shared" si="26"/>
        <v/>
      </c>
      <c r="M235" s="18" t="str">
        <f t="shared" si="27"/>
        <v/>
      </c>
      <c r="N235" s="18" t="str">
        <f t="shared" si="28"/>
        <v/>
      </c>
      <c r="O235" s="18" t="str">
        <f t="shared" si="29"/>
        <v/>
      </c>
      <c r="P235" s="17" t="str">
        <f t="shared" si="30"/>
        <v/>
      </c>
      <c r="Q235" s="17" t="str">
        <f t="shared" si="31"/>
        <v/>
      </c>
      <c r="R235" s="19" t="str">
        <f ca="1">IF(A235="","",IF(COUNTIF(_TradeIds,A235)=0,"违规：交易编号不存在",IF(OR(B235="",B235&lt;1,B235&gt;5,B235&lt;&gt;INT(B235)),"违规：加仓序号须为1到5的整数",IF(COUNTIFS($A$2:$A$1001,A235,$B$2:$B$1001,B235)&gt;1,"违规：同一交易的加仓序号重复",IF(OR(D235="",E235="",F235=""),"计划不完整：请填写加仓价、新止损价和风险预算",IF(OR(D235&lt;=0,E235&lt;=0,F235&lt;=0,D235&lt;=E235),"违规：加仓价必须高于新止损价，金额须大于0",IF(AND(B235&gt;1,COUNTIFS($A$2:$A$1001,A235,$B$2:$B$1001,B235-1,$G$2:$G$1001,"&gt;0")=0),"违规：须先完成上一次加仓",IF(AND(B235&gt;1,E235&lt;SUMIFS($E$2:$E$1001,$A$2:$A$1001,A235,$B$2:$B$1001,B235-1)),"违规：新止损价不得低于上一次",IF(AND(B235&gt;1,F235&gt;SUMIFS($F$2:$F$1001,$A$2:$A$1001,A235,$B$2:$B$1001,B235-1)),"违规：风险预算须逐次不增加",IF(OR(_LockStatus="已锁仓",_LockStatus="解锁信息不完整"),"违规：锁仓期间禁止加仓",IF(G235="","计划可执行：建议股数见N列",IF(OR(G235&lt;=0,G235&lt;&gt;INT(G235),MOD(G235,100)&lt;&gt;0),"违规：实际股数须为100股整数倍",IF(G235&gt;N235,"违规：实际股数超过风险或金字塔上限",IF(AND(B235&gt;1,G235&gt;SUMIFS($G$2:$G$1001,$A$2:$A$1001,A235,$B$2:$B$1001,B235-1)),"违规：加仓股数须逐次不增加",IF(Q235&gt;F235,"违规：止损风险超过本次预算","通过")))))))))))))))</f>
        <v/>
      </c>
    </row>
    <row r="236" ht="17" spans="1:18">
      <c r="A236" s="13"/>
      <c r="B236" s="14"/>
      <c r="C236" s="15"/>
      <c r="D236" s="16"/>
      <c r="E236" s="16"/>
      <c r="F236" s="16"/>
      <c r="G236" s="14"/>
      <c r="H236" s="17" t="str">
        <f t="shared" si="24"/>
        <v/>
      </c>
      <c r="I236" s="18" t="str">
        <f>IF(OR(A236="",B236=""),"",IFERROR(LOOKUP(2,1/(单次交易!$A$2:$A$201=A236),单次交易!$H$2:$H$201),0)+SUMIFS($G$2:$G$1001,$A$2:$A$1001,A236,$B$2:$B$1001,"&lt;"&amp;B236))</f>
        <v/>
      </c>
      <c r="J236" s="17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17" t="str">
        <f t="shared" si="25"/>
        <v/>
      </c>
      <c r="L236" s="18" t="str">
        <f t="shared" si="26"/>
        <v/>
      </c>
      <c r="M236" s="18" t="str">
        <f t="shared" si="27"/>
        <v/>
      </c>
      <c r="N236" s="18" t="str">
        <f t="shared" si="28"/>
        <v/>
      </c>
      <c r="O236" s="18" t="str">
        <f t="shared" si="29"/>
        <v/>
      </c>
      <c r="P236" s="17" t="str">
        <f t="shared" si="30"/>
        <v/>
      </c>
      <c r="Q236" s="17" t="str">
        <f t="shared" si="31"/>
        <v/>
      </c>
      <c r="R236" s="19" t="str">
        <f ca="1">IF(A236="","",IF(COUNTIF(_TradeIds,A236)=0,"违规：交易编号不存在",IF(OR(B236="",B236&lt;1,B236&gt;5,B236&lt;&gt;INT(B236)),"违规：加仓序号须为1到5的整数",IF(COUNTIFS($A$2:$A$1001,A236,$B$2:$B$1001,B236)&gt;1,"违规：同一交易的加仓序号重复",IF(OR(D236="",E236="",F236=""),"计划不完整：请填写加仓价、新止损价和风险预算",IF(OR(D236&lt;=0,E236&lt;=0,F236&lt;=0,D236&lt;=E236),"违规：加仓价必须高于新止损价，金额须大于0",IF(AND(B236&gt;1,COUNTIFS($A$2:$A$1001,A236,$B$2:$B$1001,B236-1,$G$2:$G$1001,"&gt;0")=0),"违规：须先完成上一次加仓",IF(AND(B236&gt;1,E236&lt;SUMIFS($E$2:$E$1001,$A$2:$A$1001,A236,$B$2:$B$1001,B236-1)),"违规：新止损价不得低于上一次",IF(AND(B236&gt;1,F236&gt;SUMIFS($F$2:$F$1001,$A$2:$A$1001,A236,$B$2:$B$1001,B236-1)),"违规：风险预算须逐次不增加",IF(OR(_LockStatus="已锁仓",_LockStatus="解锁信息不完整"),"违规：锁仓期间禁止加仓",IF(G236="","计划可执行：建议股数见N列",IF(OR(G236&lt;=0,G236&lt;&gt;INT(G236),MOD(G236,100)&lt;&gt;0),"违规：实际股数须为100股整数倍",IF(G236&gt;N236,"违规：实际股数超过风险或金字塔上限",IF(AND(B236&gt;1,G236&gt;SUMIFS($G$2:$G$1001,$A$2:$A$1001,A236,$B$2:$B$1001,B236-1)),"违规：加仓股数须逐次不增加",IF(Q236&gt;F236,"违规：止损风险超过本次预算","通过")))))))))))))))</f>
        <v/>
      </c>
    </row>
    <row r="237" ht="17" spans="1:18">
      <c r="A237" s="13"/>
      <c r="B237" s="14"/>
      <c r="C237" s="15"/>
      <c r="D237" s="16"/>
      <c r="E237" s="16"/>
      <c r="F237" s="16"/>
      <c r="G237" s="14"/>
      <c r="H237" s="17" t="str">
        <f t="shared" si="24"/>
        <v/>
      </c>
      <c r="I237" s="18" t="str">
        <f>IF(OR(A237="",B237=""),"",IFERROR(LOOKUP(2,1/(单次交易!$A$2:$A$201=A237),单次交易!$H$2:$H$201),0)+SUMIFS($G$2:$G$1001,$A$2:$A$1001,A237,$B$2:$B$1001,"&lt;"&amp;B237))</f>
        <v/>
      </c>
      <c r="J237" s="17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17" t="str">
        <f t="shared" si="25"/>
        <v/>
      </c>
      <c r="L237" s="18" t="str">
        <f t="shared" si="26"/>
        <v/>
      </c>
      <c r="M237" s="18" t="str">
        <f t="shared" si="27"/>
        <v/>
      </c>
      <c r="N237" s="18" t="str">
        <f t="shared" si="28"/>
        <v/>
      </c>
      <c r="O237" s="18" t="str">
        <f t="shared" si="29"/>
        <v/>
      </c>
      <c r="P237" s="17" t="str">
        <f t="shared" si="30"/>
        <v/>
      </c>
      <c r="Q237" s="17" t="str">
        <f t="shared" si="31"/>
        <v/>
      </c>
      <c r="R237" s="19" t="str">
        <f ca="1">IF(A237="","",IF(COUNTIF(_TradeIds,A237)=0,"违规：交易编号不存在",IF(OR(B237="",B237&lt;1,B237&gt;5,B237&lt;&gt;INT(B237)),"违规：加仓序号须为1到5的整数",IF(COUNTIFS($A$2:$A$1001,A237,$B$2:$B$1001,B237)&gt;1,"违规：同一交易的加仓序号重复",IF(OR(D237="",E237="",F237=""),"计划不完整：请填写加仓价、新止损价和风险预算",IF(OR(D237&lt;=0,E237&lt;=0,F237&lt;=0,D237&lt;=E237),"违规：加仓价必须高于新止损价，金额须大于0",IF(AND(B237&gt;1,COUNTIFS($A$2:$A$1001,A237,$B$2:$B$1001,B237-1,$G$2:$G$1001,"&gt;0")=0),"违规：须先完成上一次加仓",IF(AND(B237&gt;1,E237&lt;SUMIFS($E$2:$E$1001,$A$2:$A$1001,A237,$B$2:$B$1001,B237-1)),"违规：新止损价不得低于上一次",IF(AND(B237&gt;1,F237&gt;SUMIFS($F$2:$F$1001,$A$2:$A$1001,A237,$B$2:$B$1001,B237-1)),"违规：风险预算须逐次不增加",IF(OR(_LockStatus="已锁仓",_LockStatus="解锁信息不完整"),"违规：锁仓期间禁止加仓",IF(G237="","计划可执行：建议股数见N列",IF(OR(G237&lt;=0,G237&lt;&gt;INT(G237),MOD(G237,100)&lt;&gt;0),"违规：实际股数须为100股整数倍",IF(G237&gt;N237,"违规：实际股数超过风险或金字塔上限",IF(AND(B237&gt;1,G237&gt;SUMIFS($G$2:$G$1001,$A$2:$A$1001,A237,$B$2:$B$1001,B237-1)),"违规：加仓股数须逐次不增加",IF(Q237&gt;F237,"违规：止损风险超过本次预算","通过")))))))))))))))</f>
        <v/>
      </c>
    </row>
    <row r="238" ht="17" spans="1:18">
      <c r="A238" s="13"/>
      <c r="B238" s="14"/>
      <c r="C238" s="15"/>
      <c r="D238" s="16"/>
      <c r="E238" s="16"/>
      <c r="F238" s="16"/>
      <c r="G238" s="14"/>
      <c r="H238" s="17" t="str">
        <f t="shared" si="24"/>
        <v/>
      </c>
      <c r="I238" s="18" t="str">
        <f>IF(OR(A238="",B238=""),"",IFERROR(LOOKUP(2,1/(单次交易!$A$2:$A$201=A238),单次交易!$H$2:$H$201),0)+SUMIFS($G$2:$G$1001,$A$2:$A$1001,A238,$B$2:$B$1001,"&lt;"&amp;B238))</f>
        <v/>
      </c>
      <c r="J238" s="17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17" t="str">
        <f t="shared" si="25"/>
        <v/>
      </c>
      <c r="L238" s="18" t="str">
        <f t="shared" si="26"/>
        <v/>
      </c>
      <c r="M238" s="18" t="str">
        <f t="shared" si="27"/>
        <v/>
      </c>
      <c r="N238" s="18" t="str">
        <f t="shared" si="28"/>
        <v/>
      </c>
      <c r="O238" s="18" t="str">
        <f t="shared" si="29"/>
        <v/>
      </c>
      <c r="P238" s="17" t="str">
        <f t="shared" si="30"/>
        <v/>
      </c>
      <c r="Q238" s="17" t="str">
        <f t="shared" si="31"/>
        <v/>
      </c>
      <c r="R238" s="19" t="str">
        <f ca="1">IF(A238="","",IF(COUNTIF(_TradeIds,A238)=0,"违规：交易编号不存在",IF(OR(B238="",B238&lt;1,B238&gt;5,B238&lt;&gt;INT(B238)),"违规：加仓序号须为1到5的整数",IF(COUNTIFS($A$2:$A$1001,A238,$B$2:$B$1001,B238)&gt;1,"违规：同一交易的加仓序号重复",IF(OR(D238="",E238="",F238=""),"计划不完整：请填写加仓价、新止损价和风险预算",IF(OR(D238&lt;=0,E238&lt;=0,F238&lt;=0,D238&lt;=E238),"违规：加仓价必须高于新止损价，金额须大于0",IF(AND(B238&gt;1,COUNTIFS($A$2:$A$1001,A238,$B$2:$B$1001,B238-1,$G$2:$G$1001,"&gt;0")=0),"违规：须先完成上一次加仓",IF(AND(B238&gt;1,E238&lt;SUMIFS($E$2:$E$1001,$A$2:$A$1001,A238,$B$2:$B$1001,B238-1)),"违规：新止损价不得低于上一次",IF(AND(B238&gt;1,F238&gt;SUMIFS($F$2:$F$1001,$A$2:$A$1001,A238,$B$2:$B$1001,B238-1)),"违规：风险预算须逐次不增加",IF(OR(_LockStatus="已锁仓",_LockStatus="解锁信息不完整"),"违规：锁仓期间禁止加仓",IF(G238="","计划可执行：建议股数见N列",IF(OR(G238&lt;=0,G238&lt;&gt;INT(G238),MOD(G238,100)&lt;&gt;0),"违规：实际股数须为100股整数倍",IF(G238&gt;N238,"违规：实际股数超过风险或金字塔上限",IF(AND(B238&gt;1,G238&gt;SUMIFS($G$2:$G$1001,$A$2:$A$1001,A238,$B$2:$B$1001,B238-1)),"违规：加仓股数须逐次不增加",IF(Q238&gt;F238,"违规：止损风险超过本次预算","通过")))))))))))))))</f>
        <v/>
      </c>
    </row>
    <row r="239" ht="17" spans="1:18">
      <c r="A239" s="13"/>
      <c r="B239" s="14"/>
      <c r="C239" s="15"/>
      <c r="D239" s="16"/>
      <c r="E239" s="16"/>
      <c r="F239" s="16"/>
      <c r="G239" s="14"/>
      <c r="H239" s="17" t="str">
        <f t="shared" si="24"/>
        <v/>
      </c>
      <c r="I239" s="18" t="str">
        <f>IF(OR(A239="",B239=""),"",IFERROR(LOOKUP(2,1/(单次交易!$A$2:$A$201=A239),单次交易!$H$2:$H$201),0)+SUMIFS($G$2:$G$1001,$A$2:$A$1001,A239,$B$2:$B$1001,"&lt;"&amp;B239))</f>
        <v/>
      </c>
      <c r="J239" s="17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17" t="str">
        <f t="shared" si="25"/>
        <v/>
      </c>
      <c r="L239" s="18" t="str">
        <f t="shared" si="26"/>
        <v/>
      </c>
      <c r="M239" s="18" t="str">
        <f t="shared" si="27"/>
        <v/>
      </c>
      <c r="N239" s="18" t="str">
        <f t="shared" si="28"/>
        <v/>
      </c>
      <c r="O239" s="18" t="str">
        <f t="shared" si="29"/>
        <v/>
      </c>
      <c r="P239" s="17" t="str">
        <f t="shared" si="30"/>
        <v/>
      </c>
      <c r="Q239" s="17" t="str">
        <f t="shared" si="31"/>
        <v/>
      </c>
      <c r="R239" s="19" t="str">
        <f ca="1">IF(A239="","",IF(COUNTIF(_TradeIds,A239)=0,"违规：交易编号不存在",IF(OR(B239="",B239&lt;1,B239&gt;5,B239&lt;&gt;INT(B239)),"违规：加仓序号须为1到5的整数",IF(COUNTIFS($A$2:$A$1001,A239,$B$2:$B$1001,B239)&gt;1,"违规：同一交易的加仓序号重复",IF(OR(D239="",E239="",F239=""),"计划不完整：请填写加仓价、新止损价和风险预算",IF(OR(D239&lt;=0,E239&lt;=0,F239&lt;=0,D239&lt;=E239),"违规：加仓价必须高于新止损价，金额须大于0",IF(AND(B239&gt;1,COUNTIFS($A$2:$A$1001,A239,$B$2:$B$1001,B239-1,$G$2:$G$1001,"&gt;0")=0),"违规：须先完成上一次加仓",IF(AND(B239&gt;1,E239&lt;SUMIFS($E$2:$E$1001,$A$2:$A$1001,A239,$B$2:$B$1001,B239-1)),"违规：新止损价不得低于上一次",IF(AND(B239&gt;1,F239&gt;SUMIFS($F$2:$F$1001,$A$2:$A$1001,A239,$B$2:$B$1001,B239-1)),"违规：风险预算须逐次不增加",IF(OR(_LockStatus="已锁仓",_LockStatus="解锁信息不完整"),"违规：锁仓期间禁止加仓",IF(G239="","计划可执行：建议股数见N列",IF(OR(G239&lt;=0,G239&lt;&gt;INT(G239),MOD(G239,100)&lt;&gt;0),"违规：实际股数须为100股整数倍",IF(G239&gt;N239,"违规：实际股数超过风险或金字塔上限",IF(AND(B239&gt;1,G239&gt;SUMIFS($G$2:$G$1001,$A$2:$A$1001,A239,$B$2:$B$1001,B239-1)),"违规：加仓股数须逐次不增加",IF(Q239&gt;F239,"违规：止损风险超过本次预算","通过")))))))))))))))</f>
        <v/>
      </c>
    </row>
    <row r="240" ht="17" spans="1:18">
      <c r="A240" s="13"/>
      <c r="B240" s="14"/>
      <c r="C240" s="15"/>
      <c r="D240" s="16"/>
      <c r="E240" s="16"/>
      <c r="F240" s="16"/>
      <c r="G240" s="14"/>
      <c r="H240" s="17" t="str">
        <f t="shared" si="24"/>
        <v/>
      </c>
      <c r="I240" s="18" t="str">
        <f>IF(OR(A240="",B240=""),"",IFERROR(LOOKUP(2,1/(单次交易!$A$2:$A$201=A240),单次交易!$H$2:$H$201),0)+SUMIFS($G$2:$G$1001,$A$2:$A$1001,A240,$B$2:$B$1001,"&lt;"&amp;B240))</f>
        <v/>
      </c>
      <c r="J240" s="17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17" t="str">
        <f t="shared" si="25"/>
        <v/>
      </c>
      <c r="L240" s="18" t="str">
        <f t="shared" si="26"/>
        <v/>
      </c>
      <c r="M240" s="18" t="str">
        <f t="shared" si="27"/>
        <v/>
      </c>
      <c r="N240" s="18" t="str">
        <f t="shared" si="28"/>
        <v/>
      </c>
      <c r="O240" s="18" t="str">
        <f t="shared" si="29"/>
        <v/>
      </c>
      <c r="P240" s="17" t="str">
        <f t="shared" si="30"/>
        <v/>
      </c>
      <c r="Q240" s="17" t="str">
        <f t="shared" si="31"/>
        <v/>
      </c>
      <c r="R240" s="19" t="str">
        <f ca="1">IF(A240="","",IF(COUNTIF(_TradeIds,A240)=0,"违规：交易编号不存在",IF(OR(B240="",B240&lt;1,B240&gt;5,B240&lt;&gt;INT(B240)),"违规：加仓序号须为1到5的整数",IF(COUNTIFS($A$2:$A$1001,A240,$B$2:$B$1001,B240)&gt;1,"违规：同一交易的加仓序号重复",IF(OR(D240="",E240="",F240=""),"计划不完整：请填写加仓价、新止损价和风险预算",IF(OR(D240&lt;=0,E240&lt;=0,F240&lt;=0,D240&lt;=E240),"违规：加仓价必须高于新止损价，金额须大于0",IF(AND(B240&gt;1,COUNTIFS($A$2:$A$1001,A240,$B$2:$B$1001,B240-1,$G$2:$G$1001,"&gt;0")=0),"违规：须先完成上一次加仓",IF(AND(B240&gt;1,E240&lt;SUMIFS($E$2:$E$1001,$A$2:$A$1001,A240,$B$2:$B$1001,B240-1)),"违规：新止损价不得低于上一次",IF(AND(B240&gt;1,F240&gt;SUMIFS($F$2:$F$1001,$A$2:$A$1001,A240,$B$2:$B$1001,B240-1)),"违规：风险预算须逐次不增加",IF(OR(_LockStatus="已锁仓",_LockStatus="解锁信息不完整"),"违规：锁仓期间禁止加仓",IF(G240="","计划可执行：建议股数见N列",IF(OR(G240&lt;=0,G240&lt;&gt;INT(G240),MOD(G240,100)&lt;&gt;0),"违规：实际股数须为100股整数倍",IF(G240&gt;N240,"违规：实际股数超过风险或金字塔上限",IF(AND(B240&gt;1,G240&gt;SUMIFS($G$2:$G$1001,$A$2:$A$1001,A240,$B$2:$B$1001,B240-1)),"违规：加仓股数须逐次不增加",IF(Q240&gt;F240,"违规：止损风险超过本次预算","通过")))))))))))))))</f>
        <v/>
      </c>
    </row>
    <row r="241" ht="17" spans="1:18">
      <c r="A241" s="13"/>
      <c r="B241" s="14"/>
      <c r="C241" s="15"/>
      <c r="D241" s="16"/>
      <c r="E241" s="16"/>
      <c r="F241" s="16"/>
      <c r="G241" s="14"/>
      <c r="H241" s="17" t="str">
        <f t="shared" si="24"/>
        <v/>
      </c>
      <c r="I241" s="18" t="str">
        <f>IF(OR(A241="",B241=""),"",IFERROR(LOOKUP(2,1/(单次交易!$A$2:$A$201=A241),单次交易!$H$2:$H$201),0)+SUMIFS($G$2:$G$1001,$A$2:$A$1001,A241,$B$2:$B$1001,"&lt;"&amp;B241))</f>
        <v/>
      </c>
      <c r="J241" s="17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17" t="str">
        <f t="shared" si="25"/>
        <v/>
      </c>
      <c r="L241" s="18" t="str">
        <f t="shared" si="26"/>
        <v/>
      </c>
      <c r="M241" s="18" t="str">
        <f t="shared" si="27"/>
        <v/>
      </c>
      <c r="N241" s="18" t="str">
        <f t="shared" si="28"/>
        <v/>
      </c>
      <c r="O241" s="18" t="str">
        <f t="shared" si="29"/>
        <v/>
      </c>
      <c r="P241" s="17" t="str">
        <f t="shared" si="30"/>
        <v/>
      </c>
      <c r="Q241" s="17" t="str">
        <f t="shared" si="31"/>
        <v/>
      </c>
      <c r="R241" s="19" t="str">
        <f ca="1">IF(A241="","",IF(COUNTIF(_TradeIds,A241)=0,"违规：交易编号不存在",IF(OR(B241="",B241&lt;1,B241&gt;5,B241&lt;&gt;INT(B241)),"违规：加仓序号须为1到5的整数",IF(COUNTIFS($A$2:$A$1001,A241,$B$2:$B$1001,B241)&gt;1,"违规：同一交易的加仓序号重复",IF(OR(D241="",E241="",F241=""),"计划不完整：请填写加仓价、新止损价和风险预算",IF(OR(D241&lt;=0,E241&lt;=0,F241&lt;=0,D241&lt;=E241),"违规：加仓价必须高于新止损价，金额须大于0",IF(AND(B241&gt;1,COUNTIFS($A$2:$A$1001,A241,$B$2:$B$1001,B241-1,$G$2:$G$1001,"&gt;0")=0),"违规：须先完成上一次加仓",IF(AND(B241&gt;1,E241&lt;SUMIFS($E$2:$E$1001,$A$2:$A$1001,A241,$B$2:$B$1001,B241-1)),"违规：新止损价不得低于上一次",IF(AND(B241&gt;1,F241&gt;SUMIFS($F$2:$F$1001,$A$2:$A$1001,A241,$B$2:$B$1001,B241-1)),"违规：风险预算须逐次不增加",IF(OR(_LockStatus="已锁仓",_LockStatus="解锁信息不完整"),"违规：锁仓期间禁止加仓",IF(G241="","计划可执行：建议股数见N列",IF(OR(G241&lt;=0,G241&lt;&gt;INT(G241),MOD(G241,100)&lt;&gt;0),"违规：实际股数须为100股整数倍",IF(G241&gt;N241,"违规：实际股数超过风险或金字塔上限",IF(AND(B241&gt;1,G241&gt;SUMIFS($G$2:$G$1001,$A$2:$A$1001,A241,$B$2:$B$1001,B241-1)),"违规：加仓股数须逐次不增加",IF(Q241&gt;F241,"违规：止损风险超过本次预算","通过")))))))))))))))</f>
        <v/>
      </c>
    </row>
    <row r="242" ht="17" spans="1:18">
      <c r="A242" s="13"/>
      <c r="B242" s="14"/>
      <c r="C242" s="15"/>
      <c r="D242" s="16"/>
      <c r="E242" s="16"/>
      <c r="F242" s="16"/>
      <c r="G242" s="14"/>
      <c r="H242" s="17" t="str">
        <f t="shared" si="24"/>
        <v/>
      </c>
      <c r="I242" s="18" t="str">
        <f>IF(OR(A242="",B242=""),"",IFERROR(LOOKUP(2,1/(单次交易!$A$2:$A$201=A242),单次交易!$H$2:$H$201),0)+SUMIFS($G$2:$G$1001,$A$2:$A$1001,A242,$B$2:$B$1001,"&lt;"&amp;B242))</f>
        <v/>
      </c>
      <c r="J242" s="17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17" t="str">
        <f t="shared" si="25"/>
        <v/>
      </c>
      <c r="L242" s="18" t="str">
        <f t="shared" si="26"/>
        <v/>
      </c>
      <c r="M242" s="18" t="str">
        <f t="shared" si="27"/>
        <v/>
      </c>
      <c r="N242" s="18" t="str">
        <f t="shared" si="28"/>
        <v/>
      </c>
      <c r="O242" s="18" t="str">
        <f t="shared" si="29"/>
        <v/>
      </c>
      <c r="P242" s="17" t="str">
        <f t="shared" si="30"/>
        <v/>
      </c>
      <c r="Q242" s="17" t="str">
        <f t="shared" si="31"/>
        <v/>
      </c>
      <c r="R242" s="19" t="str">
        <f ca="1">IF(A242="","",IF(COUNTIF(_TradeIds,A242)=0,"违规：交易编号不存在",IF(OR(B242="",B242&lt;1,B242&gt;5,B242&lt;&gt;INT(B242)),"违规：加仓序号须为1到5的整数",IF(COUNTIFS($A$2:$A$1001,A242,$B$2:$B$1001,B242)&gt;1,"违规：同一交易的加仓序号重复",IF(OR(D242="",E242="",F242=""),"计划不完整：请填写加仓价、新止损价和风险预算",IF(OR(D242&lt;=0,E242&lt;=0,F242&lt;=0,D242&lt;=E242),"违规：加仓价必须高于新止损价，金额须大于0",IF(AND(B242&gt;1,COUNTIFS($A$2:$A$1001,A242,$B$2:$B$1001,B242-1,$G$2:$G$1001,"&gt;0")=0),"违规：须先完成上一次加仓",IF(AND(B242&gt;1,E242&lt;SUMIFS($E$2:$E$1001,$A$2:$A$1001,A242,$B$2:$B$1001,B242-1)),"违规：新止损价不得低于上一次",IF(AND(B242&gt;1,F242&gt;SUMIFS($F$2:$F$1001,$A$2:$A$1001,A242,$B$2:$B$1001,B242-1)),"违规：风险预算须逐次不增加",IF(OR(_LockStatus="已锁仓",_LockStatus="解锁信息不完整"),"违规：锁仓期间禁止加仓",IF(G242="","计划可执行：建议股数见N列",IF(OR(G242&lt;=0,G242&lt;&gt;INT(G242),MOD(G242,100)&lt;&gt;0),"违规：实际股数须为100股整数倍",IF(G242&gt;N242,"违规：实际股数超过风险或金字塔上限",IF(AND(B242&gt;1,G242&gt;SUMIFS($G$2:$G$1001,$A$2:$A$1001,A242,$B$2:$B$1001,B242-1)),"违规：加仓股数须逐次不增加",IF(Q242&gt;F242,"违规：止损风险超过本次预算","通过")))))))))))))))</f>
        <v/>
      </c>
    </row>
    <row r="243" ht="17" spans="1:18">
      <c r="A243" s="13"/>
      <c r="B243" s="14"/>
      <c r="C243" s="15"/>
      <c r="D243" s="16"/>
      <c r="E243" s="16"/>
      <c r="F243" s="16"/>
      <c r="G243" s="14"/>
      <c r="H243" s="17" t="str">
        <f t="shared" si="24"/>
        <v/>
      </c>
      <c r="I243" s="18" t="str">
        <f>IF(OR(A243="",B243=""),"",IFERROR(LOOKUP(2,1/(单次交易!$A$2:$A$201=A243),单次交易!$H$2:$H$201),0)+SUMIFS($G$2:$G$1001,$A$2:$A$1001,A243,$B$2:$B$1001,"&lt;"&amp;B243))</f>
        <v/>
      </c>
      <c r="J243" s="17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17" t="str">
        <f t="shared" si="25"/>
        <v/>
      </c>
      <c r="L243" s="18" t="str">
        <f t="shared" si="26"/>
        <v/>
      </c>
      <c r="M243" s="18" t="str">
        <f t="shared" si="27"/>
        <v/>
      </c>
      <c r="N243" s="18" t="str">
        <f t="shared" si="28"/>
        <v/>
      </c>
      <c r="O243" s="18" t="str">
        <f t="shared" si="29"/>
        <v/>
      </c>
      <c r="P243" s="17" t="str">
        <f t="shared" si="30"/>
        <v/>
      </c>
      <c r="Q243" s="17" t="str">
        <f t="shared" si="31"/>
        <v/>
      </c>
      <c r="R243" s="19" t="str">
        <f ca="1">IF(A243="","",IF(COUNTIF(_TradeIds,A243)=0,"违规：交易编号不存在",IF(OR(B243="",B243&lt;1,B243&gt;5,B243&lt;&gt;INT(B243)),"违规：加仓序号须为1到5的整数",IF(COUNTIFS($A$2:$A$1001,A243,$B$2:$B$1001,B243)&gt;1,"违规：同一交易的加仓序号重复",IF(OR(D243="",E243="",F243=""),"计划不完整：请填写加仓价、新止损价和风险预算",IF(OR(D243&lt;=0,E243&lt;=0,F243&lt;=0,D243&lt;=E243),"违规：加仓价必须高于新止损价，金额须大于0",IF(AND(B243&gt;1,COUNTIFS($A$2:$A$1001,A243,$B$2:$B$1001,B243-1,$G$2:$G$1001,"&gt;0")=0),"违规：须先完成上一次加仓",IF(AND(B243&gt;1,E243&lt;SUMIFS($E$2:$E$1001,$A$2:$A$1001,A243,$B$2:$B$1001,B243-1)),"违规：新止损价不得低于上一次",IF(AND(B243&gt;1,F243&gt;SUMIFS($F$2:$F$1001,$A$2:$A$1001,A243,$B$2:$B$1001,B243-1)),"违规：风险预算须逐次不增加",IF(OR(_LockStatus="已锁仓",_LockStatus="解锁信息不完整"),"违规：锁仓期间禁止加仓",IF(G243="","计划可执行：建议股数见N列",IF(OR(G243&lt;=0,G243&lt;&gt;INT(G243),MOD(G243,100)&lt;&gt;0),"违规：实际股数须为100股整数倍",IF(G243&gt;N243,"违规：实际股数超过风险或金字塔上限",IF(AND(B243&gt;1,G243&gt;SUMIFS($G$2:$G$1001,$A$2:$A$1001,A243,$B$2:$B$1001,B243-1)),"违规：加仓股数须逐次不增加",IF(Q243&gt;F243,"违规：止损风险超过本次预算","通过")))))))))))))))</f>
        <v/>
      </c>
    </row>
    <row r="244" ht="17" spans="1:18">
      <c r="A244" s="13"/>
      <c r="B244" s="14"/>
      <c r="C244" s="15"/>
      <c r="D244" s="16"/>
      <c r="E244" s="16"/>
      <c r="F244" s="16"/>
      <c r="G244" s="14"/>
      <c r="H244" s="17" t="str">
        <f t="shared" si="24"/>
        <v/>
      </c>
      <c r="I244" s="18" t="str">
        <f>IF(OR(A244="",B244=""),"",IFERROR(LOOKUP(2,1/(单次交易!$A$2:$A$201=A244),单次交易!$H$2:$H$201),0)+SUMIFS($G$2:$G$1001,$A$2:$A$1001,A244,$B$2:$B$1001,"&lt;"&amp;B244))</f>
        <v/>
      </c>
      <c r="J244" s="17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17" t="str">
        <f t="shared" si="25"/>
        <v/>
      </c>
      <c r="L244" s="18" t="str">
        <f t="shared" si="26"/>
        <v/>
      </c>
      <c r="M244" s="18" t="str">
        <f t="shared" si="27"/>
        <v/>
      </c>
      <c r="N244" s="18" t="str">
        <f t="shared" si="28"/>
        <v/>
      </c>
      <c r="O244" s="18" t="str">
        <f t="shared" si="29"/>
        <v/>
      </c>
      <c r="P244" s="17" t="str">
        <f t="shared" si="30"/>
        <v/>
      </c>
      <c r="Q244" s="17" t="str">
        <f t="shared" si="31"/>
        <v/>
      </c>
      <c r="R244" s="19" t="str">
        <f ca="1">IF(A244="","",IF(COUNTIF(_TradeIds,A244)=0,"违规：交易编号不存在",IF(OR(B244="",B244&lt;1,B244&gt;5,B244&lt;&gt;INT(B244)),"违规：加仓序号须为1到5的整数",IF(COUNTIFS($A$2:$A$1001,A244,$B$2:$B$1001,B244)&gt;1,"违规：同一交易的加仓序号重复",IF(OR(D244="",E244="",F244=""),"计划不完整：请填写加仓价、新止损价和风险预算",IF(OR(D244&lt;=0,E244&lt;=0,F244&lt;=0,D244&lt;=E244),"违规：加仓价必须高于新止损价，金额须大于0",IF(AND(B244&gt;1,COUNTIFS($A$2:$A$1001,A244,$B$2:$B$1001,B244-1,$G$2:$G$1001,"&gt;0")=0),"违规：须先完成上一次加仓",IF(AND(B244&gt;1,E244&lt;SUMIFS($E$2:$E$1001,$A$2:$A$1001,A244,$B$2:$B$1001,B244-1)),"违规：新止损价不得低于上一次",IF(AND(B244&gt;1,F244&gt;SUMIFS($F$2:$F$1001,$A$2:$A$1001,A244,$B$2:$B$1001,B244-1)),"违规：风险预算须逐次不增加",IF(OR(_LockStatus="已锁仓",_LockStatus="解锁信息不完整"),"违规：锁仓期间禁止加仓",IF(G244="","计划可执行：建议股数见N列",IF(OR(G244&lt;=0,G244&lt;&gt;INT(G244),MOD(G244,100)&lt;&gt;0),"违规：实际股数须为100股整数倍",IF(G244&gt;N244,"违规：实际股数超过风险或金字塔上限",IF(AND(B244&gt;1,G244&gt;SUMIFS($G$2:$G$1001,$A$2:$A$1001,A244,$B$2:$B$1001,B244-1)),"违规：加仓股数须逐次不增加",IF(Q244&gt;F244,"违规：止损风险超过本次预算","通过")))))))))))))))</f>
        <v/>
      </c>
    </row>
    <row r="245" ht="17" spans="1:18">
      <c r="A245" s="13"/>
      <c r="B245" s="14"/>
      <c r="C245" s="15"/>
      <c r="D245" s="16"/>
      <c r="E245" s="16"/>
      <c r="F245" s="16"/>
      <c r="G245" s="14"/>
      <c r="H245" s="17" t="str">
        <f t="shared" si="24"/>
        <v/>
      </c>
      <c r="I245" s="18" t="str">
        <f>IF(OR(A245="",B245=""),"",IFERROR(LOOKUP(2,1/(单次交易!$A$2:$A$201=A245),单次交易!$H$2:$H$201),0)+SUMIFS($G$2:$G$1001,$A$2:$A$1001,A245,$B$2:$B$1001,"&lt;"&amp;B245))</f>
        <v/>
      </c>
      <c r="J245" s="17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17" t="str">
        <f t="shared" si="25"/>
        <v/>
      </c>
      <c r="L245" s="18" t="str">
        <f t="shared" si="26"/>
        <v/>
      </c>
      <c r="M245" s="18" t="str">
        <f t="shared" si="27"/>
        <v/>
      </c>
      <c r="N245" s="18" t="str">
        <f t="shared" si="28"/>
        <v/>
      </c>
      <c r="O245" s="18" t="str">
        <f t="shared" si="29"/>
        <v/>
      </c>
      <c r="P245" s="17" t="str">
        <f t="shared" si="30"/>
        <v/>
      </c>
      <c r="Q245" s="17" t="str">
        <f t="shared" si="31"/>
        <v/>
      </c>
      <c r="R245" s="19" t="str">
        <f ca="1">IF(A245="","",IF(COUNTIF(_TradeIds,A245)=0,"违规：交易编号不存在",IF(OR(B245="",B245&lt;1,B245&gt;5,B245&lt;&gt;INT(B245)),"违规：加仓序号须为1到5的整数",IF(COUNTIFS($A$2:$A$1001,A245,$B$2:$B$1001,B245)&gt;1,"违规：同一交易的加仓序号重复",IF(OR(D245="",E245="",F245=""),"计划不完整：请填写加仓价、新止损价和风险预算",IF(OR(D245&lt;=0,E245&lt;=0,F245&lt;=0,D245&lt;=E245),"违规：加仓价必须高于新止损价，金额须大于0",IF(AND(B245&gt;1,COUNTIFS($A$2:$A$1001,A245,$B$2:$B$1001,B245-1,$G$2:$G$1001,"&gt;0")=0),"违规：须先完成上一次加仓",IF(AND(B245&gt;1,E245&lt;SUMIFS($E$2:$E$1001,$A$2:$A$1001,A245,$B$2:$B$1001,B245-1)),"违规：新止损价不得低于上一次",IF(AND(B245&gt;1,F245&gt;SUMIFS($F$2:$F$1001,$A$2:$A$1001,A245,$B$2:$B$1001,B245-1)),"违规：风险预算须逐次不增加",IF(OR(_LockStatus="已锁仓",_LockStatus="解锁信息不完整"),"违规：锁仓期间禁止加仓",IF(G245="","计划可执行：建议股数见N列",IF(OR(G245&lt;=0,G245&lt;&gt;INT(G245),MOD(G245,100)&lt;&gt;0),"违规：实际股数须为100股整数倍",IF(G245&gt;N245,"违规：实际股数超过风险或金字塔上限",IF(AND(B245&gt;1,G245&gt;SUMIFS($G$2:$G$1001,$A$2:$A$1001,A245,$B$2:$B$1001,B245-1)),"违规：加仓股数须逐次不增加",IF(Q245&gt;F245,"违规：止损风险超过本次预算","通过")))))))))))))))</f>
        <v/>
      </c>
    </row>
    <row r="246" ht="17" spans="1:18">
      <c r="A246" s="13"/>
      <c r="B246" s="14"/>
      <c r="C246" s="15"/>
      <c r="D246" s="16"/>
      <c r="E246" s="16"/>
      <c r="F246" s="16"/>
      <c r="G246" s="14"/>
      <c r="H246" s="17" t="str">
        <f t="shared" si="24"/>
        <v/>
      </c>
      <c r="I246" s="18" t="str">
        <f>IF(OR(A246="",B246=""),"",IFERROR(LOOKUP(2,1/(单次交易!$A$2:$A$201=A246),单次交易!$H$2:$H$201),0)+SUMIFS($G$2:$G$1001,$A$2:$A$1001,A246,$B$2:$B$1001,"&lt;"&amp;B246))</f>
        <v/>
      </c>
      <c r="J246" s="17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17" t="str">
        <f t="shared" si="25"/>
        <v/>
      </c>
      <c r="L246" s="18" t="str">
        <f t="shared" si="26"/>
        <v/>
      </c>
      <c r="M246" s="18" t="str">
        <f t="shared" si="27"/>
        <v/>
      </c>
      <c r="N246" s="18" t="str">
        <f t="shared" si="28"/>
        <v/>
      </c>
      <c r="O246" s="18" t="str">
        <f t="shared" si="29"/>
        <v/>
      </c>
      <c r="P246" s="17" t="str">
        <f t="shared" si="30"/>
        <v/>
      </c>
      <c r="Q246" s="17" t="str">
        <f t="shared" si="31"/>
        <v/>
      </c>
      <c r="R246" s="19" t="str">
        <f ca="1">IF(A246="","",IF(COUNTIF(_TradeIds,A246)=0,"违规：交易编号不存在",IF(OR(B246="",B246&lt;1,B246&gt;5,B246&lt;&gt;INT(B246)),"违规：加仓序号须为1到5的整数",IF(COUNTIFS($A$2:$A$1001,A246,$B$2:$B$1001,B246)&gt;1,"违规：同一交易的加仓序号重复",IF(OR(D246="",E246="",F246=""),"计划不完整：请填写加仓价、新止损价和风险预算",IF(OR(D246&lt;=0,E246&lt;=0,F246&lt;=0,D246&lt;=E246),"违规：加仓价必须高于新止损价，金额须大于0",IF(AND(B246&gt;1,COUNTIFS($A$2:$A$1001,A246,$B$2:$B$1001,B246-1,$G$2:$G$1001,"&gt;0")=0),"违规：须先完成上一次加仓",IF(AND(B246&gt;1,E246&lt;SUMIFS($E$2:$E$1001,$A$2:$A$1001,A246,$B$2:$B$1001,B246-1)),"违规：新止损价不得低于上一次",IF(AND(B246&gt;1,F246&gt;SUMIFS($F$2:$F$1001,$A$2:$A$1001,A246,$B$2:$B$1001,B246-1)),"违规：风险预算须逐次不增加",IF(OR(_LockStatus="已锁仓",_LockStatus="解锁信息不完整"),"违规：锁仓期间禁止加仓",IF(G246="","计划可执行：建议股数见N列",IF(OR(G246&lt;=0,G246&lt;&gt;INT(G246),MOD(G246,100)&lt;&gt;0),"违规：实际股数须为100股整数倍",IF(G246&gt;N246,"违规：实际股数超过风险或金字塔上限",IF(AND(B246&gt;1,G246&gt;SUMIFS($G$2:$G$1001,$A$2:$A$1001,A246,$B$2:$B$1001,B246-1)),"违规：加仓股数须逐次不增加",IF(Q246&gt;F246,"违规：止损风险超过本次预算","通过")))))))))))))))</f>
        <v/>
      </c>
    </row>
    <row r="247" ht="17" spans="1:18">
      <c r="A247" s="13"/>
      <c r="B247" s="14"/>
      <c r="C247" s="15"/>
      <c r="D247" s="16"/>
      <c r="E247" s="16"/>
      <c r="F247" s="16"/>
      <c r="G247" s="14"/>
      <c r="H247" s="17" t="str">
        <f t="shared" si="24"/>
        <v/>
      </c>
      <c r="I247" s="18" t="str">
        <f>IF(OR(A247="",B247=""),"",IFERROR(LOOKUP(2,1/(单次交易!$A$2:$A$201=A247),单次交易!$H$2:$H$201),0)+SUMIFS($G$2:$G$1001,$A$2:$A$1001,A247,$B$2:$B$1001,"&lt;"&amp;B247))</f>
        <v/>
      </c>
      <c r="J247" s="17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17" t="str">
        <f t="shared" si="25"/>
        <v/>
      </c>
      <c r="L247" s="18" t="str">
        <f t="shared" si="26"/>
        <v/>
      </c>
      <c r="M247" s="18" t="str">
        <f t="shared" si="27"/>
        <v/>
      </c>
      <c r="N247" s="18" t="str">
        <f t="shared" si="28"/>
        <v/>
      </c>
      <c r="O247" s="18" t="str">
        <f t="shared" si="29"/>
        <v/>
      </c>
      <c r="P247" s="17" t="str">
        <f t="shared" si="30"/>
        <v/>
      </c>
      <c r="Q247" s="17" t="str">
        <f t="shared" si="31"/>
        <v/>
      </c>
      <c r="R247" s="19" t="str">
        <f ca="1">IF(A247="","",IF(COUNTIF(_TradeIds,A247)=0,"违规：交易编号不存在",IF(OR(B247="",B247&lt;1,B247&gt;5,B247&lt;&gt;INT(B247)),"违规：加仓序号须为1到5的整数",IF(COUNTIFS($A$2:$A$1001,A247,$B$2:$B$1001,B247)&gt;1,"违规：同一交易的加仓序号重复",IF(OR(D247="",E247="",F247=""),"计划不完整：请填写加仓价、新止损价和风险预算",IF(OR(D247&lt;=0,E247&lt;=0,F247&lt;=0,D247&lt;=E247),"违规：加仓价必须高于新止损价，金额须大于0",IF(AND(B247&gt;1,COUNTIFS($A$2:$A$1001,A247,$B$2:$B$1001,B247-1,$G$2:$G$1001,"&gt;0")=0),"违规：须先完成上一次加仓",IF(AND(B247&gt;1,E247&lt;SUMIFS($E$2:$E$1001,$A$2:$A$1001,A247,$B$2:$B$1001,B247-1)),"违规：新止损价不得低于上一次",IF(AND(B247&gt;1,F247&gt;SUMIFS($F$2:$F$1001,$A$2:$A$1001,A247,$B$2:$B$1001,B247-1)),"违规：风险预算须逐次不增加",IF(OR(_LockStatus="已锁仓",_LockStatus="解锁信息不完整"),"违规：锁仓期间禁止加仓",IF(G247="","计划可执行：建议股数见N列",IF(OR(G247&lt;=0,G247&lt;&gt;INT(G247),MOD(G247,100)&lt;&gt;0),"违规：实际股数须为100股整数倍",IF(G247&gt;N247,"违规：实际股数超过风险或金字塔上限",IF(AND(B247&gt;1,G247&gt;SUMIFS($G$2:$G$1001,$A$2:$A$1001,A247,$B$2:$B$1001,B247-1)),"违规：加仓股数须逐次不增加",IF(Q247&gt;F247,"违规：止损风险超过本次预算","通过")))))))))))))))</f>
        <v/>
      </c>
    </row>
    <row r="248" ht="17" spans="1:18">
      <c r="A248" s="13"/>
      <c r="B248" s="14"/>
      <c r="C248" s="15"/>
      <c r="D248" s="16"/>
      <c r="E248" s="16"/>
      <c r="F248" s="16"/>
      <c r="G248" s="14"/>
      <c r="H248" s="17" t="str">
        <f t="shared" si="24"/>
        <v/>
      </c>
      <c r="I248" s="18" t="str">
        <f>IF(OR(A248="",B248=""),"",IFERROR(LOOKUP(2,1/(单次交易!$A$2:$A$201=A248),单次交易!$H$2:$H$201),0)+SUMIFS($G$2:$G$1001,$A$2:$A$1001,A248,$B$2:$B$1001,"&lt;"&amp;B248))</f>
        <v/>
      </c>
      <c r="J248" s="17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17" t="str">
        <f t="shared" si="25"/>
        <v/>
      </c>
      <c r="L248" s="18" t="str">
        <f t="shared" si="26"/>
        <v/>
      </c>
      <c r="M248" s="18" t="str">
        <f t="shared" si="27"/>
        <v/>
      </c>
      <c r="N248" s="18" t="str">
        <f t="shared" si="28"/>
        <v/>
      </c>
      <c r="O248" s="18" t="str">
        <f t="shared" si="29"/>
        <v/>
      </c>
      <c r="P248" s="17" t="str">
        <f t="shared" si="30"/>
        <v/>
      </c>
      <c r="Q248" s="17" t="str">
        <f t="shared" si="31"/>
        <v/>
      </c>
      <c r="R248" s="19" t="str">
        <f ca="1">IF(A248="","",IF(COUNTIF(_TradeIds,A248)=0,"违规：交易编号不存在",IF(OR(B248="",B248&lt;1,B248&gt;5,B248&lt;&gt;INT(B248)),"违规：加仓序号须为1到5的整数",IF(COUNTIFS($A$2:$A$1001,A248,$B$2:$B$1001,B248)&gt;1,"违规：同一交易的加仓序号重复",IF(OR(D248="",E248="",F248=""),"计划不完整：请填写加仓价、新止损价和风险预算",IF(OR(D248&lt;=0,E248&lt;=0,F248&lt;=0,D248&lt;=E248),"违规：加仓价必须高于新止损价，金额须大于0",IF(AND(B248&gt;1,COUNTIFS($A$2:$A$1001,A248,$B$2:$B$1001,B248-1,$G$2:$G$1001,"&gt;0")=0),"违规：须先完成上一次加仓",IF(AND(B248&gt;1,E248&lt;SUMIFS($E$2:$E$1001,$A$2:$A$1001,A248,$B$2:$B$1001,B248-1)),"违规：新止损价不得低于上一次",IF(AND(B248&gt;1,F248&gt;SUMIFS($F$2:$F$1001,$A$2:$A$1001,A248,$B$2:$B$1001,B248-1)),"违规：风险预算须逐次不增加",IF(OR(_LockStatus="已锁仓",_LockStatus="解锁信息不完整"),"违规：锁仓期间禁止加仓",IF(G248="","计划可执行：建议股数见N列",IF(OR(G248&lt;=0,G248&lt;&gt;INT(G248),MOD(G248,100)&lt;&gt;0),"违规：实际股数须为100股整数倍",IF(G248&gt;N248,"违规：实际股数超过风险或金字塔上限",IF(AND(B248&gt;1,G248&gt;SUMIFS($G$2:$G$1001,$A$2:$A$1001,A248,$B$2:$B$1001,B248-1)),"违规：加仓股数须逐次不增加",IF(Q248&gt;F248,"违规：止损风险超过本次预算","通过")))))))))))))))</f>
        <v/>
      </c>
    </row>
    <row r="249" ht="17" spans="1:18">
      <c r="A249" s="13"/>
      <c r="B249" s="14"/>
      <c r="C249" s="15"/>
      <c r="D249" s="16"/>
      <c r="E249" s="16"/>
      <c r="F249" s="16"/>
      <c r="G249" s="14"/>
      <c r="H249" s="17" t="str">
        <f t="shared" si="24"/>
        <v/>
      </c>
      <c r="I249" s="18" t="str">
        <f>IF(OR(A249="",B249=""),"",IFERROR(LOOKUP(2,1/(单次交易!$A$2:$A$201=A249),单次交易!$H$2:$H$201),0)+SUMIFS($G$2:$G$1001,$A$2:$A$1001,A249,$B$2:$B$1001,"&lt;"&amp;B249))</f>
        <v/>
      </c>
      <c r="J249" s="17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17" t="str">
        <f t="shared" si="25"/>
        <v/>
      </c>
      <c r="L249" s="18" t="str">
        <f t="shared" si="26"/>
        <v/>
      </c>
      <c r="M249" s="18" t="str">
        <f t="shared" si="27"/>
        <v/>
      </c>
      <c r="N249" s="18" t="str">
        <f t="shared" si="28"/>
        <v/>
      </c>
      <c r="O249" s="18" t="str">
        <f t="shared" si="29"/>
        <v/>
      </c>
      <c r="P249" s="17" t="str">
        <f t="shared" si="30"/>
        <v/>
      </c>
      <c r="Q249" s="17" t="str">
        <f t="shared" si="31"/>
        <v/>
      </c>
      <c r="R249" s="19" t="str">
        <f ca="1">IF(A249="","",IF(COUNTIF(_TradeIds,A249)=0,"违规：交易编号不存在",IF(OR(B249="",B249&lt;1,B249&gt;5,B249&lt;&gt;INT(B249)),"违规：加仓序号须为1到5的整数",IF(COUNTIFS($A$2:$A$1001,A249,$B$2:$B$1001,B249)&gt;1,"违规：同一交易的加仓序号重复",IF(OR(D249="",E249="",F249=""),"计划不完整：请填写加仓价、新止损价和风险预算",IF(OR(D249&lt;=0,E249&lt;=0,F249&lt;=0,D249&lt;=E249),"违规：加仓价必须高于新止损价，金额须大于0",IF(AND(B249&gt;1,COUNTIFS($A$2:$A$1001,A249,$B$2:$B$1001,B249-1,$G$2:$G$1001,"&gt;0")=0),"违规：须先完成上一次加仓",IF(AND(B249&gt;1,E249&lt;SUMIFS($E$2:$E$1001,$A$2:$A$1001,A249,$B$2:$B$1001,B249-1)),"违规：新止损价不得低于上一次",IF(AND(B249&gt;1,F249&gt;SUMIFS($F$2:$F$1001,$A$2:$A$1001,A249,$B$2:$B$1001,B249-1)),"违规：风险预算须逐次不增加",IF(OR(_LockStatus="已锁仓",_LockStatus="解锁信息不完整"),"违规：锁仓期间禁止加仓",IF(G249="","计划可执行：建议股数见N列",IF(OR(G249&lt;=0,G249&lt;&gt;INT(G249),MOD(G249,100)&lt;&gt;0),"违规：实际股数须为100股整数倍",IF(G249&gt;N249,"违规：实际股数超过风险或金字塔上限",IF(AND(B249&gt;1,G249&gt;SUMIFS($G$2:$G$1001,$A$2:$A$1001,A249,$B$2:$B$1001,B249-1)),"违规：加仓股数须逐次不增加",IF(Q249&gt;F249,"违规：止损风险超过本次预算","通过")))))))))))))))</f>
        <v/>
      </c>
    </row>
    <row r="250" ht="17" spans="1:18">
      <c r="A250" s="13"/>
      <c r="B250" s="14"/>
      <c r="C250" s="15"/>
      <c r="D250" s="16"/>
      <c r="E250" s="16"/>
      <c r="F250" s="16"/>
      <c r="G250" s="14"/>
      <c r="H250" s="17" t="str">
        <f t="shared" si="24"/>
        <v/>
      </c>
      <c r="I250" s="18" t="str">
        <f>IF(OR(A250="",B250=""),"",IFERROR(LOOKUP(2,1/(单次交易!$A$2:$A$201=A250),单次交易!$H$2:$H$201),0)+SUMIFS($G$2:$G$1001,$A$2:$A$1001,A250,$B$2:$B$1001,"&lt;"&amp;B250))</f>
        <v/>
      </c>
      <c r="J250" s="17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17" t="str">
        <f t="shared" si="25"/>
        <v/>
      </c>
      <c r="L250" s="18" t="str">
        <f t="shared" si="26"/>
        <v/>
      </c>
      <c r="M250" s="18" t="str">
        <f t="shared" si="27"/>
        <v/>
      </c>
      <c r="N250" s="18" t="str">
        <f t="shared" si="28"/>
        <v/>
      </c>
      <c r="O250" s="18" t="str">
        <f t="shared" si="29"/>
        <v/>
      </c>
      <c r="P250" s="17" t="str">
        <f t="shared" si="30"/>
        <v/>
      </c>
      <c r="Q250" s="17" t="str">
        <f t="shared" si="31"/>
        <v/>
      </c>
      <c r="R250" s="19" t="str">
        <f ca="1">IF(A250="","",IF(COUNTIF(_TradeIds,A250)=0,"违规：交易编号不存在",IF(OR(B250="",B250&lt;1,B250&gt;5,B250&lt;&gt;INT(B250)),"违规：加仓序号须为1到5的整数",IF(COUNTIFS($A$2:$A$1001,A250,$B$2:$B$1001,B250)&gt;1,"违规：同一交易的加仓序号重复",IF(OR(D250="",E250="",F250=""),"计划不完整：请填写加仓价、新止损价和风险预算",IF(OR(D250&lt;=0,E250&lt;=0,F250&lt;=0,D250&lt;=E250),"违规：加仓价必须高于新止损价，金额须大于0",IF(AND(B250&gt;1,COUNTIFS($A$2:$A$1001,A250,$B$2:$B$1001,B250-1,$G$2:$G$1001,"&gt;0")=0),"违规：须先完成上一次加仓",IF(AND(B250&gt;1,E250&lt;SUMIFS($E$2:$E$1001,$A$2:$A$1001,A250,$B$2:$B$1001,B250-1)),"违规：新止损价不得低于上一次",IF(AND(B250&gt;1,F250&gt;SUMIFS($F$2:$F$1001,$A$2:$A$1001,A250,$B$2:$B$1001,B250-1)),"违规：风险预算须逐次不增加",IF(OR(_LockStatus="已锁仓",_LockStatus="解锁信息不完整"),"违规：锁仓期间禁止加仓",IF(G250="","计划可执行：建议股数见N列",IF(OR(G250&lt;=0,G250&lt;&gt;INT(G250),MOD(G250,100)&lt;&gt;0),"违规：实际股数须为100股整数倍",IF(G250&gt;N250,"违规：实际股数超过风险或金字塔上限",IF(AND(B250&gt;1,G250&gt;SUMIFS($G$2:$G$1001,$A$2:$A$1001,A250,$B$2:$B$1001,B250-1)),"违规：加仓股数须逐次不增加",IF(Q250&gt;F250,"违规：止损风险超过本次预算","通过")))))))))))))))</f>
        <v/>
      </c>
    </row>
    <row r="251" ht="17" spans="1:18">
      <c r="A251" s="13"/>
      <c r="B251" s="14"/>
      <c r="C251" s="15"/>
      <c r="D251" s="16"/>
      <c r="E251" s="16"/>
      <c r="F251" s="16"/>
      <c r="G251" s="14"/>
      <c r="H251" s="17" t="str">
        <f t="shared" si="24"/>
        <v/>
      </c>
      <c r="I251" s="18" t="str">
        <f>IF(OR(A251="",B251=""),"",IFERROR(LOOKUP(2,1/(单次交易!$A$2:$A$201=A251),单次交易!$H$2:$H$201),0)+SUMIFS($G$2:$G$1001,$A$2:$A$1001,A251,$B$2:$B$1001,"&lt;"&amp;B251))</f>
        <v/>
      </c>
      <c r="J251" s="17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17" t="str">
        <f t="shared" si="25"/>
        <v/>
      </c>
      <c r="L251" s="18" t="str">
        <f t="shared" si="26"/>
        <v/>
      </c>
      <c r="M251" s="18" t="str">
        <f t="shared" si="27"/>
        <v/>
      </c>
      <c r="N251" s="18" t="str">
        <f t="shared" si="28"/>
        <v/>
      </c>
      <c r="O251" s="18" t="str">
        <f t="shared" si="29"/>
        <v/>
      </c>
      <c r="P251" s="17" t="str">
        <f t="shared" si="30"/>
        <v/>
      </c>
      <c r="Q251" s="17" t="str">
        <f t="shared" si="31"/>
        <v/>
      </c>
      <c r="R251" s="19" t="str">
        <f ca="1">IF(A251="","",IF(COUNTIF(_TradeIds,A251)=0,"违规：交易编号不存在",IF(OR(B251="",B251&lt;1,B251&gt;5,B251&lt;&gt;INT(B251)),"违规：加仓序号须为1到5的整数",IF(COUNTIFS($A$2:$A$1001,A251,$B$2:$B$1001,B251)&gt;1,"违规：同一交易的加仓序号重复",IF(OR(D251="",E251="",F251=""),"计划不完整：请填写加仓价、新止损价和风险预算",IF(OR(D251&lt;=0,E251&lt;=0,F251&lt;=0,D251&lt;=E251),"违规：加仓价必须高于新止损价，金额须大于0",IF(AND(B251&gt;1,COUNTIFS($A$2:$A$1001,A251,$B$2:$B$1001,B251-1,$G$2:$G$1001,"&gt;0")=0),"违规：须先完成上一次加仓",IF(AND(B251&gt;1,E251&lt;SUMIFS($E$2:$E$1001,$A$2:$A$1001,A251,$B$2:$B$1001,B251-1)),"违规：新止损价不得低于上一次",IF(AND(B251&gt;1,F251&gt;SUMIFS($F$2:$F$1001,$A$2:$A$1001,A251,$B$2:$B$1001,B251-1)),"违规：风险预算须逐次不增加",IF(OR(_LockStatus="已锁仓",_LockStatus="解锁信息不完整"),"违规：锁仓期间禁止加仓",IF(G251="","计划可执行：建议股数见N列",IF(OR(G251&lt;=0,G251&lt;&gt;INT(G251),MOD(G251,100)&lt;&gt;0),"违规：实际股数须为100股整数倍",IF(G251&gt;N251,"违规：实际股数超过风险或金字塔上限",IF(AND(B251&gt;1,G251&gt;SUMIFS($G$2:$G$1001,$A$2:$A$1001,A251,$B$2:$B$1001,B251-1)),"违规：加仓股数须逐次不增加",IF(Q251&gt;F251,"违规：止损风险超过本次预算","通过")))))))))))))))</f>
        <v/>
      </c>
    </row>
    <row r="252" ht="17" spans="1:18">
      <c r="A252" s="13"/>
      <c r="B252" s="14"/>
      <c r="C252" s="15"/>
      <c r="D252" s="16"/>
      <c r="E252" s="16"/>
      <c r="F252" s="16"/>
      <c r="G252" s="14"/>
      <c r="H252" s="17" t="str">
        <f t="shared" si="24"/>
        <v/>
      </c>
      <c r="I252" s="18" t="str">
        <f>IF(OR(A252="",B252=""),"",IFERROR(LOOKUP(2,1/(单次交易!$A$2:$A$201=A252),单次交易!$H$2:$H$201),0)+SUMIFS($G$2:$G$1001,$A$2:$A$1001,A252,$B$2:$B$1001,"&lt;"&amp;B252))</f>
        <v/>
      </c>
      <c r="J252" s="17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17" t="str">
        <f t="shared" si="25"/>
        <v/>
      </c>
      <c r="L252" s="18" t="str">
        <f t="shared" si="26"/>
        <v/>
      </c>
      <c r="M252" s="18" t="str">
        <f t="shared" si="27"/>
        <v/>
      </c>
      <c r="N252" s="18" t="str">
        <f t="shared" si="28"/>
        <v/>
      </c>
      <c r="O252" s="18" t="str">
        <f t="shared" si="29"/>
        <v/>
      </c>
      <c r="P252" s="17" t="str">
        <f t="shared" si="30"/>
        <v/>
      </c>
      <c r="Q252" s="17" t="str">
        <f t="shared" si="31"/>
        <v/>
      </c>
      <c r="R252" s="19" t="str">
        <f ca="1">IF(A252="","",IF(COUNTIF(_TradeIds,A252)=0,"违规：交易编号不存在",IF(OR(B252="",B252&lt;1,B252&gt;5,B252&lt;&gt;INT(B252)),"违规：加仓序号须为1到5的整数",IF(COUNTIFS($A$2:$A$1001,A252,$B$2:$B$1001,B252)&gt;1,"违规：同一交易的加仓序号重复",IF(OR(D252="",E252="",F252=""),"计划不完整：请填写加仓价、新止损价和风险预算",IF(OR(D252&lt;=0,E252&lt;=0,F252&lt;=0,D252&lt;=E252),"违规：加仓价必须高于新止损价，金额须大于0",IF(AND(B252&gt;1,COUNTIFS($A$2:$A$1001,A252,$B$2:$B$1001,B252-1,$G$2:$G$1001,"&gt;0")=0),"违规：须先完成上一次加仓",IF(AND(B252&gt;1,E252&lt;SUMIFS($E$2:$E$1001,$A$2:$A$1001,A252,$B$2:$B$1001,B252-1)),"违规：新止损价不得低于上一次",IF(AND(B252&gt;1,F252&gt;SUMIFS($F$2:$F$1001,$A$2:$A$1001,A252,$B$2:$B$1001,B252-1)),"违规：风险预算须逐次不增加",IF(OR(_LockStatus="已锁仓",_LockStatus="解锁信息不完整"),"违规：锁仓期间禁止加仓",IF(G252="","计划可执行：建议股数见N列",IF(OR(G252&lt;=0,G252&lt;&gt;INT(G252),MOD(G252,100)&lt;&gt;0),"违规：实际股数须为100股整数倍",IF(G252&gt;N252,"违规：实际股数超过风险或金字塔上限",IF(AND(B252&gt;1,G252&gt;SUMIFS($G$2:$G$1001,$A$2:$A$1001,A252,$B$2:$B$1001,B252-1)),"违规：加仓股数须逐次不增加",IF(Q252&gt;F252,"违规：止损风险超过本次预算","通过")))))))))))))))</f>
        <v/>
      </c>
    </row>
    <row r="253" ht="17" spans="1:18">
      <c r="A253" s="13"/>
      <c r="B253" s="14"/>
      <c r="C253" s="15"/>
      <c r="D253" s="16"/>
      <c r="E253" s="16"/>
      <c r="F253" s="16"/>
      <c r="G253" s="14"/>
      <c r="H253" s="17" t="str">
        <f t="shared" si="24"/>
        <v/>
      </c>
      <c r="I253" s="18" t="str">
        <f>IF(OR(A253="",B253=""),"",IFERROR(LOOKUP(2,1/(单次交易!$A$2:$A$201=A253),单次交易!$H$2:$H$201),0)+SUMIFS($G$2:$G$1001,$A$2:$A$1001,A253,$B$2:$B$1001,"&lt;"&amp;B253))</f>
        <v/>
      </c>
      <c r="J253" s="17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17" t="str">
        <f t="shared" si="25"/>
        <v/>
      </c>
      <c r="L253" s="18" t="str">
        <f t="shared" si="26"/>
        <v/>
      </c>
      <c r="M253" s="18" t="str">
        <f t="shared" si="27"/>
        <v/>
      </c>
      <c r="N253" s="18" t="str">
        <f t="shared" si="28"/>
        <v/>
      </c>
      <c r="O253" s="18" t="str">
        <f t="shared" si="29"/>
        <v/>
      </c>
      <c r="P253" s="17" t="str">
        <f t="shared" si="30"/>
        <v/>
      </c>
      <c r="Q253" s="17" t="str">
        <f t="shared" si="31"/>
        <v/>
      </c>
      <c r="R253" s="19" t="str">
        <f ca="1">IF(A253="","",IF(COUNTIF(_TradeIds,A253)=0,"违规：交易编号不存在",IF(OR(B253="",B253&lt;1,B253&gt;5,B253&lt;&gt;INT(B253)),"违规：加仓序号须为1到5的整数",IF(COUNTIFS($A$2:$A$1001,A253,$B$2:$B$1001,B253)&gt;1,"违规：同一交易的加仓序号重复",IF(OR(D253="",E253="",F253=""),"计划不完整：请填写加仓价、新止损价和风险预算",IF(OR(D253&lt;=0,E253&lt;=0,F253&lt;=0,D253&lt;=E253),"违规：加仓价必须高于新止损价，金额须大于0",IF(AND(B253&gt;1,COUNTIFS($A$2:$A$1001,A253,$B$2:$B$1001,B253-1,$G$2:$G$1001,"&gt;0")=0),"违规：须先完成上一次加仓",IF(AND(B253&gt;1,E253&lt;SUMIFS($E$2:$E$1001,$A$2:$A$1001,A253,$B$2:$B$1001,B253-1)),"违规：新止损价不得低于上一次",IF(AND(B253&gt;1,F253&gt;SUMIFS($F$2:$F$1001,$A$2:$A$1001,A253,$B$2:$B$1001,B253-1)),"违规：风险预算须逐次不增加",IF(OR(_LockStatus="已锁仓",_LockStatus="解锁信息不完整"),"违规：锁仓期间禁止加仓",IF(G253="","计划可执行：建议股数见N列",IF(OR(G253&lt;=0,G253&lt;&gt;INT(G253),MOD(G253,100)&lt;&gt;0),"违规：实际股数须为100股整数倍",IF(G253&gt;N253,"违规：实际股数超过风险或金字塔上限",IF(AND(B253&gt;1,G253&gt;SUMIFS($G$2:$G$1001,$A$2:$A$1001,A253,$B$2:$B$1001,B253-1)),"违规：加仓股数须逐次不增加",IF(Q253&gt;F253,"违规：止损风险超过本次预算","通过")))))))))))))))</f>
        <v/>
      </c>
    </row>
    <row r="254" ht="17" spans="1:18">
      <c r="A254" s="13"/>
      <c r="B254" s="14"/>
      <c r="C254" s="15"/>
      <c r="D254" s="16"/>
      <c r="E254" s="16"/>
      <c r="F254" s="16"/>
      <c r="G254" s="14"/>
      <c r="H254" s="17" t="str">
        <f t="shared" si="24"/>
        <v/>
      </c>
      <c r="I254" s="18" t="str">
        <f>IF(OR(A254="",B254=""),"",IFERROR(LOOKUP(2,1/(单次交易!$A$2:$A$201=A254),单次交易!$H$2:$H$201),0)+SUMIFS($G$2:$G$1001,$A$2:$A$1001,A254,$B$2:$B$1001,"&lt;"&amp;B254))</f>
        <v/>
      </c>
      <c r="J254" s="17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17" t="str">
        <f t="shared" si="25"/>
        <v/>
      </c>
      <c r="L254" s="18" t="str">
        <f t="shared" si="26"/>
        <v/>
      </c>
      <c r="M254" s="18" t="str">
        <f t="shared" si="27"/>
        <v/>
      </c>
      <c r="N254" s="18" t="str">
        <f t="shared" si="28"/>
        <v/>
      </c>
      <c r="O254" s="18" t="str">
        <f t="shared" si="29"/>
        <v/>
      </c>
      <c r="P254" s="17" t="str">
        <f t="shared" si="30"/>
        <v/>
      </c>
      <c r="Q254" s="17" t="str">
        <f t="shared" si="31"/>
        <v/>
      </c>
      <c r="R254" s="19" t="str">
        <f ca="1">IF(A254="","",IF(COUNTIF(_TradeIds,A254)=0,"违规：交易编号不存在",IF(OR(B254="",B254&lt;1,B254&gt;5,B254&lt;&gt;INT(B254)),"违规：加仓序号须为1到5的整数",IF(COUNTIFS($A$2:$A$1001,A254,$B$2:$B$1001,B254)&gt;1,"违规：同一交易的加仓序号重复",IF(OR(D254="",E254="",F254=""),"计划不完整：请填写加仓价、新止损价和风险预算",IF(OR(D254&lt;=0,E254&lt;=0,F254&lt;=0,D254&lt;=E254),"违规：加仓价必须高于新止损价，金额须大于0",IF(AND(B254&gt;1,COUNTIFS($A$2:$A$1001,A254,$B$2:$B$1001,B254-1,$G$2:$G$1001,"&gt;0")=0),"违规：须先完成上一次加仓",IF(AND(B254&gt;1,E254&lt;SUMIFS($E$2:$E$1001,$A$2:$A$1001,A254,$B$2:$B$1001,B254-1)),"违规：新止损价不得低于上一次",IF(AND(B254&gt;1,F254&gt;SUMIFS($F$2:$F$1001,$A$2:$A$1001,A254,$B$2:$B$1001,B254-1)),"违规：风险预算须逐次不增加",IF(OR(_LockStatus="已锁仓",_LockStatus="解锁信息不完整"),"违规：锁仓期间禁止加仓",IF(G254="","计划可执行：建议股数见N列",IF(OR(G254&lt;=0,G254&lt;&gt;INT(G254),MOD(G254,100)&lt;&gt;0),"违规：实际股数须为100股整数倍",IF(G254&gt;N254,"违规：实际股数超过风险或金字塔上限",IF(AND(B254&gt;1,G254&gt;SUMIFS($G$2:$G$1001,$A$2:$A$1001,A254,$B$2:$B$1001,B254-1)),"违规：加仓股数须逐次不增加",IF(Q254&gt;F254,"违规：止损风险超过本次预算","通过")))))))))))))))</f>
        <v/>
      </c>
    </row>
    <row r="255" ht="17" spans="1:18">
      <c r="A255" s="13"/>
      <c r="B255" s="14"/>
      <c r="C255" s="15"/>
      <c r="D255" s="16"/>
      <c r="E255" s="16"/>
      <c r="F255" s="16"/>
      <c r="G255" s="14"/>
      <c r="H255" s="17" t="str">
        <f t="shared" si="24"/>
        <v/>
      </c>
      <c r="I255" s="18" t="str">
        <f>IF(OR(A255="",B255=""),"",IFERROR(LOOKUP(2,1/(单次交易!$A$2:$A$201=A255),单次交易!$H$2:$H$201),0)+SUMIFS($G$2:$G$1001,$A$2:$A$1001,A255,$B$2:$B$1001,"&lt;"&amp;B255))</f>
        <v/>
      </c>
      <c r="J255" s="17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17" t="str">
        <f t="shared" si="25"/>
        <v/>
      </c>
      <c r="L255" s="18" t="str">
        <f t="shared" si="26"/>
        <v/>
      </c>
      <c r="M255" s="18" t="str">
        <f t="shared" si="27"/>
        <v/>
      </c>
      <c r="N255" s="18" t="str">
        <f t="shared" si="28"/>
        <v/>
      </c>
      <c r="O255" s="18" t="str">
        <f t="shared" si="29"/>
        <v/>
      </c>
      <c r="P255" s="17" t="str">
        <f t="shared" si="30"/>
        <v/>
      </c>
      <c r="Q255" s="17" t="str">
        <f t="shared" si="31"/>
        <v/>
      </c>
      <c r="R255" s="19" t="str">
        <f ca="1">IF(A255="","",IF(COUNTIF(_TradeIds,A255)=0,"违规：交易编号不存在",IF(OR(B255="",B255&lt;1,B255&gt;5,B255&lt;&gt;INT(B255)),"违规：加仓序号须为1到5的整数",IF(COUNTIFS($A$2:$A$1001,A255,$B$2:$B$1001,B255)&gt;1,"违规：同一交易的加仓序号重复",IF(OR(D255="",E255="",F255=""),"计划不完整：请填写加仓价、新止损价和风险预算",IF(OR(D255&lt;=0,E255&lt;=0,F255&lt;=0,D255&lt;=E255),"违规：加仓价必须高于新止损价，金额须大于0",IF(AND(B255&gt;1,COUNTIFS($A$2:$A$1001,A255,$B$2:$B$1001,B255-1,$G$2:$G$1001,"&gt;0")=0),"违规：须先完成上一次加仓",IF(AND(B255&gt;1,E255&lt;SUMIFS($E$2:$E$1001,$A$2:$A$1001,A255,$B$2:$B$1001,B255-1)),"违规：新止损价不得低于上一次",IF(AND(B255&gt;1,F255&gt;SUMIFS($F$2:$F$1001,$A$2:$A$1001,A255,$B$2:$B$1001,B255-1)),"违规：风险预算须逐次不增加",IF(OR(_LockStatus="已锁仓",_LockStatus="解锁信息不完整"),"违规：锁仓期间禁止加仓",IF(G255="","计划可执行：建议股数见N列",IF(OR(G255&lt;=0,G255&lt;&gt;INT(G255),MOD(G255,100)&lt;&gt;0),"违规：实际股数须为100股整数倍",IF(G255&gt;N255,"违规：实际股数超过风险或金字塔上限",IF(AND(B255&gt;1,G255&gt;SUMIFS($G$2:$G$1001,$A$2:$A$1001,A255,$B$2:$B$1001,B255-1)),"违规：加仓股数须逐次不增加",IF(Q255&gt;F255,"违规：止损风险超过本次预算","通过")))))))))))))))</f>
        <v/>
      </c>
    </row>
    <row r="256" ht="17" spans="1:18">
      <c r="A256" s="13"/>
      <c r="B256" s="14"/>
      <c r="C256" s="15"/>
      <c r="D256" s="16"/>
      <c r="E256" s="16"/>
      <c r="F256" s="16"/>
      <c r="G256" s="14"/>
      <c r="H256" s="17" t="str">
        <f t="shared" si="24"/>
        <v/>
      </c>
      <c r="I256" s="18" t="str">
        <f>IF(OR(A256="",B256=""),"",IFERROR(LOOKUP(2,1/(单次交易!$A$2:$A$201=A256),单次交易!$H$2:$H$201),0)+SUMIFS($G$2:$G$1001,$A$2:$A$1001,A256,$B$2:$B$1001,"&lt;"&amp;B256))</f>
        <v/>
      </c>
      <c r="J256" s="17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17" t="str">
        <f t="shared" si="25"/>
        <v/>
      </c>
      <c r="L256" s="18" t="str">
        <f t="shared" si="26"/>
        <v/>
      </c>
      <c r="M256" s="18" t="str">
        <f t="shared" si="27"/>
        <v/>
      </c>
      <c r="N256" s="18" t="str">
        <f t="shared" si="28"/>
        <v/>
      </c>
      <c r="O256" s="18" t="str">
        <f t="shared" si="29"/>
        <v/>
      </c>
      <c r="P256" s="17" t="str">
        <f t="shared" si="30"/>
        <v/>
      </c>
      <c r="Q256" s="17" t="str">
        <f t="shared" si="31"/>
        <v/>
      </c>
      <c r="R256" s="19" t="str">
        <f ca="1">IF(A256="","",IF(COUNTIF(_TradeIds,A256)=0,"违规：交易编号不存在",IF(OR(B256="",B256&lt;1,B256&gt;5,B256&lt;&gt;INT(B256)),"违规：加仓序号须为1到5的整数",IF(COUNTIFS($A$2:$A$1001,A256,$B$2:$B$1001,B256)&gt;1,"违规：同一交易的加仓序号重复",IF(OR(D256="",E256="",F256=""),"计划不完整：请填写加仓价、新止损价和风险预算",IF(OR(D256&lt;=0,E256&lt;=0,F256&lt;=0,D256&lt;=E256),"违规：加仓价必须高于新止损价，金额须大于0",IF(AND(B256&gt;1,COUNTIFS($A$2:$A$1001,A256,$B$2:$B$1001,B256-1,$G$2:$G$1001,"&gt;0")=0),"违规：须先完成上一次加仓",IF(AND(B256&gt;1,E256&lt;SUMIFS($E$2:$E$1001,$A$2:$A$1001,A256,$B$2:$B$1001,B256-1)),"违规：新止损价不得低于上一次",IF(AND(B256&gt;1,F256&gt;SUMIFS($F$2:$F$1001,$A$2:$A$1001,A256,$B$2:$B$1001,B256-1)),"违规：风险预算须逐次不增加",IF(OR(_LockStatus="已锁仓",_LockStatus="解锁信息不完整"),"违规：锁仓期间禁止加仓",IF(G256="","计划可执行：建议股数见N列",IF(OR(G256&lt;=0,G256&lt;&gt;INT(G256),MOD(G256,100)&lt;&gt;0),"违规：实际股数须为100股整数倍",IF(G256&gt;N256,"违规：实际股数超过风险或金字塔上限",IF(AND(B256&gt;1,G256&gt;SUMIFS($G$2:$G$1001,$A$2:$A$1001,A256,$B$2:$B$1001,B256-1)),"违规：加仓股数须逐次不增加",IF(Q256&gt;F256,"违规：止损风险超过本次预算","通过")))))))))))))))</f>
        <v/>
      </c>
    </row>
    <row r="257" ht="17" spans="1:18">
      <c r="A257" s="13"/>
      <c r="B257" s="14"/>
      <c r="C257" s="15"/>
      <c r="D257" s="16"/>
      <c r="E257" s="16"/>
      <c r="F257" s="16"/>
      <c r="G257" s="14"/>
      <c r="H257" s="17" t="str">
        <f t="shared" si="24"/>
        <v/>
      </c>
      <c r="I257" s="18" t="str">
        <f>IF(OR(A257="",B257=""),"",IFERROR(LOOKUP(2,1/(单次交易!$A$2:$A$201=A257),单次交易!$H$2:$H$201),0)+SUMIFS($G$2:$G$1001,$A$2:$A$1001,A257,$B$2:$B$1001,"&lt;"&amp;B257))</f>
        <v/>
      </c>
      <c r="J257" s="17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17" t="str">
        <f t="shared" si="25"/>
        <v/>
      </c>
      <c r="L257" s="18" t="str">
        <f t="shared" si="26"/>
        <v/>
      </c>
      <c r="M257" s="18" t="str">
        <f t="shared" si="27"/>
        <v/>
      </c>
      <c r="N257" s="18" t="str">
        <f t="shared" si="28"/>
        <v/>
      </c>
      <c r="O257" s="18" t="str">
        <f t="shared" si="29"/>
        <v/>
      </c>
      <c r="P257" s="17" t="str">
        <f t="shared" si="30"/>
        <v/>
      </c>
      <c r="Q257" s="17" t="str">
        <f t="shared" si="31"/>
        <v/>
      </c>
      <c r="R257" s="19" t="str">
        <f ca="1">IF(A257="","",IF(COUNTIF(_TradeIds,A257)=0,"违规：交易编号不存在",IF(OR(B257="",B257&lt;1,B257&gt;5,B257&lt;&gt;INT(B257)),"违规：加仓序号须为1到5的整数",IF(COUNTIFS($A$2:$A$1001,A257,$B$2:$B$1001,B257)&gt;1,"违规：同一交易的加仓序号重复",IF(OR(D257="",E257="",F257=""),"计划不完整：请填写加仓价、新止损价和风险预算",IF(OR(D257&lt;=0,E257&lt;=0,F257&lt;=0,D257&lt;=E257),"违规：加仓价必须高于新止损价，金额须大于0",IF(AND(B257&gt;1,COUNTIFS($A$2:$A$1001,A257,$B$2:$B$1001,B257-1,$G$2:$G$1001,"&gt;0")=0),"违规：须先完成上一次加仓",IF(AND(B257&gt;1,E257&lt;SUMIFS($E$2:$E$1001,$A$2:$A$1001,A257,$B$2:$B$1001,B257-1)),"违规：新止损价不得低于上一次",IF(AND(B257&gt;1,F257&gt;SUMIFS($F$2:$F$1001,$A$2:$A$1001,A257,$B$2:$B$1001,B257-1)),"违规：风险预算须逐次不增加",IF(OR(_LockStatus="已锁仓",_LockStatus="解锁信息不完整"),"违规：锁仓期间禁止加仓",IF(G257="","计划可执行：建议股数见N列",IF(OR(G257&lt;=0,G257&lt;&gt;INT(G257),MOD(G257,100)&lt;&gt;0),"违规：实际股数须为100股整数倍",IF(G257&gt;N257,"违规：实际股数超过风险或金字塔上限",IF(AND(B257&gt;1,G257&gt;SUMIFS($G$2:$G$1001,$A$2:$A$1001,A257,$B$2:$B$1001,B257-1)),"违规：加仓股数须逐次不增加",IF(Q257&gt;F257,"违规：止损风险超过本次预算","通过")))))))))))))))</f>
        <v/>
      </c>
    </row>
    <row r="258" ht="17" spans="1:18">
      <c r="A258" s="13"/>
      <c r="B258" s="14"/>
      <c r="C258" s="15"/>
      <c r="D258" s="16"/>
      <c r="E258" s="16"/>
      <c r="F258" s="16"/>
      <c r="G258" s="14"/>
      <c r="H258" s="17" t="str">
        <f t="shared" ref="H258:H321" si="32">IF(OR(A258="",D258="",G258=""),"",D258*G258)</f>
        <v/>
      </c>
      <c r="I258" s="18" t="str">
        <f>IF(OR(A258="",B258=""),"",IFERROR(LOOKUP(2,1/(单次交易!$A$2:$A$201=A258),单次交易!$H$2:$H$201),0)+SUMIFS($G$2:$G$1001,$A$2:$A$1001,A258,$B$2:$B$1001,"&lt;"&amp;B258))</f>
        <v/>
      </c>
      <c r="J258" s="17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17" t="str">
        <f t="shared" ref="K258:K321" si="33">IF(OR(E258="",I258="",J258=""),"",MAX(E258*I258-J258,0))</f>
        <v/>
      </c>
      <c r="L258" s="18" t="str">
        <f t="shared" ref="L258:L321" si="34">IF(OR(D258="",E258="",F258="",D258&lt;=E258),"",FLOOR((F258+K258)/(D258-E258),100))</f>
        <v/>
      </c>
      <c r="M258" s="18" t="str">
        <f t="shared" ref="M258:M321" si="35">IF(OR(A258="",B258="",L258=""),"",IF(B258=1,L258,IFERROR(SUMIFS($G$2:$G$1001,$A$2:$A$1001,A258,$B$2:$B$1001,B258-1),0)))</f>
        <v/>
      </c>
      <c r="N258" s="18" t="str">
        <f t="shared" ref="N258:N321" si="36">IF(OR(L258="",M258=""),"",MIN(L258,M258))</f>
        <v/>
      </c>
      <c r="O258" s="18" t="str">
        <f t="shared" ref="O258:O321" si="37">IF(OR(I258="",G258=""),"",I258+G258)</f>
        <v/>
      </c>
      <c r="P258" s="17" t="str">
        <f t="shared" ref="P258:P321" si="38">IF(OR(O258="",O258=0),"",(J258+H258)/O258)</f>
        <v/>
      </c>
      <c r="Q258" s="17" t="str">
        <f t="shared" ref="Q258:Q321" si="39">IF(OR(O258="",E258=""),"",MAX(J258+H258-E258*O258,0))</f>
        <v/>
      </c>
      <c r="R258" s="19" t="str">
        <f ca="1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ht="17" spans="1:18">
      <c r="A259" s="13"/>
      <c r="B259" s="14"/>
      <c r="C259" s="15"/>
      <c r="D259" s="16"/>
      <c r="E259" s="16"/>
      <c r="F259" s="16"/>
      <c r="G259" s="14"/>
      <c r="H259" s="17" t="str">
        <f t="shared" si="32"/>
        <v/>
      </c>
      <c r="I259" s="18" t="str">
        <f>IF(OR(A259="",B259=""),"",IFERROR(LOOKUP(2,1/(单次交易!$A$2:$A$201=A259),单次交易!$H$2:$H$201),0)+SUMIFS($G$2:$G$1001,$A$2:$A$1001,A259,$B$2:$B$1001,"&lt;"&amp;B259))</f>
        <v/>
      </c>
      <c r="J259" s="17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17" t="str">
        <f t="shared" si="33"/>
        <v/>
      </c>
      <c r="L259" s="18" t="str">
        <f t="shared" si="34"/>
        <v/>
      </c>
      <c r="M259" s="18" t="str">
        <f t="shared" si="35"/>
        <v/>
      </c>
      <c r="N259" s="18" t="str">
        <f t="shared" si="36"/>
        <v/>
      </c>
      <c r="O259" s="18" t="str">
        <f t="shared" si="37"/>
        <v/>
      </c>
      <c r="P259" s="17" t="str">
        <f t="shared" si="38"/>
        <v/>
      </c>
      <c r="Q259" s="17" t="str">
        <f t="shared" si="39"/>
        <v/>
      </c>
      <c r="R259" s="19" t="str">
        <f ca="1">IF(A259="","",IF(COUNTIF(_TradeIds,A259)=0,"违规：交易编号不存在",IF(OR(B259="",B259&lt;1,B259&gt;5,B259&lt;&gt;INT(B259)),"违规：加仓序号须为1到5的整数",IF(COUNTIFS($A$2:$A$1001,A259,$B$2:$B$1001,B259)&gt;1,"违规：同一交易的加仓序号重复",IF(OR(D259="",E259="",F259=""),"计划不完整：请填写加仓价、新止损价和风险预算",IF(OR(D259&lt;=0,E259&lt;=0,F259&lt;=0,D259&lt;=E259),"违规：加仓价必须高于新止损价，金额须大于0",IF(AND(B259&gt;1,COUNTIFS($A$2:$A$1001,A259,$B$2:$B$1001,B259-1,$G$2:$G$1001,"&gt;0")=0),"违规：须先完成上一次加仓",IF(AND(B259&gt;1,E259&lt;SUMIFS($E$2:$E$1001,$A$2:$A$1001,A259,$B$2:$B$1001,B259-1)),"违规：新止损价不得低于上一次",IF(AND(B259&gt;1,F259&gt;SUMIFS($F$2:$F$1001,$A$2:$A$1001,A259,$B$2:$B$1001,B259-1)),"违规：风险预算须逐次不增加",IF(OR(_LockStatus="已锁仓",_LockStatus="解锁信息不完整"),"违规：锁仓期间禁止加仓",IF(G259="","计划可执行：建议股数见N列",IF(OR(G259&lt;=0,G259&lt;&gt;INT(G259),MOD(G259,100)&lt;&gt;0),"违规：实际股数须为100股整数倍",IF(G259&gt;N259,"违规：实际股数超过风险或金字塔上限",IF(AND(B259&gt;1,G259&gt;SUMIFS($G$2:$G$1001,$A$2:$A$1001,A259,$B$2:$B$1001,B259-1)),"违规：加仓股数须逐次不增加",IF(Q259&gt;F259,"违规：止损风险超过本次预算","通过")))))))))))))))</f>
        <v/>
      </c>
    </row>
    <row r="260" ht="17" spans="1:18">
      <c r="A260" s="13"/>
      <c r="B260" s="14"/>
      <c r="C260" s="15"/>
      <c r="D260" s="16"/>
      <c r="E260" s="16"/>
      <c r="F260" s="16"/>
      <c r="G260" s="14"/>
      <c r="H260" s="17" t="str">
        <f t="shared" si="32"/>
        <v/>
      </c>
      <c r="I260" s="18" t="str">
        <f>IF(OR(A260="",B260=""),"",IFERROR(LOOKUP(2,1/(单次交易!$A$2:$A$201=A260),单次交易!$H$2:$H$201),0)+SUMIFS($G$2:$G$1001,$A$2:$A$1001,A260,$B$2:$B$1001,"&lt;"&amp;B260))</f>
        <v/>
      </c>
      <c r="J260" s="17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17" t="str">
        <f t="shared" si="33"/>
        <v/>
      </c>
      <c r="L260" s="18" t="str">
        <f t="shared" si="34"/>
        <v/>
      </c>
      <c r="M260" s="18" t="str">
        <f t="shared" si="35"/>
        <v/>
      </c>
      <c r="N260" s="18" t="str">
        <f t="shared" si="36"/>
        <v/>
      </c>
      <c r="O260" s="18" t="str">
        <f t="shared" si="37"/>
        <v/>
      </c>
      <c r="P260" s="17" t="str">
        <f t="shared" si="38"/>
        <v/>
      </c>
      <c r="Q260" s="17" t="str">
        <f t="shared" si="39"/>
        <v/>
      </c>
      <c r="R260" s="19" t="str">
        <f ca="1">IF(A260="","",IF(COUNTIF(_TradeIds,A260)=0,"违规：交易编号不存在",IF(OR(B260="",B260&lt;1,B260&gt;5,B260&lt;&gt;INT(B260)),"违规：加仓序号须为1到5的整数",IF(COUNTIFS($A$2:$A$1001,A260,$B$2:$B$1001,B260)&gt;1,"违规：同一交易的加仓序号重复",IF(OR(D260="",E260="",F260=""),"计划不完整：请填写加仓价、新止损价和风险预算",IF(OR(D260&lt;=0,E260&lt;=0,F260&lt;=0,D260&lt;=E260),"违规：加仓价必须高于新止损价，金额须大于0",IF(AND(B260&gt;1,COUNTIFS($A$2:$A$1001,A260,$B$2:$B$1001,B260-1,$G$2:$G$1001,"&gt;0")=0),"违规：须先完成上一次加仓",IF(AND(B260&gt;1,E260&lt;SUMIFS($E$2:$E$1001,$A$2:$A$1001,A260,$B$2:$B$1001,B260-1)),"违规：新止损价不得低于上一次",IF(AND(B260&gt;1,F260&gt;SUMIFS($F$2:$F$1001,$A$2:$A$1001,A260,$B$2:$B$1001,B260-1)),"违规：风险预算须逐次不增加",IF(OR(_LockStatus="已锁仓",_LockStatus="解锁信息不完整"),"违规：锁仓期间禁止加仓",IF(G260="","计划可执行：建议股数见N列",IF(OR(G260&lt;=0,G260&lt;&gt;INT(G260),MOD(G260,100)&lt;&gt;0),"违规：实际股数须为100股整数倍",IF(G260&gt;N260,"违规：实际股数超过风险或金字塔上限",IF(AND(B260&gt;1,G260&gt;SUMIFS($G$2:$G$1001,$A$2:$A$1001,A260,$B$2:$B$1001,B260-1)),"违规：加仓股数须逐次不增加",IF(Q260&gt;F260,"违规：止损风险超过本次预算","通过")))))))))))))))</f>
        <v/>
      </c>
    </row>
    <row r="261" ht="17" spans="1:18">
      <c r="A261" s="13"/>
      <c r="B261" s="14"/>
      <c r="C261" s="15"/>
      <c r="D261" s="16"/>
      <c r="E261" s="16"/>
      <c r="F261" s="16"/>
      <c r="G261" s="14"/>
      <c r="H261" s="17" t="str">
        <f t="shared" si="32"/>
        <v/>
      </c>
      <c r="I261" s="18" t="str">
        <f>IF(OR(A261="",B261=""),"",IFERROR(LOOKUP(2,1/(单次交易!$A$2:$A$201=A261),单次交易!$H$2:$H$201),0)+SUMIFS($G$2:$G$1001,$A$2:$A$1001,A261,$B$2:$B$1001,"&lt;"&amp;B261))</f>
        <v/>
      </c>
      <c r="J261" s="17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17" t="str">
        <f t="shared" si="33"/>
        <v/>
      </c>
      <c r="L261" s="18" t="str">
        <f t="shared" si="34"/>
        <v/>
      </c>
      <c r="M261" s="18" t="str">
        <f t="shared" si="35"/>
        <v/>
      </c>
      <c r="N261" s="18" t="str">
        <f t="shared" si="36"/>
        <v/>
      </c>
      <c r="O261" s="18" t="str">
        <f t="shared" si="37"/>
        <v/>
      </c>
      <c r="P261" s="17" t="str">
        <f t="shared" si="38"/>
        <v/>
      </c>
      <c r="Q261" s="17" t="str">
        <f t="shared" si="39"/>
        <v/>
      </c>
      <c r="R261" s="19" t="str">
        <f ca="1">IF(A261="","",IF(COUNTIF(_TradeIds,A261)=0,"违规：交易编号不存在",IF(OR(B261="",B261&lt;1,B261&gt;5,B261&lt;&gt;INT(B261)),"违规：加仓序号须为1到5的整数",IF(COUNTIFS($A$2:$A$1001,A261,$B$2:$B$1001,B261)&gt;1,"违规：同一交易的加仓序号重复",IF(OR(D261="",E261="",F261=""),"计划不完整：请填写加仓价、新止损价和风险预算",IF(OR(D261&lt;=0,E261&lt;=0,F261&lt;=0,D261&lt;=E261),"违规：加仓价必须高于新止损价，金额须大于0",IF(AND(B261&gt;1,COUNTIFS($A$2:$A$1001,A261,$B$2:$B$1001,B261-1,$G$2:$G$1001,"&gt;0")=0),"违规：须先完成上一次加仓",IF(AND(B261&gt;1,E261&lt;SUMIFS($E$2:$E$1001,$A$2:$A$1001,A261,$B$2:$B$1001,B261-1)),"违规：新止损价不得低于上一次",IF(AND(B261&gt;1,F261&gt;SUMIFS($F$2:$F$1001,$A$2:$A$1001,A261,$B$2:$B$1001,B261-1)),"违规：风险预算须逐次不增加",IF(OR(_LockStatus="已锁仓",_LockStatus="解锁信息不完整"),"违规：锁仓期间禁止加仓",IF(G261="","计划可执行：建议股数见N列",IF(OR(G261&lt;=0,G261&lt;&gt;INT(G261),MOD(G261,100)&lt;&gt;0),"违规：实际股数须为100股整数倍",IF(G261&gt;N261,"违规：实际股数超过风险或金字塔上限",IF(AND(B261&gt;1,G261&gt;SUMIFS($G$2:$G$1001,$A$2:$A$1001,A261,$B$2:$B$1001,B261-1)),"违规：加仓股数须逐次不增加",IF(Q261&gt;F261,"违规：止损风险超过本次预算","通过")))))))))))))))</f>
        <v/>
      </c>
    </row>
    <row r="262" ht="17" spans="1:18">
      <c r="A262" s="13"/>
      <c r="B262" s="14"/>
      <c r="C262" s="15"/>
      <c r="D262" s="16"/>
      <c r="E262" s="16"/>
      <c r="F262" s="16"/>
      <c r="G262" s="14"/>
      <c r="H262" s="17" t="str">
        <f t="shared" si="32"/>
        <v/>
      </c>
      <c r="I262" s="18" t="str">
        <f>IF(OR(A262="",B262=""),"",IFERROR(LOOKUP(2,1/(单次交易!$A$2:$A$201=A262),单次交易!$H$2:$H$201),0)+SUMIFS($G$2:$G$1001,$A$2:$A$1001,A262,$B$2:$B$1001,"&lt;"&amp;B262))</f>
        <v/>
      </c>
      <c r="J262" s="17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17" t="str">
        <f t="shared" si="33"/>
        <v/>
      </c>
      <c r="L262" s="18" t="str">
        <f t="shared" si="34"/>
        <v/>
      </c>
      <c r="M262" s="18" t="str">
        <f t="shared" si="35"/>
        <v/>
      </c>
      <c r="N262" s="18" t="str">
        <f t="shared" si="36"/>
        <v/>
      </c>
      <c r="O262" s="18" t="str">
        <f t="shared" si="37"/>
        <v/>
      </c>
      <c r="P262" s="17" t="str">
        <f t="shared" si="38"/>
        <v/>
      </c>
      <c r="Q262" s="17" t="str">
        <f t="shared" si="39"/>
        <v/>
      </c>
      <c r="R262" s="19" t="str">
        <f ca="1">IF(A262="","",IF(COUNTIF(_TradeIds,A262)=0,"违规：交易编号不存在",IF(OR(B262="",B262&lt;1,B262&gt;5,B262&lt;&gt;INT(B262)),"违规：加仓序号须为1到5的整数",IF(COUNTIFS($A$2:$A$1001,A262,$B$2:$B$1001,B262)&gt;1,"违规：同一交易的加仓序号重复",IF(OR(D262="",E262="",F262=""),"计划不完整：请填写加仓价、新止损价和风险预算",IF(OR(D262&lt;=0,E262&lt;=0,F262&lt;=0,D262&lt;=E262),"违规：加仓价必须高于新止损价，金额须大于0",IF(AND(B262&gt;1,COUNTIFS($A$2:$A$1001,A262,$B$2:$B$1001,B262-1,$G$2:$G$1001,"&gt;0")=0),"违规：须先完成上一次加仓",IF(AND(B262&gt;1,E262&lt;SUMIFS($E$2:$E$1001,$A$2:$A$1001,A262,$B$2:$B$1001,B262-1)),"违规：新止损价不得低于上一次",IF(AND(B262&gt;1,F262&gt;SUMIFS($F$2:$F$1001,$A$2:$A$1001,A262,$B$2:$B$1001,B262-1)),"违规：风险预算须逐次不增加",IF(OR(_LockStatus="已锁仓",_LockStatus="解锁信息不完整"),"违规：锁仓期间禁止加仓",IF(G262="","计划可执行：建议股数见N列",IF(OR(G262&lt;=0,G262&lt;&gt;INT(G262),MOD(G262,100)&lt;&gt;0),"违规：实际股数须为100股整数倍",IF(G262&gt;N262,"违规：实际股数超过风险或金字塔上限",IF(AND(B262&gt;1,G262&gt;SUMIFS($G$2:$G$1001,$A$2:$A$1001,A262,$B$2:$B$1001,B262-1)),"违规：加仓股数须逐次不增加",IF(Q262&gt;F262,"违规：止损风险超过本次预算","通过")))))))))))))))</f>
        <v/>
      </c>
    </row>
    <row r="263" ht="17" spans="1:18">
      <c r="A263" s="13"/>
      <c r="B263" s="14"/>
      <c r="C263" s="15"/>
      <c r="D263" s="16"/>
      <c r="E263" s="16"/>
      <c r="F263" s="16"/>
      <c r="G263" s="14"/>
      <c r="H263" s="17" t="str">
        <f t="shared" si="32"/>
        <v/>
      </c>
      <c r="I263" s="18" t="str">
        <f>IF(OR(A263="",B263=""),"",IFERROR(LOOKUP(2,1/(单次交易!$A$2:$A$201=A263),单次交易!$H$2:$H$201),0)+SUMIFS($G$2:$G$1001,$A$2:$A$1001,A263,$B$2:$B$1001,"&lt;"&amp;B263))</f>
        <v/>
      </c>
      <c r="J263" s="17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17" t="str">
        <f t="shared" si="33"/>
        <v/>
      </c>
      <c r="L263" s="18" t="str">
        <f t="shared" si="34"/>
        <v/>
      </c>
      <c r="M263" s="18" t="str">
        <f t="shared" si="35"/>
        <v/>
      </c>
      <c r="N263" s="18" t="str">
        <f t="shared" si="36"/>
        <v/>
      </c>
      <c r="O263" s="18" t="str">
        <f t="shared" si="37"/>
        <v/>
      </c>
      <c r="P263" s="17" t="str">
        <f t="shared" si="38"/>
        <v/>
      </c>
      <c r="Q263" s="17" t="str">
        <f t="shared" si="39"/>
        <v/>
      </c>
      <c r="R263" s="19" t="str">
        <f ca="1">IF(A263="","",IF(COUNTIF(_TradeIds,A263)=0,"违规：交易编号不存在",IF(OR(B263="",B263&lt;1,B263&gt;5,B263&lt;&gt;INT(B263)),"违规：加仓序号须为1到5的整数",IF(COUNTIFS($A$2:$A$1001,A263,$B$2:$B$1001,B263)&gt;1,"违规：同一交易的加仓序号重复",IF(OR(D263="",E263="",F263=""),"计划不完整：请填写加仓价、新止损价和风险预算",IF(OR(D263&lt;=0,E263&lt;=0,F263&lt;=0,D263&lt;=E263),"违规：加仓价必须高于新止损价，金额须大于0",IF(AND(B263&gt;1,COUNTIFS($A$2:$A$1001,A263,$B$2:$B$1001,B263-1,$G$2:$G$1001,"&gt;0")=0),"违规：须先完成上一次加仓",IF(AND(B263&gt;1,E263&lt;SUMIFS($E$2:$E$1001,$A$2:$A$1001,A263,$B$2:$B$1001,B263-1)),"违规：新止损价不得低于上一次",IF(AND(B263&gt;1,F263&gt;SUMIFS($F$2:$F$1001,$A$2:$A$1001,A263,$B$2:$B$1001,B263-1)),"违规：风险预算须逐次不增加",IF(OR(_LockStatus="已锁仓",_LockStatus="解锁信息不完整"),"违规：锁仓期间禁止加仓",IF(G263="","计划可执行：建议股数见N列",IF(OR(G263&lt;=0,G263&lt;&gt;INT(G263),MOD(G263,100)&lt;&gt;0),"违规：实际股数须为100股整数倍",IF(G263&gt;N263,"违规：实际股数超过风险或金字塔上限",IF(AND(B263&gt;1,G263&gt;SUMIFS($G$2:$G$1001,$A$2:$A$1001,A263,$B$2:$B$1001,B263-1)),"违规：加仓股数须逐次不增加",IF(Q263&gt;F263,"违规：止损风险超过本次预算","通过")))))))))))))))</f>
        <v/>
      </c>
    </row>
    <row r="264" ht="17" spans="1:18">
      <c r="A264" s="13"/>
      <c r="B264" s="14"/>
      <c r="C264" s="15"/>
      <c r="D264" s="16"/>
      <c r="E264" s="16"/>
      <c r="F264" s="16"/>
      <c r="G264" s="14"/>
      <c r="H264" s="17" t="str">
        <f t="shared" si="32"/>
        <v/>
      </c>
      <c r="I264" s="18" t="str">
        <f>IF(OR(A264="",B264=""),"",IFERROR(LOOKUP(2,1/(单次交易!$A$2:$A$201=A264),单次交易!$H$2:$H$201),0)+SUMIFS($G$2:$G$1001,$A$2:$A$1001,A264,$B$2:$B$1001,"&lt;"&amp;B264))</f>
        <v/>
      </c>
      <c r="J264" s="17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17" t="str">
        <f t="shared" si="33"/>
        <v/>
      </c>
      <c r="L264" s="18" t="str">
        <f t="shared" si="34"/>
        <v/>
      </c>
      <c r="M264" s="18" t="str">
        <f t="shared" si="35"/>
        <v/>
      </c>
      <c r="N264" s="18" t="str">
        <f t="shared" si="36"/>
        <v/>
      </c>
      <c r="O264" s="18" t="str">
        <f t="shared" si="37"/>
        <v/>
      </c>
      <c r="P264" s="17" t="str">
        <f t="shared" si="38"/>
        <v/>
      </c>
      <c r="Q264" s="17" t="str">
        <f t="shared" si="39"/>
        <v/>
      </c>
      <c r="R264" s="19" t="str">
        <f ca="1">IF(A264="","",IF(COUNTIF(_TradeIds,A264)=0,"违规：交易编号不存在",IF(OR(B264="",B264&lt;1,B264&gt;5,B264&lt;&gt;INT(B264)),"违规：加仓序号须为1到5的整数",IF(COUNTIFS($A$2:$A$1001,A264,$B$2:$B$1001,B264)&gt;1,"违规：同一交易的加仓序号重复",IF(OR(D264="",E264="",F264=""),"计划不完整：请填写加仓价、新止损价和风险预算",IF(OR(D264&lt;=0,E264&lt;=0,F264&lt;=0,D264&lt;=E264),"违规：加仓价必须高于新止损价，金额须大于0",IF(AND(B264&gt;1,COUNTIFS($A$2:$A$1001,A264,$B$2:$B$1001,B264-1,$G$2:$G$1001,"&gt;0")=0),"违规：须先完成上一次加仓",IF(AND(B264&gt;1,E264&lt;SUMIFS($E$2:$E$1001,$A$2:$A$1001,A264,$B$2:$B$1001,B264-1)),"违规：新止损价不得低于上一次",IF(AND(B264&gt;1,F264&gt;SUMIFS($F$2:$F$1001,$A$2:$A$1001,A264,$B$2:$B$1001,B264-1)),"违规：风险预算须逐次不增加",IF(OR(_LockStatus="已锁仓",_LockStatus="解锁信息不完整"),"违规：锁仓期间禁止加仓",IF(G264="","计划可执行：建议股数见N列",IF(OR(G264&lt;=0,G264&lt;&gt;INT(G264),MOD(G264,100)&lt;&gt;0),"违规：实际股数须为100股整数倍",IF(G264&gt;N264,"违规：实际股数超过风险或金字塔上限",IF(AND(B264&gt;1,G264&gt;SUMIFS($G$2:$G$1001,$A$2:$A$1001,A264,$B$2:$B$1001,B264-1)),"违规：加仓股数须逐次不增加",IF(Q264&gt;F264,"违规：止损风险超过本次预算","通过")))))))))))))))</f>
        <v/>
      </c>
    </row>
    <row r="265" ht="17" spans="1:18">
      <c r="A265" s="13"/>
      <c r="B265" s="14"/>
      <c r="C265" s="15"/>
      <c r="D265" s="16"/>
      <c r="E265" s="16"/>
      <c r="F265" s="16"/>
      <c r="G265" s="14"/>
      <c r="H265" s="17" t="str">
        <f t="shared" si="32"/>
        <v/>
      </c>
      <c r="I265" s="18" t="str">
        <f>IF(OR(A265="",B265=""),"",IFERROR(LOOKUP(2,1/(单次交易!$A$2:$A$201=A265),单次交易!$H$2:$H$201),0)+SUMIFS($G$2:$G$1001,$A$2:$A$1001,A265,$B$2:$B$1001,"&lt;"&amp;B265))</f>
        <v/>
      </c>
      <c r="J265" s="17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17" t="str">
        <f t="shared" si="33"/>
        <v/>
      </c>
      <c r="L265" s="18" t="str">
        <f t="shared" si="34"/>
        <v/>
      </c>
      <c r="M265" s="18" t="str">
        <f t="shared" si="35"/>
        <v/>
      </c>
      <c r="N265" s="18" t="str">
        <f t="shared" si="36"/>
        <v/>
      </c>
      <c r="O265" s="18" t="str">
        <f t="shared" si="37"/>
        <v/>
      </c>
      <c r="P265" s="17" t="str">
        <f t="shared" si="38"/>
        <v/>
      </c>
      <c r="Q265" s="17" t="str">
        <f t="shared" si="39"/>
        <v/>
      </c>
      <c r="R265" s="19" t="str">
        <f ca="1">IF(A265="","",IF(COUNTIF(_TradeIds,A265)=0,"违规：交易编号不存在",IF(OR(B265="",B265&lt;1,B265&gt;5,B265&lt;&gt;INT(B265)),"违规：加仓序号须为1到5的整数",IF(COUNTIFS($A$2:$A$1001,A265,$B$2:$B$1001,B265)&gt;1,"违规：同一交易的加仓序号重复",IF(OR(D265="",E265="",F265=""),"计划不完整：请填写加仓价、新止损价和风险预算",IF(OR(D265&lt;=0,E265&lt;=0,F265&lt;=0,D265&lt;=E265),"违规：加仓价必须高于新止损价，金额须大于0",IF(AND(B265&gt;1,COUNTIFS($A$2:$A$1001,A265,$B$2:$B$1001,B265-1,$G$2:$G$1001,"&gt;0")=0),"违规：须先完成上一次加仓",IF(AND(B265&gt;1,E265&lt;SUMIFS($E$2:$E$1001,$A$2:$A$1001,A265,$B$2:$B$1001,B265-1)),"违规：新止损价不得低于上一次",IF(AND(B265&gt;1,F265&gt;SUMIFS($F$2:$F$1001,$A$2:$A$1001,A265,$B$2:$B$1001,B265-1)),"违规：风险预算须逐次不增加",IF(OR(_LockStatus="已锁仓",_LockStatus="解锁信息不完整"),"违规：锁仓期间禁止加仓",IF(G265="","计划可执行：建议股数见N列",IF(OR(G265&lt;=0,G265&lt;&gt;INT(G265),MOD(G265,100)&lt;&gt;0),"违规：实际股数须为100股整数倍",IF(G265&gt;N265,"违规：实际股数超过风险或金字塔上限",IF(AND(B265&gt;1,G265&gt;SUMIFS($G$2:$G$1001,$A$2:$A$1001,A265,$B$2:$B$1001,B265-1)),"违规：加仓股数须逐次不增加",IF(Q265&gt;F265,"违规：止损风险超过本次预算","通过")))))))))))))))</f>
        <v/>
      </c>
    </row>
    <row r="266" ht="17" spans="1:18">
      <c r="A266" s="13"/>
      <c r="B266" s="14"/>
      <c r="C266" s="15"/>
      <c r="D266" s="16"/>
      <c r="E266" s="16"/>
      <c r="F266" s="16"/>
      <c r="G266" s="14"/>
      <c r="H266" s="17" t="str">
        <f t="shared" si="32"/>
        <v/>
      </c>
      <c r="I266" s="18" t="str">
        <f>IF(OR(A266="",B266=""),"",IFERROR(LOOKUP(2,1/(单次交易!$A$2:$A$201=A266),单次交易!$H$2:$H$201),0)+SUMIFS($G$2:$G$1001,$A$2:$A$1001,A266,$B$2:$B$1001,"&lt;"&amp;B266))</f>
        <v/>
      </c>
      <c r="J266" s="17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17" t="str">
        <f t="shared" si="33"/>
        <v/>
      </c>
      <c r="L266" s="18" t="str">
        <f t="shared" si="34"/>
        <v/>
      </c>
      <c r="M266" s="18" t="str">
        <f t="shared" si="35"/>
        <v/>
      </c>
      <c r="N266" s="18" t="str">
        <f t="shared" si="36"/>
        <v/>
      </c>
      <c r="O266" s="18" t="str">
        <f t="shared" si="37"/>
        <v/>
      </c>
      <c r="P266" s="17" t="str">
        <f t="shared" si="38"/>
        <v/>
      </c>
      <c r="Q266" s="17" t="str">
        <f t="shared" si="39"/>
        <v/>
      </c>
      <c r="R266" s="19" t="str">
        <f ca="1">IF(A266="","",IF(COUNTIF(_TradeIds,A266)=0,"违规：交易编号不存在",IF(OR(B266="",B266&lt;1,B266&gt;5,B266&lt;&gt;INT(B266)),"违规：加仓序号须为1到5的整数",IF(COUNTIFS($A$2:$A$1001,A266,$B$2:$B$1001,B266)&gt;1,"违规：同一交易的加仓序号重复",IF(OR(D266="",E266="",F266=""),"计划不完整：请填写加仓价、新止损价和风险预算",IF(OR(D266&lt;=0,E266&lt;=0,F266&lt;=0,D266&lt;=E266),"违规：加仓价必须高于新止损价，金额须大于0",IF(AND(B266&gt;1,COUNTIFS($A$2:$A$1001,A266,$B$2:$B$1001,B266-1,$G$2:$G$1001,"&gt;0")=0),"违规：须先完成上一次加仓",IF(AND(B266&gt;1,E266&lt;SUMIFS($E$2:$E$1001,$A$2:$A$1001,A266,$B$2:$B$1001,B266-1)),"违规：新止损价不得低于上一次",IF(AND(B266&gt;1,F266&gt;SUMIFS($F$2:$F$1001,$A$2:$A$1001,A266,$B$2:$B$1001,B266-1)),"违规：风险预算须逐次不增加",IF(OR(_LockStatus="已锁仓",_LockStatus="解锁信息不完整"),"违规：锁仓期间禁止加仓",IF(G266="","计划可执行：建议股数见N列",IF(OR(G266&lt;=0,G266&lt;&gt;INT(G266),MOD(G266,100)&lt;&gt;0),"违规：实际股数须为100股整数倍",IF(G266&gt;N266,"违规：实际股数超过风险或金字塔上限",IF(AND(B266&gt;1,G266&gt;SUMIFS($G$2:$G$1001,$A$2:$A$1001,A266,$B$2:$B$1001,B266-1)),"违规：加仓股数须逐次不增加",IF(Q266&gt;F266,"违规：止损风险超过本次预算","通过")))))))))))))))</f>
        <v/>
      </c>
    </row>
    <row r="267" ht="17" spans="1:18">
      <c r="A267" s="13"/>
      <c r="B267" s="14"/>
      <c r="C267" s="15"/>
      <c r="D267" s="16"/>
      <c r="E267" s="16"/>
      <c r="F267" s="16"/>
      <c r="G267" s="14"/>
      <c r="H267" s="17" t="str">
        <f t="shared" si="32"/>
        <v/>
      </c>
      <c r="I267" s="18" t="str">
        <f>IF(OR(A267="",B267=""),"",IFERROR(LOOKUP(2,1/(单次交易!$A$2:$A$201=A267),单次交易!$H$2:$H$201),0)+SUMIFS($G$2:$G$1001,$A$2:$A$1001,A267,$B$2:$B$1001,"&lt;"&amp;B267))</f>
        <v/>
      </c>
      <c r="J267" s="17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17" t="str">
        <f t="shared" si="33"/>
        <v/>
      </c>
      <c r="L267" s="18" t="str">
        <f t="shared" si="34"/>
        <v/>
      </c>
      <c r="M267" s="18" t="str">
        <f t="shared" si="35"/>
        <v/>
      </c>
      <c r="N267" s="18" t="str">
        <f t="shared" si="36"/>
        <v/>
      </c>
      <c r="O267" s="18" t="str">
        <f t="shared" si="37"/>
        <v/>
      </c>
      <c r="P267" s="17" t="str">
        <f t="shared" si="38"/>
        <v/>
      </c>
      <c r="Q267" s="17" t="str">
        <f t="shared" si="39"/>
        <v/>
      </c>
      <c r="R267" s="19" t="str">
        <f ca="1">IF(A267="","",IF(COUNTIF(_TradeIds,A267)=0,"违规：交易编号不存在",IF(OR(B267="",B267&lt;1,B267&gt;5,B267&lt;&gt;INT(B267)),"违规：加仓序号须为1到5的整数",IF(COUNTIFS($A$2:$A$1001,A267,$B$2:$B$1001,B267)&gt;1,"违规：同一交易的加仓序号重复",IF(OR(D267="",E267="",F267=""),"计划不完整：请填写加仓价、新止损价和风险预算",IF(OR(D267&lt;=0,E267&lt;=0,F267&lt;=0,D267&lt;=E267),"违规：加仓价必须高于新止损价，金额须大于0",IF(AND(B267&gt;1,COUNTIFS($A$2:$A$1001,A267,$B$2:$B$1001,B267-1,$G$2:$G$1001,"&gt;0")=0),"违规：须先完成上一次加仓",IF(AND(B267&gt;1,E267&lt;SUMIFS($E$2:$E$1001,$A$2:$A$1001,A267,$B$2:$B$1001,B267-1)),"违规：新止损价不得低于上一次",IF(AND(B267&gt;1,F267&gt;SUMIFS($F$2:$F$1001,$A$2:$A$1001,A267,$B$2:$B$1001,B267-1)),"违规：风险预算须逐次不增加",IF(OR(_LockStatus="已锁仓",_LockStatus="解锁信息不完整"),"违规：锁仓期间禁止加仓",IF(G267="","计划可执行：建议股数见N列",IF(OR(G267&lt;=0,G267&lt;&gt;INT(G267),MOD(G267,100)&lt;&gt;0),"违规：实际股数须为100股整数倍",IF(G267&gt;N267,"违规：实际股数超过风险或金字塔上限",IF(AND(B267&gt;1,G267&gt;SUMIFS($G$2:$G$1001,$A$2:$A$1001,A267,$B$2:$B$1001,B267-1)),"违规：加仓股数须逐次不增加",IF(Q267&gt;F267,"违规：止损风险超过本次预算","通过")))))))))))))))</f>
        <v/>
      </c>
    </row>
    <row r="268" ht="17" spans="1:18">
      <c r="A268" s="13"/>
      <c r="B268" s="14"/>
      <c r="C268" s="15"/>
      <c r="D268" s="16"/>
      <c r="E268" s="16"/>
      <c r="F268" s="16"/>
      <c r="G268" s="14"/>
      <c r="H268" s="17" t="str">
        <f t="shared" si="32"/>
        <v/>
      </c>
      <c r="I268" s="18" t="str">
        <f>IF(OR(A268="",B268=""),"",IFERROR(LOOKUP(2,1/(单次交易!$A$2:$A$201=A268),单次交易!$H$2:$H$201),0)+SUMIFS($G$2:$G$1001,$A$2:$A$1001,A268,$B$2:$B$1001,"&lt;"&amp;B268))</f>
        <v/>
      </c>
      <c r="J268" s="17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17" t="str">
        <f t="shared" si="33"/>
        <v/>
      </c>
      <c r="L268" s="18" t="str">
        <f t="shared" si="34"/>
        <v/>
      </c>
      <c r="M268" s="18" t="str">
        <f t="shared" si="35"/>
        <v/>
      </c>
      <c r="N268" s="18" t="str">
        <f t="shared" si="36"/>
        <v/>
      </c>
      <c r="O268" s="18" t="str">
        <f t="shared" si="37"/>
        <v/>
      </c>
      <c r="P268" s="17" t="str">
        <f t="shared" si="38"/>
        <v/>
      </c>
      <c r="Q268" s="17" t="str">
        <f t="shared" si="39"/>
        <v/>
      </c>
      <c r="R268" s="19" t="str">
        <f ca="1">IF(A268="","",IF(COUNTIF(_TradeIds,A268)=0,"违规：交易编号不存在",IF(OR(B268="",B268&lt;1,B268&gt;5,B268&lt;&gt;INT(B268)),"违规：加仓序号须为1到5的整数",IF(COUNTIFS($A$2:$A$1001,A268,$B$2:$B$1001,B268)&gt;1,"违规：同一交易的加仓序号重复",IF(OR(D268="",E268="",F268=""),"计划不完整：请填写加仓价、新止损价和风险预算",IF(OR(D268&lt;=0,E268&lt;=0,F268&lt;=0,D268&lt;=E268),"违规：加仓价必须高于新止损价，金额须大于0",IF(AND(B268&gt;1,COUNTIFS($A$2:$A$1001,A268,$B$2:$B$1001,B268-1,$G$2:$G$1001,"&gt;0")=0),"违规：须先完成上一次加仓",IF(AND(B268&gt;1,E268&lt;SUMIFS($E$2:$E$1001,$A$2:$A$1001,A268,$B$2:$B$1001,B268-1)),"违规：新止损价不得低于上一次",IF(AND(B268&gt;1,F268&gt;SUMIFS($F$2:$F$1001,$A$2:$A$1001,A268,$B$2:$B$1001,B268-1)),"违规：风险预算须逐次不增加",IF(OR(_LockStatus="已锁仓",_LockStatus="解锁信息不完整"),"违规：锁仓期间禁止加仓",IF(G268="","计划可执行：建议股数见N列",IF(OR(G268&lt;=0,G268&lt;&gt;INT(G268),MOD(G268,100)&lt;&gt;0),"违规：实际股数须为100股整数倍",IF(G268&gt;N268,"违规：实际股数超过风险或金字塔上限",IF(AND(B268&gt;1,G268&gt;SUMIFS($G$2:$G$1001,$A$2:$A$1001,A268,$B$2:$B$1001,B268-1)),"违规：加仓股数须逐次不增加",IF(Q268&gt;F268,"违规：止损风险超过本次预算","通过")))))))))))))))</f>
        <v/>
      </c>
    </row>
    <row r="269" ht="17" spans="1:18">
      <c r="A269" s="13"/>
      <c r="B269" s="14"/>
      <c r="C269" s="15"/>
      <c r="D269" s="16"/>
      <c r="E269" s="16"/>
      <c r="F269" s="16"/>
      <c r="G269" s="14"/>
      <c r="H269" s="17" t="str">
        <f t="shared" si="32"/>
        <v/>
      </c>
      <c r="I269" s="18" t="str">
        <f>IF(OR(A269="",B269=""),"",IFERROR(LOOKUP(2,1/(单次交易!$A$2:$A$201=A269),单次交易!$H$2:$H$201),0)+SUMIFS($G$2:$G$1001,$A$2:$A$1001,A269,$B$2:$B$1001,"&lt;"&amp;B269))</f>
        <v/>
      </c>
      <c r="J269" s="17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17" t="str">
        <f t="shared" si="33"/>
        <v/>
      </c>
      <c r="L269" s="18" t="str">
        <f t="shared" si="34"/>
        <v/>
      </c>
      <c r="M269" s="18" t="str">
        <f t="shared" si="35"/>
        <v/>
      </c>
      <c r="N269" s="18" t="str">
        <f t="shared" si="36"/>
        <v/>
      </c>
      <c r="O269" s="18" t="str">
        <f t="shared" si="37"/>
        <v/>
      </c>
      <c r="P269" s="17" t="str">
        <f t="shared" si="38"/>
        <v/>
      </c>
      <c r="Q269" s="17" t="str">
        <f t="shared" si="39"/>
        <v/>
      </c>
      <c r="R269" s="19" t="str">
        <f ca="1">IF(A269="","",IF(COUNTIF(_TradeIds,A269)=0,"违规：交易编号不存在",IF(OR(B269="",B269&lt;1,B269&gt;5,B269&lt;&gt;INT(B269)),"违规：加仓序号须为1到5的整数",IF(COUNTIFS($A$2:$A$1001,A269,$B$2:$B$1001,B269)&gt;1,"违规：同一交易的加仓序号重复",IF(OR(D269="",E269="",F269=""),"计划不完整：请填写加仓价、新止损价和风险预算",IF(OR(D269&lt;=0,E269&lt;=0,F269&lt;=0,D269&lt;=E269),"违规：加仓价必须高于新止损价，金额须大于0",IF(AND(B269&gt;1,COUNTIFS($A$2:$A$1001,A269,$B$2:$B$1001,B269-1,$G$2:$G$1001,"&gt;0")=0),"违规：须先完成上一次加仓",IF(AND(B269&gt;1,E269&lt;SUMIFS($E$2:$E$1001,$A$2:$A$1001,A269,$B$2:$B$1001,B269-1)),"违规：新止损价不得低于上一次",IF(AND(B269&gt;1,F269&gt;SUMIFS($F$2:$F$1001,$A$2:$A$1001,A269,$B$2:$B$1001,B269-1)),"违规：风险预算须逐次不增加",IF(OR(_LockStatus="已锁仓",_LockStatus="解锁信息不完整"),"违规：锁仓期间禁止加仓",IF(G269="","计划可执行：建议股数见N列",IF(OR(G269&lt;=0,G269&lt;&gt;INT(G269),MOD(G269,100)&lt;&gt;0),"违规：实际股数须为100股整数倍",IF(G269&gt;N269,"违规：实际股数超过风险或金字塔上限",IF(AND(B269&gt;1,G269&gt;SUMIFS($G$2:$G$1001,$A$2:$A$1001,A269,$B$2:$B$1001,B269-1)),"违规：加仓股数须逐次不增加",IF(Q269&gt;F269,"违规：止损风险超过本次预算","通过")))))))))))))))</f>
        <v/>
      </c>
    </row>
    <row r="270" ht="17" spans="1:18">
      <c r="A270" s="13"/>
      <c r="B270" s="14"/>
      <c r="C270" s="15"/>
      <c r="D270" s="16"/>
      <c r="E270" s="16"/>
      <c r="F270" s="16"/>
      <c r="G270" s="14"/>
      <c r="H270" s="17" t="str">
        <f t="shared" si="32"/>
        <v/>
      </c>
      <c r="I270" s="18" t="str">
        <f>IF(OR(A270="",B270=""),"",IFERROR(LOOKUP(2,1/(单次交易!$A$2:$A$201=A270),单次交易!$H$2:$H$201),0)+SUMIFS($G$2:$G$1001,$A$2:$A$1001,A270,$B$2:$B$1001,"&lt;"&amp;B270))</f>
        <v/>
      </c>
      <c r="J270" s="17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17" t="str">
        <f t="shared" si="33"/>
        <v/>
      </c>
      <c r="L270" s="18" t="str">
        <f t="shared" si="34"/>
        <v/>
      </c>
      <c r="M270" s="18" t="str">
        <f t="shared" si="35"/>
        <v/>
      </c>
      <c r="N270" s="18" t="str">
        <f t="shared" si="36"/>
        <v/>
      </c>
      <c r="O270" s="18" t="str">
        <f t="shared" si="37"/>
        <v/>
      </c>
      <c r="P270" s="17" t="str">
        <f t="shared" si="38"/>
        <v/>
      </c>
      <c r="Q270" s="17" t="str">
        <f t="shared" si="39"/>
        <v/>
      </c>
      <c r="R270" s="19" t="str">
        <f ca="1">IF(A270="","",IF(COUNTIF(_TradeIds,A270)=0,"违规：交易编号不存在",IF(OR(B270="",B270&lt;1,B270&gt;5,B270&lt;&gt;INT(B270)),"违规：加仓序号须为1到5的整数",IF(COUNTIFS($A$2:$A$1001,A270,$B$2:$B$1001,B270)&gt;1,"违规：同一交易的加仓序号重复",IF(OR(D270="",E270="",F270=""),"计划不完整：请填写加仓价、新止损价和风险预算",IF(OR(D270&lt;=0,E270&lt;=0,F270&lt;=0,D270&lt;=E270),"违规：加仓价必须高于新止损价，金额须大于0",IF(AND(B270&gt;1,COUNTIFS($A$2:$A$1001,A270,$B$2:$B$1001,B270-1,$G$2:$G$1001,"&gt;0")=0),"违规：须先完成上一次加仓",IF(AND(B270&gt;1,E270&lt;SUMIFS($E$2:$E$1001,$A$2:$A$1001,A270,$B$2:$B$1001,B270-1)),"违规：新止损价不得低于上一次",IF(AND(B270&gt;1,F270&gt;SUMIFS($F$2:$F$1001,$A$2:$A$1001,A270,$B$2:$B$1001,B270-1)),"违规：风险预算须逐次不增加",IF(OR(_LockStatus="已锁仓",_LockStatus="解锁信息不完整"),"违规：锁仓期间禁止加仓",IF(G270="","计划可执行：建议股数见N列",IF(OR(G270&lt;=0,G270&lt;&gt;INT(G270),MOD(G270,100)&lt;&gt;0),"违规：实际股数须为100股整数倍",IF(G270&gt;N270,"违规：实际股数超过风险或金字塔上限",IF(AND(B270&gt;1,G270&gt;SUMIFS($G$2:$G$1001,$A$2:$A$1001,A270,$B$2:$B$1001,B270-1)),"违规：加仓股数须逐次不增加",IF(Q270&gt;F270,"违规：止损风险超过本次预算","通过")))))))))))))))</f>
        <v/>
      </c>
    </row>
    <row r="271" ht="17" spans="1:18">
      <c r="A271" s="13"/>
      <c r="B271" s="14"/>
      <c r="C271" s="15"/>
      <c r="D271" s="16"/>
      <c r="E271" s="16"/>
      <c r="F271" s="16"/>
      <c r="G271" s="14"/>
      <c r="H271" s="17" t="str">
        <f t="shared" si="32"/>
        <v/>
      </c>
      <c r="I271" s="18" t="str">
        <f>IF(OR(A271="",B271=""),"",IFERROR(LOOKUP(2,1/(单次交易!$A$2:$A$201=A271),单次交易!$H$2:$H$201),0)+SUMIFS($G$2:$G$1001,$A$2:$A$1001,A271,$B$2:$B$1001,"&lt;"&amp;B271))</f>
        <v/>
      </c>
      <c r="J271" s="17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17" t="str">
        <f t="shared" si="33"/>
        <v/>
      </c>
      <c r="L271" s="18" t="str">
        <f t="shared" si="34"/>
        <v/>
      </c>
      <c r="M271" s="18" t="str">
        <f t="shared" si="35"/>
        <v/>
      </c>
      <c r="N271" s="18" t="str">
        <f t="shared" si="36"/>
        <v/>
      </c>
      <c r="O271" s="18" t="str">
        <f t="shared" si="37"/>
        <v/>
      </c>
      <c r="P271" s="17" t="str">
        <f t="shared" si="38"/>
        <v/>
      </c>
      <c r="Q271" s="17" t="str">
        <f t="shared" si="39"/>
        <v/>
      </c>
      <c r="R271" s="19" t="str">
        <f ca="1">IF(A271="","",IF(COUNTIF(_TradeIds,A271)=0,"违规：交易编号不存在",IF(OR(B271="",B271&lt;1,B271&gt;5,B271&lt;&gt;INT(B271)),"违规：加仓序号须为1到5的整数",IF(COUNTIFS($A$2:$A$1001,A271,$B$2:$B$1001,B271)&gt;1,"违规：同一交易的加仓序号重复",IF(OR(D271="",E271="",F271=""),"计划不完整：请填写加仓价、新止损价和风险预算",IF(OR(D271&lt;=0,E271&lt;=0,F271&lt;=0,D271&lt;=E271),"违规：加仓价必须高于新止损价，金额须大于0",IF(AND(B271&gt;1,COUNTIFS($A$2:$A$1001,A271,$B$2:$B$1001,B271-1,$G$2:$G$1001,"&gt;0")=0),"违规：须先完成上一次加仓",IF(AND(B271&gt;1,E271&lt;SUMIFS($E$2:$E$1001,$A$2:$A$1001,A271,$B$2:$B$1001,B271-1)),"违规：新止损价不得低于上一次",IF(AND(B271&gt;1,F271&gt;SUMIFS($F$2:$F$1001,$A$2:$A$1001,A271,$B$2:$B$1001,B271-1)),"违规：风险预算须逐次不增加",IF(OR(_LockStatus="已锁仓",_LockStatus="解锁信息不完整"),"违规：锁仓期间禁止加仓",IF(G271="","计划可执行：建议股数见N列",IF(OR(G271&lt;=0,G271&lt;&gt;INT(G271),MOD(G271,100)&lt;&gt;0),"违规：实际股数须为100股整数倍",IF(G271&gt;N271,"违规：实际股数超过风险或金字塔上限",IF(AND(B271&gt;1,G271&gt;SUMIFS($G$2:$G$1001,$A$2:$A$1001,A271,$B$2:$B$1001,B271-1)),"违规：加仓股数须逐次不增加",IF(Q271&gt;F271,"违规：止损风险超过本次预算","通过")))))))))))))))</f>
        <v/>
      </c>
    </row>
    <row r="272" ht="17" spans="1:18">
      <c r="A272" s="13"/>
      <c r="B272" s="14"/>
      <c r="C272" s="15"/>
      <c r="D272" s="16"/>
      <c r="E272" s="16"/>
      <c r="F272" s="16"/>
      <c r="G272" s="14"/>
      <c r="H272" s="17" t="str">
        <f t="shared" si="32"/>
        <v/>
      </c>
      <c r="I272" s="18" t="str">
        <f>IF(OR(A272="",B272=""),"",IFERROR(LOOKUP(2,1/(单次交易!$A$2:$A$201=A272),单次交易!$H$2:$H$201),0)+SUMIFS($G$2:$G$1001,$A$2:$A$1001,A272,$B$2:$B$1001,"&lt;"&amp;B272))</f>
        <v/>
      </c>
      <c r="J272" s="17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17" t="str">
        <f t="shared" si="33"/>
        <v/>
      </c>
      <c r="L272" s="18" t="str">
        <f t="shared" si="34"/>
        <v/>
      </c>
      <c r="M272" s="18" t="str">
        <f t="shared" si="35"/>
        <v/>
      </c>
      <c r="N272" s="18" t="str">
        <f t="shared" si="36"/>
        <v/>
      </c>
      <c r="O272" s="18" t="str">
        <f t="shared" si="37"/>
        <v/>
      </c>
      <c r="P272" s="17" t="str">
        <f t="shared" si="38"/>
        <v/>
      </c>
      <c r="Q272" s="17" t="str">
        <f t="shared" si="39"/>
        <v/>
      </c>
      <c r="R272" s="19" t="str">
        <f ca="1">IF(A272="","",IF(COUNTIF(_TradeIds,A272)=0,"违规：交易编号不存在",IF(OR(B272="",B272&lt;1,B272&gt;5,B272&lt;&gt;INT(B272)),"违规：加仓序号须为1到5的整数",IF(COUNTIFS($A$2:$A$1001,A272,$B$2:$B$1001,B272)&gt;1,"违规：同一交易的加仓序号重复",IF(OR(D272="",E272="",F272=""),"计划不完整：请填写加仓价、新止损价和风险预算",IF(OR(D272&lt;=0,E272&lt;=0,F272&lt;=0,D272&lt;=E272),"违规：加仓价必须高于新止损价，金额须大于0",IF(AND(B272&gt;1,COUNTIFS($A$2:$A$1001,A272,$B$2:$B$1001,B272-1,$G$2:$G$1001,"&gt;0")=0),"违规：须先完成上一次加仓",IF(AND(B272&gt;1,E272&lt;SUMIFS($E$2:$E$1001,$A$2:$A$1001,A272,$B$2:$B$1001,B272-1)),"违规：新止损价不得低于上一次",IF(AND(B272&gt;1,F272&gt;SUMIFS($F$2:$F$1001,$A$2:$A$1001,A272,$B$2:$B$1001,B272-1)),"违规：风险预算须逐次不增加",IF(OR(_LockStatus="已锁仓",_LockStatus="解锁信息不完整"),"违规：锁仓期间禁止加仓",IF(G272="","计划可执行：建议股数见N列",IF(OR(G272&lt;=0,G272&lt;&gt;INT(G272),MOD(G272,100)&lt;&gt;0),"违规：实际股数须为100股整数倍",IF(G272&gt;N272,"违规：实际股数超过风险或金字塔上限",IF(AND(B272&gt;1,G272&gt;SUMIFS($G$2:$G$1001,$A$2:$A$1001,A272,$B$2:$B$1001,B272-1)),"违规：加仓股数须逐次不增加",IF(Q272&gt;F272,"违规：止损风险超过本次预算","通过")))))))))))))))</f>
        <v/>
      </c>
    </row>
    <row r="273" ht="17" spans="1:18">
      <c r="A273" s="13"/>
      <c r="B273" s="14"/>
      <c r="C273" s="15"/>
      <c r="D273" s="16"/>
      <c r="E273" s="16"/>
      <c r="F273" s="16"/>
      <c r="G273" s="14"/>
      <c r="H273" s="17" t="str">
        <f t="shared" si="32"/>
        <v/>
      </c>
      <c r="I273" s="18" t="str">
        <f>IF(OR(A273="",B273=""),"",IFERROR(LOOKUP(2,1/(单次交易!$A$2:$A$201=A273),单次交易!$H$2:$H$201),0)+SUMIFS($G$2:$G$1001,$A$2:$A$1001,A273,$B$2:$B$1001,"&lt;"&amp;B273))</f>
        <v/>
      </c>
      <c r="J273" s="17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17" t="str">
        <f t="shared" si="33"/>
        <v/>
      </c>
      <c r="L273" s="18" t="str">
        <f t="shared" si="34"/>
        <v/>
      </c>
      <c r="M273" s="18" t="str">
        <f t="shared" si="35"/>
        <v/>
      </c>
      <c r="N273" s="18" t="str">
        <f t="shared" si="36"/>
        <v/>
      </c>
      <c r="O273" s="18" t="str">
        <f t="shared" si="37"/>
        <v/>
      </c>
      <c r="P273" s="17" t="str">
        <f t="shared" si="38"/>
        <v/>
      </c>
      <c r="Q273" s="17" t="str">
        <f t="shared" si="39"/>
        <v/>
      </c>
      <c r="R273" s="19" t="str">
        <f ca="1">IF(A273="","",IF(COUNTIF(_TradeIds,A273)=0,"违规：交易编号不存在",IF(OR(B273="",B273&lt;1,B273&gt;5,B273&lt;&gt;INT(B273)),"违规：加仓序号须为1到5的整数",IF(COUNTIFS($A$2:$A$1001,A273,$B$2:$B$1001,B273)&gt;1,"违规：同一交易的加仓序号重复",IF(OR(D273="",E273="",F273=""),"计划不完整：请填写加仓价、新止损价和风险预算",IF(OR(D273&lt;=0,E273&lt;=0,F273&lt;=0,D273&lt;=E273),"违规：加仓价必须高于新止损价，金额须大于0",IF(AND(B273&gt;1,COUNTIFS($A$2:$A$1001,A273,$B$2:$B$1001,B273-1,$G$2:$G$1001,"&gt;0")=0),"违规：须先完成上一次加仓",IF(AND(B273&gt;1,E273&lt;SUMIFS($E$2:$E$1001,$A$2:$A$1001,A273,$B$2:$B$1001,B273-1)),"违规：新止损价不得低于上一次",IF(AND(B273&gt;1,F273&gt;SUMIFS($F$2:$F$1001,$A$2:$A$1001,A273,$B$2:$B$1001,B273-1)),"违规：风险预算须逐次不增加",IF(OR(_LockStatus="已锁仓",_LockStatus="解锁信息不完整"),"违规：锁仓期间禁止加仓",IF(G273="","计划可执行：建议股数见N列",IF(OR(G273&lt;=0,G273&lt;&gt;INT(G273),MOD(G273,100)&lt;&gt;0),"违规：实际股数须为100股整数倍",IF(G273&gt;N273,"违规：实际股数超过风险或金字塔上限",IF(AND(B273&gt;1,G273&gt;SUMIFS($G$2:$G$1001,$A$2:$A$1001,A273,$B$2:$B$1001,B273-1)),"违规：加仓股数须逐次不增加",IF(Q273&gt;F273,"违规：止损风险超过本次预算","通过")))))))))))))))</f>
        <v/>
      </c>
    </row>
    <row r="274" ht="17" spans="1:18">
      <c r="A274" s="13"/>
      <c r="B274" s="14"/>
      <c r="C274" s="15"/>
      <c r="D274" s="16"/>
      <c r="E274" s="16"/>
      <c r="F274" s="16"/>
      <c r="G274" s="14"/>
      <c r="H274" s="17" t="str">
        <f t="shared" si="32"/>
        <v/>
      </c>
      <c r="I274" s="18" t="str">
        <f>IF(OR(A274="",B274=""),"",IFERROR(LOOKUP(2,1/(单次交易!$A$2:$A$201=A274),单次交易!$H$2:$H$201),0)+SUMIFS($G$2:$G$1001,$A$2:$A$1001,A274,$B$2:$B$1001,"&lt;"&amp;B274))</f>
        <v/>
      </c>
      <c r="J274" s="17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17" t="str">
        <f t="shared" si="33"/>
        <v/>
      </c>
      <c r="L274" s="18" t="str">
        <f t="shared" si="34"/>
        <v/>
      </c>
      <c r="M274" s="18" t="str">
        <f t="shared" si="35"/>
        <v/>
      </c>
      <c r="N274" s="18" t="str">
        <f t="shared" si="36"/>
        <v/>
      </c>
      <c r="O274" s="18" t="str">
        <f t="shared" si="37"/>
        <v/>
      </c>
      <c r="P274" s="17" t="str">
        <f t="shared" si="38"/>
        <v/>
      </c>
      <c r="Q274" s="17" t="str">
        <f t="shared" si="39"/>
        <v/>
      </c>
      <c r="R274" s="19" t="str">
        <f ca="1">IF(A274="","",IF(COUNTIF(_TradeIds,A274)=0,"违规：交易编号不存在",IF(OR(B274="",B274&lt;1,B274&gt;5,B274&lt;&gt;INT(B274)),"违规：加仓序号须为1到5的整数",IF(COUNTIFS($A$2:$A$1001,A274,$B$2:$B$1001,B274)&gt;1,"违规：同一交易的加仓序号重复",IF(OR(D274="",E274="",F274=""),"计划不完整：请填写加仓价、新止损价和风险预算",IF(OR(D274&lt;=0,E274&lt;=0,F274&lt;=0,D274&lt;=E274),"违规：加仓价必须高于新止损价，金额须大于0",IF(AND(B274&gt;1,COUNTIFS($A$2:$A$1001,A274,$B$2:$B$1001,B274-1,$G$2:$G$1001,"&gt;0")=0),"违规：须先完成上一次加仓",IF(AND(B274&gt;1,E274&lt;SUMIFS($E$2:$E$1001,$A$2:$A$1001,A274,$B$2:$B$1001,B274-1)),"违规：新止损价不得低于上一次",IF(AND(B274&gt;1,F274&gt;SUMIFS($F$2:$F$1001,$A$2:$A$1001,A274,$B$2:$B$1001,B274-1)),"违规：风险预算须逐次不增加",IF(OR(_LockStatus="已锁仓",_LockStatus="解锁信息不完整"),"违规：锁仓期间禁止加仓",IF(G274="","计划可执行：建议股数见N列",IF(OR(G274&lt;=0,G274&lt;&gt;INT(G274),MOD(G274,100)&lt;&gt;0),"违规：实际股数须为100股整数倍",IF(G274&gt;N274,"违规：实际股数超过风险或金字塔上限",IF(AND(B274&gt;1,G274&gt;SUMIFS($G$2:$G$1001,$A$2:$A$1001,A274,$B$2:$B$1001,B274-1)),"违规：加仓股数须逐次不增加",IF(Q274&gt;F274,"违规：止损风险超过本次预算","通过")))))))))))))))</f>
        <v/>
      </c>
    </row>
    <row r="275" ht="17" spans="1:18">
      <c r="A275" s="13"/>
      <c r="B275" s="14"/>
      <c r="C275" s="15"/>
      <c r="D275" s="16"/>
      <c r="E275" s="16"/>
      <c r="F275" s="16"/>
      <c r="G275" s="14"/>
      <c r="H275" s="17" t="str">
        <f t="shared" si="32"/>
        <v/>
      </c>
      <c r="I275" s="18" t="str">
        <f>IF(OR(A275="",B275=""),"",IFERROR(LOOKUP(2,1/(单次交易!$A$2:$A$201=A275),单次交易!$H$2:$H$201),0)+SUMIFS($G$2:$G$1001,$A$2:$A$1001,A275,$B$2:$B$1001,"&lt;"&amp;B275))</f>
        <v/>
      </c>
      <c r="J275" s="17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17" t="str">
        <f t="shared" si="33"/>
        <v/>
      </c>
      <c r="L275" s="18" t="str">
        <f t="shared" si="34"/>
        <v/>
      </c>
      <c r="M275" s="18" t="str">
        <f t="shared" si="35"/>
        <v/>
      </c>
      <c r="N275" s="18" t="str">
        <f t="shared" si="36"/>
        <v/>
      </c>
      <c r="O275" s="18" t="str">
        <f t="shared" si="37"/>
        <v/>
      </c>
      <c r="P275" s="17" t="str">
        <f t="shared" si="38"/>
        <v/>
      </c>
      <c r="Q275" s="17" t="str">
        <f t="shared" si="39"/>
        <v/>
      </c>
      <c r="R275" s="19" t="str">
        <f ca="1">IF(A275="","",IF(COUNTIF(_TradeIds,A275)=0,"违规：交易编号不存在",IF(OR(B275="",B275&lt;1,B275&gt;5,B275&lt;&gt;INT(B275)),"违规：加仓序号须为1到5的整数",IF(COUNTIFS($A$2:$A$1001,A275,$B$2:$B$1001,B275)&gt;1,"违规：同一交易的加仓序号重复",IF(OR(D275="",E275="",F275=""),"计划不完整：请填写加仓价、新止损价和风险预算",IF(OR(D275&lt;=0,E275&lt;=0,F275&lt;=0,D275&lt;=E275),"违规：加仓价必须高于新止损价，金额须大于0",IF(AND(B275&gt;1,COUNTIFS($A$2:$A$1001,A275,$B$2:$B$1001,B275-1,$G$2:$G$1001,"&gt;0")=0),"违规：须先完成上一次加仓",IF(AND(B275&gt;1,E275&lt;SUMIFS($E$2:$E$1001,$A$2:$A$1001,A275,$B$2:$B$1001,B275-1)),"违规：新止损价不得低于上一次",IF(AND(B275&gt;1,F275&gt;SUMIFS($F$2:$F$1001,$A$2:$A$1001,A275,$B$2:$B$1001,B275-1)),"违规：风险预算须逐次不增加",IF(OR(_LockStatus="已锁仓",_LockStatus="解锁信息不完整"),"违规：锁仓期间禁止加仓",IF(G275="","计划可执行：建议股数见N列",IF(OR(G275&lt;=0,G275&lt;&gt;INT(G275),MOD(G275,100)&lt;&gt;0),"违规：实际股数须为100股整数倍",IF(G275&gt;N275,"违规：实际股数超过风险或金字塔上限",IF(AND(B275&gt;1,G275&gt;SUMIFS($G$2:$G$1001,$A$2:$A$1001,A275,$B$2:$B$1001,B275-1)),"违规：加仓股数须逐次不增加",IF(Q275&gt;F275,"违规：止损风险超过本次预算","通过")))))))))))))))</f>
        <v/>
      </c>
    </row>
    <row r="276" ht="17" spans="1:18">
      <c r="A276" s="13"/>
      <c r="B276" s="14"/>
      <c r="C276" s="15"/>
      <c r="D276" s="16"/>
      <c r="E276" s="16"/>
      <c r="F276" s="16"/>
      <c r="G276" s="14"/>
      <c r="H276" s="17" t="str">
        <f t="shared" si="32"/>
        <v/>
      </c>
      <c r="I276" s="18" t="str">
        <f>IF(OR(A276="",B276=""),"",IFERROR(LOOKUP(2,1/(单次交易!$A$2:$A$201=A276),单次交易!$H$2:$H$201),0)+SUMIFS($G$2:$G$1001,$A$2:$A$1001,A276,$B$2:$B$1001,"&lt;"&amp;B276))</f>
        <v/>
      </c>
      <c r="J276" s="17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17" t="str">
        <f t="shared" si="33"/>
        <v/>
      </c>
      <c r="L276" s="18" t="str">
        <f t="shared" si="34"/>
        <v/>
      </c>
      <c r="M276" s="18" t="str">
        <f t="shared" si="35"/>
        <v/>
      </c>
      <c r="N276" s="18" t="str">
        <f t="shared" si="36"/>
        <v/>
      </c>
      <c r="O276" s="18" t="str">
        <f t="shared" si="37"/>
        <v/>
      </c>
      <c r="P276" s="17" t="str">
        <f t="shared" si="38"/>
        <v/>
      </c>
      <c r="Q276" s="17" t="str">
        <f t="shared" si="39"/>
        <v/>
      </c>
      <c r="R276" s="19" t="str">
        <f ca="1">IF(A276="","",IF(COUNTIF(_TradeIds,A276)=0,"违规：交易编号不存在",IF(OR(B276="",B276&lt;1,B276&gt;5,B276&lt;&gt;INT(B276)),"违规：加仓序号须为1到5的整数",IF(COUNTIFS($A$2:$A$1001,A276,$B$2:$B$1001,B276)&gt;1,"违规：同一交易的加仓序号重复",IF(OR(D276="",E276="",F276=""),"计划不完整：请填写加仓价、新止损价和风险预算",IF(OR(D276&lt;=0,E276&lt;=0,F276&lt;=0,D276&lt;=E276),"违规：加仓价必须高于新止损价，金额须大于0",IF(AND(B276&gt;1,COUNTIFS($A$2:$A$1001,A276,$B$2:$B$1001,B276-1,$G$2:$G$1001,"&gt;0")=0),"违规：须先完成上一次加仓",IF(AND(B276&gt;1,E276&lt;SUMIFS($E$2:$E$1001,$A$2:$A$1001,A276,$B$2:$B$1001,B276-1)),"违规：新止损价不得低于上一次",IF(AND(B276&gt;1,F276&gt;SUMIFS($F$2:$F$1001,$A$2:$A$1001,A276,$B$2:$B$1001,B276-1)),"违规：风险预算须逐次不增加",IF(OR(_LockStatus="已锁仓",_LockStatus="解锁信息不完整"),"违规：锁仓期间禁止加仓",IF(G276="","计划可执行：建议股数见N列",IF(OR(G276&lt;=0,G276&lt;&gt;INT(G276),MOD(G276,100)&lt;&gt;0),"违规：实际股数须为100股整数倍",IF(G276&gt;N276,"违规：实际股数超过风险或金字塔上限",IF(AND(B276&gt;1,G276&gt;SUMIFS($G$2:$G$1001,$A$2:$A$1001,A276,$B$2:$B$1001,B276-1)),"违规：加仓股数须逐次不增加",IF(Q276&gt;F276,"违规：止损风险超过本次预算","通过")))))))))))))))</f>
        <v/>
      </c>
    </row>
    <row r="277" ht="17" spans="1:18">
      <c r="A277" s="13"/>
      <c r="B277" s="14"/>
      <c r="C277" s="15"/>
      <c r="D277" s="16"/>
      <c r="E277" s="16"/>
      <c r="F277" s="16"/>
      <c r="G277" s="14"/>
      <c r="H277" s="17" t="str">
        <f t="shared" si="32"/>
        <v/>
      </c>
      <c r="I277" s="18" t="str">
        <f>IF(OR(A277="",B277=""),"",IFERROR(LOOKUP(2,1/(单次交易!$A$2:$A$201=A277),单次交易!$H$2:$H$201),0)+SUMIFS($G$2:$G$1001,$A$2:$A$1001,A277,$B$2:$B$1001,"&lt;"&amp;B277))</f>
        <v/>
      </c>
      <c r="J277" s="17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17" t="str">
        <f t="shared" si="33"/>
        <v/>
      </c>
      <c r="L277" s="18" t="str">
        <f t="shared" si="34"/>
        <v/>
      </c>
      <c r="M277" s="18" t="str">
        <f t="shared" si="35"/>
        <v/>
      </c>
      <c r="N277" s="18" t="str">
        <f t="shared" si="36"/>
        <v/>
      </c>
      <c r="O277" s="18" t="str">
        <f t="shared" si="37"/>
        <v/>
      </c>
      <c r="P277" s="17" t="str">
        <f t="shared" si="38"/>
        <v/>
      </c>
      <c r="Q277" s="17" t="str">
        <f t="shared" si="39"/>
        <v/>
      </c>
      <c r="R277" s="19" t="str">
        <f ca="1">IF(A277="","",IF(COUNTIF(_TradeIds,A277)=0,"违规：交易编号不存在",IF(OR(B277="",B277&lt;1,B277&gt;5,B277&lt;&gt;INT(B277)),"违规：加仓序号须为1到5的整数",IF(COUNTIFS($A$2:$A$1001,A277,$B$2:$B$1001,B277)&gt;1,"违规：同一交易的加仓序号重复",IF(OR(D277="",E277="",F277=""),"计划不完整：请填写加仓价、新止损价和风险预算",IF(OR(D277&lt;=0,E277&lt;=0,F277&lt;=0,D277&lt;=E277),"违规：加仓价必须高于新止损价，金额须大于0",IF(AND(B277&gt;1,COUNTIFS($A$2:$A$1001,A277,$B$2:$B$1001,B277-1,$G$2:$G$1001,"&gt;0")=0),"违规：须先完成上一次加仓",IF(AND(B277&gt;1,E277&lt;SUMIFS($E$2:$E$1001,$A$2:$A$1001,A277,$B$2:$B$1001,B277-1)),"违规：新止损价不得低于上一次",IF(AND(B277&gt;1,F277&gt;SUMIFS($F$2:$F$1001,$A$2:$A$1001,A277,$B$2:$B$1001,B277-1)),"违规：风险预算须逐次不增加",IF(OR(_LockStatus="已锁仓",_LockStatus="解锁信息不完整"),"违规：锁仓期间禁止加仓",IF(G277="","计划可执行：建议股数见N列",IF(OR(G277&lt;=0,G277&lt;&gt;INT(G277),MOD(G277,100)&lt;&gt;0),"违规：实际股数须为100股整数倍",IF(G277&gt;N277,"违规：实际股数超过风险或金字塔上限",IF(AND(B277&gt;1,G277&gt;SUMIFS($G$2:$G$1001,$A$2:$A$1001,A277,$B$2:$B$1001,B277-1)),"违规：加仓股数须逐次不增加",IF(Q277&gt;F277,"违规：止损风险超过本次预算","通过")))))))))))))))</f>
        <v/>
      </c>
    </row>
    <row r="278" ht="17" spans="1:18">
      <c r="A278" s="13"/>
      <c r="B278" s="14"/>
      <c r="C278" s="15"/>
      <c r="D278" s="16"/>
      <c r="E278" s="16"/>
      <c r="F278" s="16"/>
      <c r="G278" s="14"/>
      <c r="H278" s="17" t="str">
        <f t="shared" si="32"/>
        <v/>
      </c>
      <c r="I278" s="18" t="str">
        <f>IF(OR(A278="",B278=""),"",IFERROR(LOOKUP(2,1/(单次交易!$A$2:$A$201=A278),单次交易!$H$2:$H$201),0)+SUMIFS($G$2:$G$1001,$A$2:$A$1001,A278,$B$2:$B$1001,"&lt;"&amp;B278))</f>
        <v/>
      </c>
      <c r="J278" s="17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17" t="str">
        <f t="shared" si="33"/>
        <v/>
      </c>
      <c r="L278" s="18" t="str">
        <f t="shared" si="34"/>
        <v/>
      </c>
      <c r="M278" s="18" t="str">
        <f t="shared" si="35"/>
        <v/>
      </c>
      <c r="N278" s="18" t="str">
        <f t="shared" si="36"/>
        <v/>
      </c>
      <c r="O278" s="18" t="str">
        <f t="shared" si="37"/>
        <v/>
      </c>
      <c r="P278" s="17" t="str">
        <f t="shared" si="38"/>
        <v/>
      </c>
      <c r="Q278" s="17" t="str">
        <f t="shared" si="39"/>
        <v/>
      </c>
      <c r="R278" s="19" t="str">
        <f ca="1">IF(A278="","",IF(COUNTIF(_TradeIds,A278)=0,"违规：交易编号不存在",IF(OR(B278="",B278&lt;1,B278&gt;5,B278&lt;&gt;INT(B278)),"违规：加仓序号须为1到5的整数",IF(COUNTIFS($A$2:$A$1001,A278,$B$2:$B$1001,B278)&gt;1,"违规：同一交易的加仓序号重复",IF(OR(D278="",E278="",F278=""),"计划不完整：请填写加仓价、新止损价和风险预算",IF(OR(D278&lt;=0,E278&lt;=0,F278&lt;=0,D278&lt;=E278),"违规：加仓价必须高于新止损价，金额须大于0",IF(AND(B278&gt;1,COUNTIFS($A$2:$A$1001,A278,$B$2:$B$1001,B278-1,$G$2:$G$1001,"&gt;0")=0),"违规：须先完成上一次加仓",IF(AND(B278&gt;1,E278&lt;SUMIFS($E$2:$E$1001,$A$2:$A$1001,A278,$B$2:$B$1001,B278-1)),"违规：新止损价不得低于上一次",IF(AND(B278&gt;1,F278&gt;SUMIFS($F$2:$F$1001,$A$2:$A$1001,A278,$B$2:$B$1001,B278-1)),"违规：风险预算须逐次不增加",IF(OR(_LockStatus="已锁仓",_LockStatus="解锁信息不完整"),"违规：锁仓期间禁止加仓",IF(G278="","计划可执行：建议股数见N列",IF(OR(G278&lt;=0,G278&lt;&gt;INT(G278),MOD(G278,100)&lt;&gt;0),"违规：实际股数须为100股整数倍",IF(G278&gt;N278,"违规：实际股数超过风险或金字塔上限",IF(AND(B278&gt;1,G278&gt;SUMIFS($G$2:$G$1001,$A$2:$A$1001,A278,$B$2:$B$1001,B278-1)),"违规：加仓股数须逐次不增加",IF(Q278&gt;F278,"违规：止损风险超过本次预算","通过")))))))))))))))</f>
        <v/>
      </c>
    </row>
    <row r="279" ht="17" spans="1:18">
      <c r="A279" s="13"/>
      <c r="B279" s="14"/>
      <c r="C279" s="15"/>
      <c r="D279" s="16"/>
      <c r="E279" s="16"/>
      <c r="F279" s="16"/>
      <c r="G279" s="14"/>
      <c r="H279" s="17" t="str">
        <f t="shared" si="32"/>
        <v/>
      </c>
      <c r="I279" s="18" t="str">
        <f>IF(OR(A279="",B279=""),"",IFERROR(LOOKUP(2,1/(单次交易!$A$2:$A$201=A279),单次交易!$H$2:$H$201),0)+SUMIFS($G$2:$G$1001,$A$2:$A$1001,A279,$B$2:$B$1001,"&lt;"&amp;B279))</f>
        <v/>
      </c>
      <c r="J279" s="17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17" t="str">
        <f t="shared" si="33"/>
        <v/>
      </c>
      <c r="L279" s="18" t="str">
        <f t="shared" si="34"/>
        <v/>
      </c>
      <c r="M279" s="18" t="str">
        <f t="shared" si="35"/>
        <v/>
      </c>
      <c r="N279" s="18" t="str">
        <f t="shared" si="36"/>
        <v/>
      </c>
      <c r="O279" s="18" t="str">
        <f t="shared" si="37"/>
        <v/>
      </c>
      <c r="P279" s="17" t="str">
        <f t="shared" si="38"/>
        <v/>
      </c>
      <c r="Q279" s="17" t="str">
        <f t="shared" si="39"/>
        <v/>
      </c>
      <c r="R279" s="19" t="str">
        <f ca="1">IF(A279="","",IF(COUNTIF(_TradeIds,A279)=0,"违规：交易编号不存在",IF(OR(B279="",B279&lt;1,B279&gt;5,B279&lt;&gt;INT(B279)),"违规：加仓序号须为1到5的整数",IF(COUNTIFS($A$2:$A$1001,A279,$B$2:$B$1001,B279)&gt;1,"违规：同一交易的加仓序号重复",IF(OR(D279="",E279="",F279=""),"计划不完整：请填写加仓价、新止损价和风险预算",IF(OR(D279&lt;=0,E279&lt;=0,F279&lt;=0,D279&lt;=E279),"违规：加仓价必须高于新止损价，金额须大于0",IF(AND(B279&gt;1,COUNTIFS($A$2:$A$1001,A279,$B$2:$B$1001,B279-1,$G$2:$G$1001,"&gt;0")=0),"违规：须先完成上一次加仓",IF(AND(B279&gt;1,E279&lt;SUMIFS($E$2:$E$1001,$A$2:$A$1001,A279,$B$2:$B$1001,B279-1)),"违规：新止损价不得低于上一次",IF(AND(B279&gt;1,F279&gt;SUMIFS($F$2:$F$1001,$A$2:$A$1001,A279,$B$2:$B$1001,B279-1)),"违规：风险预算须逐次不增加",IF(OR(_LockStatus="已锁仓",_LockStatus="解锁信息不完整"),"违规：锁仓期间禁止加仓",IF(G279="","计划可执行：建议股数见N列",IF(OR(G279&lt;=0,G279&lt;&gt;INT(G279),MOD(G279,100)&lt;&gt;0),"违规：实际股数须为100股整数倍",IF(G279&gt;N279,"违规：实际股数超过风险或金字塔上限",IF(AND(B279&gt;1,G279&gt;SUMIFS($G$2:$G$1001,$A$2:$A$1001,A279,$B$2:$B$1001,B279-1)),"违规：加仓股数须逐次不增加",IF(Q279&gt;F279,"违规：止损风险超过本次预算","通过")))))))))))))))</f>
        <v/>
      </c>
    </row>
    <row r="280" ht="17" spans="1:18">
      <c r="A280" s="13"/>
      <c r="B280" s="14"/>
      <c r="C280" s="15"/>
      <c r="D280" s="16"/>
      <c r="E280" s="16"/>
      <c r="F280" s="16"/>
      <c r="G280" s="14"/>
      <c r="H280" s="17" t="str">
        <f t="shared" si="32"/>
        <v/>
      </c>
      <c r="I280" s="18" t="str">
        <f>IF(OR(A280="",B280=""),"",IFERROR(LOOKUP(2,1/(单次交易!$A$2:$A$201=A280),单次交易!$H$2:$H$201),0)+SUMIFS($G$2:$G$1001,$A$2:$A$1001,A280,$B$2:$B$1001,"&lt;"&amp;B280))</f>
        <v/>
      </c>
      <c r="J280" s="17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17" t="str">
        <f t="shared" si="33"/>
        <v/>
      </c>
      <c r="L280" s="18" t="str">
        <f t="shared" si="34"/>
        <v/>
      </c>
      <c r="M280" s="18" t="str">
        <f t="shared" si="35"/>
        <v/>
      </c>
      <c r="N280" s="18" t="str">
        <f t="shared" si="36"/>
        <v/>
      </c>
      <c r="O280" s="18" t="str">
        <f t="shared" si="37"/>
        <v/>
      </c>
      <c r="P280" s="17" t="str">
        <f t="shared" si="38"/>
        <v/>
      </c>
      <c r="Q280" s="17" t="str">
        <f t="shared" si="39"/>
        <v/>
      </c>
      <c r="R280" s="19" t="str">
        <f ca="1">IF(A280="","",IF(COUNTIF(_TradeIds,A280)=0,"违规：交易编号不存在",IF(OR(B280="",B280&lt;1,B280&gt;5,B280&lt;&gt;INT(B280)),"违规：加仓序号须为1到5的整数",IF(COUNTIFS($A$2:$A$1001,A280,$B$2:$B$1001,B280)&gt;1,"违规：同一交易的加仓序号重复",IF(OR(D280="",E280="",F280=""),"计划不完整：请填写加仓价、新止损价和风险预算",IF(OR(D280&lt;=0,E280&lt;=0,F280&lt;=0,D280&lt;=E280),"违规：加仓价必须高于新止损价，金额须大于0",IF(AND(B280&gt;1,COUNTIFS($A$2:$A$1001,A280,$B$2:$B$1001,B280-1,$G$2:$G$1001,"&gt;0")=0),"违规：须先完成上一次加仓",IF(AND(B280&gt;1,E280&lt;SUMIFS($E$2:$E$1001,$A$2:$A$1001,A280,$B$2:$B$1001,B280-1)),"违规：新止损价不得低于上一次",IF(AND(B280&gt;1,F280&gt;SUMIFS($F$2:$F$1001,$A$2:$A$1001,A280,$B$2:$B$1001,B280-1)),"违规：风险预算须逐次不增加",IF(OR(_LockStatus="已锁仓",_LockStatus="解锁信息不完整"),"违规：锁仓期间禁止加仓",IF(G280="","计划可执行：建议股数见N列",IF(OR(G280&lt;=0,G280&lt;&gt;INT(G280),MOD(G280,100)&lt;&gt;0),"违规：实际股数须为100股整数倍",IF(G280&gt;N280,"违规：实际股数超过风险或金字塔上限",IF(AND(B280&gt;1,G280&gt;SUMIFS($G$2:$G$1001,$A$2:$A$1001,A280,$B$2:$B$1001,B280-1)),"违规：加仓股数须逐次不增加",IF(Q280&gt;F280,"违规：止损风险超过本次预算","通过")))))))))))))))</f>
        <v/>
      </c>
    </row>
    <row r="281" ht="17" spans="1:18">
      <c r="A281" s="13"/>
      <c r="B281" s="14"/>
      <c r="C281" s="15"/>
      <c r="D281" s="16"/>
      <c r="E281" s="16"/>
      <c r="F281" s="16"/>
      <c r="G281" s="14"/>
      <c r="H281" s="17" t="str">
        <f t="shared" si="32"/>
        <v/>
      </c>
      <c r="I281" s="18" t="str">
        <f>IF(OR(A281="",B281=""),"",IFERROR(LOOKUP(2,1/(单次交易!$A$2:$A$201=A281),单次交易!$H$2:$H$201),0)+SUMIFS($G$2:$G$1001,$A$2:$A$1001,A281,$B$2:$B$1001,"&lt;"&amp;B281))</f>
        <v/>
      </c>
      <c r="J281" s="17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17" t="str">
        <f t="shared" si="33"/>
        <v/>
      </c>
      <c r="L281" s="18" t="str">
        <f t="shared" si="34"/>
        <v/>
      </c>
      <c r="M281" s="18" t="str">
        <f t="shared" si="35"/>
        <v/>
      </c>
      <c r="N281" s="18" t="str">
        <f t="shared" si="36"/>
        <v/>
      </c>
      <c r="O281" s="18" t="str">
        <f t="shared" si="37"/>
        <v/>
      </c>
      <c r="P281" s="17" t="str">
        <f t="shared" si="38"/>
        <v/>
      </c>
      <c r="Q281" s="17" t="str">
        <f t="shared" si="39"/>
        <v/>
      </c>
      <c r="R281" s="19" t="str">
        <f ca="1">IF(A281="","",IF(COUNTIF(_TradeIds,A281)=0,"违规：交易编号不存在",IF(OR(B281="",B281&lt;1,B281&gt;5,B281&lt;&gt;INT(B281)),"违规：加仓序号须为1到5的整数",IF(COUNTIFS($A$2:$A$1001,A281,$B$2:$B$1001,B281)&gt;1,"违规：同一交易的加仓序号重复",IF(OR(D281="",E281="",F281=""),"计划不完整：请填写加仓价、新止损价和风险预算",IF(OR(D281&lt;=0,E281&lt;=0,F281&lt;=0,D281&lt;=E281),"违规：加仓价必须高于新止损价，金额须大于0",IF(AND(B281&gt;1,COUNTIFS($A$2:$A$1001,A281,$B$2:$B$1001,B281-1,$G$2:$G$1001,"&gt;0")=0),"违规：须先完成上一次加仓",IF(AND(B281&gt;1,E281&lt;SUMIFS($E$2:$E$1001,$A$2:$A$1001,A281,$B$2:$B$1001,B281-1)),"违规：新止损价不得低于上一次",IF(AND(B281&gt;1,F281&gt;SUMIFS($F$2:$F$1001,$A$2:$A$1001,A281,$B$2:$B$1001,B281-1)),"违规：风险预算须逐次不增加",IF(OR(_LockStatus="已锁仓",_LockStatus="解锁信息不完整"),"违规：锁仓期间禁止加仓",IF(G281="","计划可执行：建议股数见N列",IF(OR(G281&lt;=0,G281&lt;&gt;INT(G281),MOD(G281,100)&lt;&gt;0),"违规：实际股数须为100股整数倍",IF(G281&gt;N281,"违规：实际股数超过风险或金字塔上限",IF(AND(B281&gt;1,G281&gt;SUMIFS($G$2:$G$1001,$A$2:$A$1001,A281,$B$2:$B$1001,B281-1)),"违规：加仓股数须逐次不增加",IF(Q281&gt;F281,"违规：止损风险超过本次预算","通过")))))))))))))))</f>
        <v/>
      </c>
    </row>
    <row r="282" ht="17" spans="1:18">
      <c r="A282" s="13"/>
      <c r="B282" s="14"/>
      <c r="C282" s="15"/>
      <c r="D282" s="16"/>
      <c r="E282" s="16"/>
      <c r="F282" s="16"/>
      <c r="G282" s="14"/>
      <c r="H282" s="17" t="str">
        <f t="shared" si="32"/>
        <v/>
      </c>
      <c r="I282" s="18" t="str">
        <f>IF(OR(A282="",B282=""),"",IFERROR(LOOKUP(2,1/(单次交易!$A$2:$A$201=A282),单次交易!$H$2:$H$201),0)+SUMIFS($G$2:$G$1001,$A$2:$A$1001,A282,$B$2:$B$1001,"&lt;"&amp;B282))</f>
        <v/>
      </c>
      <c r="J282" s="17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17" t="str">
        <f t="shared" si="33"/>
        <v/>
      </c>
      <c r="L282" s="18" t="str">
        <f t="shared" si="34"/>
        <v/>
      </c>
      <c r="M282" s="18" t="str">
        <f t="shared" si="35"/>
        <v/>
      </c>
      <c r="N282" s="18" t="str">
        <f t="shared" si="36"/>
        <v/>
      </c>
      <c r="O282" s="18" t="str">
        <f t="shared" si="37"/>
        <v/>
      </c>
      <c r="P282" s="17" t="str">
        <f t="shared" si="38"/>
        <v/>
      </c>
      <c r="Q282" s="17" t="str">
        <f t="shared" si="39"/>
        <v/>
      </c>
      <c r="R282" s="19" t="str">
        <f ca="1">IF(A282="","",IF(COUNTIF(_TradeIds,A282)=0,"违规：交易编号不存在",IF(OR(B282="",B282&lt;1,B282&gt;5,B282&lt;&gt;INT(B282)),"违规：加仓序号须为1到5的整数",IF(COUNTIFS($A$2:$A$1001,A282,$B$2:$B$1001,B282)&gt;1,"违规：同一交易的加仓序号重复",IF(OR(D282="",E282="",F282=""),"计划不完整：请填写加仓价、新止损价和风险预算",IF(OR(D282&lt;=0,E282&lt;=0,F282&lt;=0,D282&lt;=E282),"违规：加仓价必须高于新止损价，金额须大于0",IF(AND(B282&gt;1,COUNTIFS($A$2:$A$1001,A282,$B$2:$B$1001,B282-1,$G$2:$G$1001,"&gt;0")=0),"违规：须先完成上一次加仓",IF(AND(B282&gt;1,E282&lt;SUMIFS($E$2:$E$1001,$A$2:$A$1001,A282,$B$2:$B$1001,B282-1)),"违规：新止损价不得低于上一次",IF(AND(B282&gt;1,F282&gt;SUMIFS($F$2:$F$1001,$A$2:$A$1001,A282,$B$2:$B$1001,B282-1)),"违规：风险预算须逐次不增加",IF(OR(_LockStatus="已锁仓",_LockStatus="解锁信息不完整"),"违规：锁仓期间禁止加仓",IF(G282="","计划可执行：建议股数见N列",IF(OR(G282&lt;=0,G282&lt;&gt;INT(G282),MOD(G282,100)&lt;&gt;0),"违规：实际股数须为100股整数倍",IF(G282&gt;N282,"违规：实际股数超过风险或金字塔上限",IF(AND(B282&gt;1,G282&gt;SUMIFS($G$2:$G$1001,$A$2:$A$1001,A282,$B$2:$B$1001,B282-1)),"违规：加仓股数须逐次不增加",IF(Q282&gt;F282,"违规：止损风险超过本次预算","通过")))))))))))))))</f>
        <v/>
      </c>
    </row>
    <row r="283" ht="17" spans="1:18">
      <c r="A283" s="13"/>
      <c r="B283" s="14"/>
      <c r="C283" s="15"/>
      <c r="D283" s="16"/>
      <c r="E283" s="16"/>
      <c r="F283" s="16"/>
      <c r="G283" s="14"/>
      <c r="H283" s="17" t="str">
        <f t="shared" si="32"/>
        <v/>
      </c>
      <c r="I283" s="18" t="str">
        <f>IF(OR(A283="",B283=""),"",IFERROR(LOOKUP(2,1/(单次交易!$A$2:$A$201=A283),单次交易!$H$2:$H$201),0)+SUMIFS($G$2:$G$1001,$A$2:$A$1001,A283,$B$2:$B$1001,"&lt;"&amp;B283))</f>
        <v/>
      </c>
      <c r="J283" s="17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17" t="str">
        <f t="shared" si="33"/>
        <v/>
      </c>
      <c r="L283" s="18" t="str">
        <f t="shared" si="34"/>
        <v/>
      </c>
      <c r="M283" s="18" t="str">
        <f t="shared" si="35"/>
        <v/>
      </c>
      <c r="N283" s="18" t="str">
        <f t="shared" si="36"/>
        <v/>
      </c>
      <c r="O283" s="18" t="str">
        <f t="shared" si="37"/>
        <v/>
      </c>
      <c r="P283" s="17" t="str">
        <f t="shared" si="38"/>
        <v/>
      </c>
      <c r="Q283" s="17" t="str">
        <f t="shared" si="39"/>
        <v/>
      </c>
      <c r="R283" s="19" t="str">
        <f ca="1">IF(A283="","",IF(COUNTIF(_TradeIds,A283)=0,"违规：交易编号不存在",IF(OR(B283="",B283&lt;1,B283&gt;5,B283&lt;&gt;INT(B283)),"违规：加仓序号须为1到5的整数",IF(COUNTIFS($A$2:$A$1001,A283,$B$2:$B$1001,B283)&gt;1,"违规：同一交易的加仓序号重复",IF(OR(D283="",E283="",F283=""),"计划不完整：请填写加仓价、新止损价和风险预算",IF(OR(D283&lt;=0,E283&lt;=0,F283&lt;=0,D283&lt;=E283),"违规：加仓价必须高于新止损价，金额须大于0",IF(AND(B283&gt;1,COUNTIFS($A$2:$A$1001,A283,$B$2:$B$1001,B283-1,$G$2:$G$1001,"&gt;0")=0),"违规：须先完成上一次加仓",IF(AND(B283&gt;1,E283&lt;SUMIFS($E$2:$E$1001,$A$2:$A$1001,A283,$B$2:$B$1001,B283-1)),"违规：新止损价不得低于上一次",IF(AND(B283&gt;1,F283&gt;SUMIFS($F$2:$F$1001,$A$2:$A$1001,A283,$B$2:$B$1001,B283-1)),"违规：风险预算须逐次不增加",IF(OR(_LockStatus="已锁仓",_LockStatus="解锁信息不完整"),"违规：锁仓期间禁止加仓",IF(G283="","计划可执行：建议股数见N列",IF(OR(G283&lt;=0,G283&lt;&gt;INT(G283),MOD(G283,100)&lt;&gt;0),"违规：实际股数须为100股整数倍",IF(G283&gt;N283,"违规：实际股数超过风险或金字塔上限",IF(AND(B283&gt;1,G283&gt;SUMIFS($G$2:$G$1001,$A$2:$A$1001,A283,$B$2:$B$1001,B283-1)),"违规：加仓股数须逐次不增加",IF(Q283&gt;F283,"违规：止损风险超过本次预算","通过")))))))))))))))</f>
        <v/>
      </c>
    </row>
    <row r="284" ht="17" spans="1:18">
      <c r="A284" s="13"/>
      <c r="B284" s="14"/>
      <c r="C284" s="15"/>
      <c r="D284" s="16"/>
      <c r="E284" s="16"/>
      <c r="F284" s="16"/>
      <c r="G284" s="14"/>
      <c r="H284" s="17" t="str">
        <f t="shared" si="32"/>
        <v/>
      </c>
      <c r="I284" s="18" t="str">
        <f>IF(OR(A284="",B284=""),"",IFERROR(LOOKUP(2,1/(单次交易!$A$2:$A$201=A284),单次交易!$H$2:$H$201),0)+SUMIFS($G$2:$G$1001,$A$2:$A$1001,A284,$B$2:$B$1001,"&lt;"&amp;B284))</f>
        <v/>
      </c>
      <c r="J284" s="17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17" t="str">
        <f t="shared" si="33"/>
        <v/>
      </c>
      <c r="L284" s="18" t="str">
        <f t="shared" si="34"/>
        <v/>
      </c>
      <c r="M284" s="18" t="str">
        <f t="shared" si="35"/>
        <v/>
      </c>
      <c r="N284" s="18" t="str">
        <f t="shared" si="36"/>
        <v/>
      </c>
      <c r="O284" s="18" t="str">
        <f t="shared" si="37"/>
        <v/>
      </c>
      <c r="P284" s="17" t="str">
        <f t="shared" si="38"/>
        <v/>
      </c>
      <c r="Q284" s="17" t="str">
        <f t="shared" si="39"/>
        <v/>
      </c>
      <c r="R284" s="19" t="str">
        <f ca="1">IF(A284="","",IF(COUNTIF(_TradeIds,A284)=0,"违规：交易编号不存在",IF(OR(B284="",B284&lt;1,B284&gt;5,B284&lt;&gt;INT(B284)),"违规：加仓序号须为1到5的整数",IF(COUNTIFS($A$2:$A$1001,A284,$B$2:$B$1001,B284)&gt;1,"违规：同一交易的加仓序号重复",IF(OR(D284="",E284="",F284=""),"计划不完整：请填写加仓价、新止损价和风险预算",IF(OR(D284&lt;=0,E284&lt;=0,F284&lt;=0,D284&lt;=E284),"违规：加仓价必须高于新止损价，金额须大于0",IF(AND(B284&gt;1,COUNTIFS($A$2:$A$1001,A284,$B$2:$B$1001,B284-1,$G$2:$G$1001,"&gt;0")=0),"违规：须先完成上一次加仓",IF(AND(B284&gt;1,E284&lt;SUMIFS($E$2:$E$1001,$A$2:$A$1001,A284,$B$2:$B$1001,B284-1)),"违规：新止损价不得低于上一次",IF(AND(B284&gt;1,F284&gt;SUMIFS($F$2:$F$1001,$A$2:$A$1001,A284,$B$2:$B$1001,B284-1)),"违规：风险预算须逐次不增加",IF(OR(_LockStatus="已锁仓",_LockStatus="解锁信息不完整"),"违规：锁仓期间禁止加仓",IF(G284="","计划可执行：建议股数见N列",IF(OR(G284&lt;=0,G284&lt;&gt;INT(G284),MOD(G284,100)&lt;&gt;0),"违规：实际股数须为100股整数倍",IF(G284&gt;N284,"违规：实际股数超过风险或金字塔上限",IF(AND(B284&gt;1,G284&gt;SUMIFS($G$2:$G$1001,$A$2:$A$1001,A284,$B$2:$B$1001,B284-1)),"违规：加仓股数须逐次不增加",IF(Q284&gt;F284,"违规：止损风险超过本次预算","通过")))))))))))))))</f>
        <v/>
      </c>
    </row>
    <row r="285" ht="17" spans="1:18">
      <c r="A285" s="13"/>
      <c r="B285" s="14"/>
      <c r="C285" s="15"/>
      <c r="D285" s="16"/>
      <c r="E285" s="16"/>
      <c r="F285" s="16"/>
      <c r="G285" s="14"/>
      <c r="H285" s="17" t="str">
        <f t="shared" si="32"/>
        <v/>
      </c>
      <c r="I285" s="18" t="str">
        <f>IF(OR(A285="",B285=""),"",IFERROR(LOOKUP(2,1/(单次交易!$A$2:$A$201=A285),单次交易!$H$2:$H$201),0)+SUMIFS($G$2:$G$1001,$A$2:$A$1001,A285,$B$2:$B$1001,"&lt;"&amp;B285))</f>
        <v/>
      </c>
      <c r="J285" s="17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17" t="str">
        <f t="shared" si="33"/>
        <v/>
      </c>
      <c r="L285" s="18" t="str">
        <f t="shared" si="34"/>
        <v/>
      </c>
      <c r="M285" s="18" t="str">
        <f t="shared" si="35"/>
        <v/>
      </c>
      <c r="N285" s="18" t="str">
        <f t="shared" si="36"/>
        <v/>
      </c>
      <c r="O285" s="18" t="str">
        <f t="shared" si="37"/>
        <v/>
      </c>
      <c r="P285" s="17" t="str">
        <f t="shared" si="38"/>
        <v/>
      </c>
      <c r="Q285" s="17" t="str">
        <f t="shared" si="39"/>
        <v/>
      </c>
      <c r="R285" s="19" t="str">
        <f ca="1">IF(A285="","",IF(COUNTIF(_TradeIds,A285)=0,"违规：交易编号不存在",IF(OR(B285="",B285&lt;1,B285&gt;5,B285&lt;&gt;INT(B285)),"违规：加仓序号须为1到5的整数",IF(COUNTIFS($A$2:$A$1001,A285,$B$2:$B$1001,B285)&gt;1,"违规：同一交易的加仓序号重复",IF(OR(D285="",E285="",F285=""),"计划不完整：请填写加仓价、新止损价和风险预算",IF(OR(D285&lt;=0,E285&lt;=0,F285&lt;=0,D285&lt;=E285),"违规：加仓价必须高于新止损价，金额须大于0",IF(AND(B285&gt;1,COUNTIFS($A$2:$A$1001,A285,$B$2:$B$1001,B285-1,$G$2:$G$1001,"&gt;0")=0),"违规：须先完成上一次加仓",IF(AND(B285&gt;1,E285&lt;SUMIFS($E$2:$E$1001,$A$2:$A$1001,A285,$B$2:$B$1001,B285-1)),"违规：新止损价不得低于上一次",IF(AND(B285&gt;1,F285&gt;SUMIFS($F$2:$F$1001,$A$2:$A$1001,A285,$B$2:$B$1001,B285-1)),"违规：风险预算须逐次不增加",IF(OR(_LockStatus="已锁仓",_LockStatus="解锁信息不完整"),"违规：锁仓期间禁止加仓",IF(G285="","计划可执行：建议股数见N列",IF(OR(G285&lt;=0,G285&lt;&gt;INT(G285),MOD(G285,100)&lt;&gt;0),"违规：实际股数须为100股整数倍",IF(G285&gt;N285,"违规：实际股数超过风险或金字塔上限",IF(AND(B285&gt;1,G285&gt;SUMIFS($G$2:$G$1001,$A$2:$A$1001,A285,$B$2:$B$1001,B285-1)),"违规：加仓股数须逐次不增加",IF(Q285&gt;F285,"违规：止损风险超过本次预算","通过")))))))))))))))</f>
        <v/>
      </c>
    </row>
    <row r="286" ht="17" spans="1:18">
      <c r="A286" s="13"/>
      <c r="B286" s="14"/>
      <c r="C286" s="15"/>
      <c r="D286" s="16"/>
      <c r="E286" s="16"/>
      <c r="F286" s="16"/>
      <c r="G286" s="14"/>
      <c r="H286" s="17" t="str">
        <f t="shared" si="32"/>
        <v/>
      </c>
      <c r="I286" s="18" t="str">
        <f>IF(OR(A286="",B286=""),"",IFERROR(LOOKUP(2,1/(单次交易!$A$2:$A$201=A286),单次交易!$H$2:$H$201),0)+SUMIFS($G$2:$G$1001,$A$2:$A$1001,A286,$B$2:$B$1001,"&lt;"&amp;B286))</f>
        <v/>
      </c>
      <c r="J286" s="17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17" t="str">
        <f t="shared" si="33"/>
        <v/>
      </c>
      <c r="L286" s="18" t="str">
        <f t="shared" si="34"/>
        <v/>
      </c>
      <c r="M286" s="18" t="str">
        <f t="shared" si="35"/>
        <v/>
      </c>
      <c r="N286" s="18" t="str">
        <f t="shared" si="36"/>
        <v/>
      </c>
      <c r="O286" s="18" t="str">
        <f t="shared" si="37"/>
        <v/>
      </c>
      <c r="P286" s="17" t="str">
        <f t="shared" si="38"/>
        <v/>
      </c>
      <c r="Q286" s="17" t="str">
        <f t="shared" si="39"/>
        <v/>
      </c>
      <c r="R286" s="19" t="str">
        <f ca="1">IF(A286="","",IF(COUNTIF(_TradeIds,A286)=0,"违规：交易编号不存在",IF(OR(B286="",B286&lt;1,B286&gt;5,B286&lt;&gt;INT(B286)),"违规：加仓序号须为1到5的整数",IF(COUNTIFS($A$2:$A$1001,A286,$B$2:$B$1001,B286)&gt;1,"违规：同一交易的加仓序号重复",IF(OR(D286="",E286="",F286=""),"计划不完整：请填写加仓价、新止损价和风险预算",IF(OR(D286&lt;=0,E286&lt;=0,F286&lt;=0,D286&lt;=E286),"违规：加仓价必须高于新止损价，金额须大于0",IF(AND(B286&gt;1,COUNTIFS($A$2:$A$1001,A286,$B$2:$B$1001,B286-1,$G$2:$G$1001,"&gt;0")=0),"违规：须先完成上一次加仓",IF(AND(B286&gt;1,E286&lt;SUMIFS($E$2:$E$1001,$A$2:$A$1001,A286,$B$2:$B$1001,B286-1)),"违规：新止损价不得低于上一次",IF(AND(B286&gt;1,F286&gt;SUMIFS($F$2:$F$1001,$A$2:$A$1001,A286,$B$2:$B$1001,B286-1)),"违规：风险预算须逐次不增加",IF(OR(_LockStatus="已锁仓",_LockStatus="解锁信息不完整"),"违规：锁仓期间禁止加仓",IF(G286="","计划可执行：建议股数见N列",IF(OR(G286&lt;=0,G286&lt;&gt;INT(G286),MOD(G286,100)&lt;&gt;0),"违规：实际股数须为100股整数倍",IF(G286&gt;N286,"违规：实际股数超过风险或金字塔上限",IF(AND(B286&gt;1,G286&gt;SUMIFS($G$2:$G$1001,$A$2:$A$1001,A286,$B$2:$B$1001,B286-1)),"违规：加仓股数须逐次不增加",IF(Q286&gt;F286,"违规：止损风险超过本次预算","通过")))))))))))))))</f>
        <v/>
      </c>
    </row>
    <row r="287" ht="17" spans="1:18">
      <c r="A287" s="13"/>
      <c r="B287" s="14"/>
      <c r="C287" s="15"/>
      <c r="D287" s="16"/>
      <c r="E287" s="16"/>
      <c r="F287" s="16"/>
      <c r="G287" s="14"/>
      <c r="H287" s="17" t="str">
        <f t="shared" si="32"/>
        <v/>
      </c>
      <c r="I287" s="18" t="str">
        <f>IF(OR(A287="",B287=""),"",IFERROR(LOOKUP(2,1/(单次交易!$A$2:$A$201=A287),单次交易!$H$2:$H$201),0)+SUMIFS($G$2:$G$1001,$A$2:$A$1001,A287,$B$2:$B$1001,"&lt;"&amp;B287))</f>
        <v/>
      </c>
      <c r="J287" s="17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17" t="str">
        <f t="shared" si="33"/>
        <v/>
      </c>
      <c r="L287" s="18" t="str">
        <f t="shared" si="34"/>
        <v/>
      </c>
      <c r="M287" s="18" t="str">
        <f t="shared" si="35"/>
        <v/>
      </c>
      <c r="N287" s="18" t="str">
        <f t="shared" si="36"/>
        <v/>
      </c>
      <c r="O287" s="18" t="str">
        <f t="shared" si="37"/>
        <v/>
      </c>
      <c r="P287" s="17" t="str">
        <f t="shared" si="38"/>
        <v/>
      </c>
      <c r="Q287" s="17" t="str">
        <f t="shared" si="39"/>
        <v/>
      </c>
      <c r="R287" s="19" t="str">
        <f ca="1">IF(A287="","",IF(COUNTIF(_TradeIds,A287)=0,"违规：交易编号不存在",IF(OR(B287="",B287&lt;1,B287&gt;5,B287&lt;&gt;INT(B287)),"违规：加仓序号须为1到5的整数",IF(COUNTIFS($A$2:$A$1001,A287,$B$2:$B$1001,B287)&gt;1,"违规：同一交易的加仓序号重复",IF(OR(D287="",E287="",F287=""),"计划不完整：请填写加仓价、新止损价和风险预算",IF(OR(D287&lt;=0,E287&lt;=0,F287&lt;=0,D287&lt;=E287),"违规：加仓价必须高于新止损价，金额须大于0",IF(AND(B287&gt;1,COUNTIFS($A$2:$A$1001,A287,$B$2:$B$1001,B287-1,$G$2:$G$1001,"&gt;0")=0),"违规：须先完成上一次加仓",IF(AND(B287&gt;1,E287&lt;SUMIFS($E$2:$E$1001,$A$2:$A$1001,A287,$B$2:$B$1001,B287-1)),"违规：新止损价不得低于上一次",IF(AND(B287&gt;1,F287&gt;SUMIFS($F$2:$F$1001,$A$2:$A$1001,A287,$B$2:$B$1001,B287-1)),"违规：风险预算须逐次不增加",IF(OR(_LockStatus="已锁仓",_LockStatus="解锁信息不完整"),"违规：锁仓期间禁止加仓",IF(G287="","计划可执行：建议股数见N列",IF(OR(G287&lt;=0,G287&lt;&gt;INT(G287),MOD(G287,100)&lt;&gt;0),"违规：实际股数须为100股整数倍",IF(G287&gt;N287,"违规：实际股数超过风险或金字塔上限",IF(AND(B287&gt;1,G287&gt;SUMIFS($G$2:$G$1001,$A$2:$A$1001,A287,$B$2:$B$1001,B287-1)),"违规：加仓股数须逐次不增加",IF(Q287&gt;F287,"违规：止损风险超过本次预算","通过")))))))))))))))</f>
        <v/>
      </c>
    </row>
    <row r="288" ht="17" spans="1:18">
      <c r="A288" s="13"/>
      <c r="B288" s="14"/>
      <c r="C288" s="15"/>
      <c r="D288" s="16"/>
      <c r="E288" s="16"/>
      <c r="F288" s="16"/>
      <c r="G288" s="14"/>
      <c r="H288" s="17" t="str">
        <f t="shared" si="32"/>
        <v/>
      </c>
      <c r="I288" s="18" t="str">
        <f>IF(OR(A288="",B288=""),"",IFERROR(LOOKUP(2,1/(单次交易!$A$2:$A$201=A288),单次交易!$H$2:$H$201),0)+SUMIFS($G$2:$G$1001,$A$2:$A$1001,A288,$B$2:$B$1001,"&lt;"&amp;B288))</f>
        <v/>
      </c>
      <c r="J288" s="17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17" t="str">
        <f t="shared" si="33"/>
        <v/>
      </c>
      <c r="L288" s="18" t="str">
        <f t="shared" si="34"/>
        <v/>
      </c>
      <c r="M288" s="18" t="str">
        <f t="shared" si="35"/>
        <v/>
      </c>
      <c r="N288" s="18" t="str">
        <f t="shared" si="36"/>
        <v/>
      </c>
      <c r="O288" s="18" t="str">
        <f t="shared" si="37"/>
        <v/>
      </c>
      <c r="P288" s="17" t="str">
        <f t="shared" si="38"/>
        <v/>
      </c>
      <c r="Q288" s="17" t="str">
        <f t="shared" si="39"/>
        <v/>
      </c>
      <c r="R288" s="19" t="str">
        <f ca="1">IF(A288="","",IF(COUNTIF(_TradeIds,A288)=0,"违规：交易编号不存在",IF(OR(B288="",B288&lt;1,B288&gt;5,B288&lt;&gt;INT(B288)),"违规：加仓序号须为1到5的整数",IF(COUNTIFS($A$2:$A$1001,A288,$B$2:$B$1001,B288)&gt;1,"违规：同一交易的加仓序号重复",IF(OR(D288="",E288="",F288=""),"计划不完整：请填写加仓价、新止损价和风险预算",IF(OR(D288&lt;=0,E288&lt;=0,F288&lt;=0,D288&lt;=E288),"违规：加仓价必须高于新止损价，金额须大于0",IF(AND(B288&gt;1,COUNTIFS($A$2:$A$1001,A288,$B$2:$B$1001,B288-1,$G$2:$G$1001,"&gt;0")=0),"违规：须先完成上一次加仓",IF(AND(B288&gt;1,E288&lt;SUMIFS($E$2:$E$1001,$A$2:$A$1001,A288,$B$2:$B$1001,B288-1)),"违规：新止损价不得低于上一次",IF(AND(B288&gt;1,F288&gt;SUMIFS($F$2:$F$1001,$A$2:$A$1001,A288,$B$2:$B$1001,B288-1)),"违规：风险预算须逐次不增加",IF(OR(_LockStatus="已锁仓",_LockStatus="解锁信息不完整"),"违规：锁仓期间禁止加仓",IF(G288="","计划可执行：建议股数见N列",IF(OR(G288&lt;=0,G288&lt;&gt;INT(G288),MOD(G288,100)&lt;&gt;0),"违规：实际股数须为100股整数倍",IF(G288&gt;N288,"违规：实际股数超过风险或金字塔上限",IF(AND(B288&gt;1,G288&gt;SUMIFS($G$2:$G$1001,$A$2:$A$1001,A288,$B$2:$B$1001,B288-1)),"违规：加仓股数须逐次不增加",IF(Q288&gt;F288,"违规：止损风险超过本次预算","通过")))))))))))))))</f>
        <v/>
      </c>
    </row>
    <row r="289" ht="17" spans="1:18">
      <c r="A289" s="13"/>
      <c r="B289" s="14"/>
      <c r="C289" s="15"/>
      <c r="D289" s="16"/>
      <c r="E289" s="16"/>
      <c r="F289" s="16"/>
      <c r="G289" s="14"/>
      <c r="H289" s="17" t="str">
        <f t="shared" si="32"/>
        <v/>
      </c>
      <c r="I289" s="18" t="str">
        <f>IF(OR(A289="",B289=""),"",IFERROR(LOOKUP(2,1/(单次交易!$A$2:$A$201=A289),单次交易!$H$2:$H$201),0)+SUMIFS($G$2:$G$1001,$A$2:$A$1001,A289,$B$2:$B$1001,"&lt;"&amp;B289))</f>
        <v/>
      </c>
      <c r="J289" s="17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17" t="str">
        <f t="shared" si="33"/>
        <v/>
      </c>
      <c r="L289" s="18" t="str">
        <f t="shared" si="34"/>
        <v/>
      </c>
      <c r="M289" s="18" t="str">
        <f t="shared" si="35"/>
        <v/>
      </c>
      <c r="N289" s="18" t="str">
        <f t="shared" si="36"/>
        <v/>
      </c>
      <c r="O289" s="18" t="str">
        <f t="shared" si="37"/>
        <v/>
      </c>
      <c r="P289" s="17" t="str">
        <f t="shared" si="38"/>
        <v/>
      </c>
      <c r="Q289" s="17" t="str">
        <f t="shared" si="39"/>
        <v/>
      </c>
      <c r="R289" s="19" t="str">
        <f ca="1">IF(A289="","",IF(COUNTIF(_TradeIds,A289)=0,"违规：交易编号不存在",IF(OR(B289="",B289&lt;1,B289&gt;5,B289&lt;&gt;INT(B289)),"违规：加仓序号须为1到5的整数",IF(COUNTIFS($A$2:$A$1001,A289,$B$2:$B$1001,B289)&gt;1,"违规：同一交易的加仓序号重复",IF(OR(D289="",E289="",F289=""),"计划不完整：请填写加仓价、新止损价和风险预算",IF(OR(D289&lt;=0,E289&lt;=0,F289&lt;=0,D289&lt;=E289),"违规：加仓价必须高于新止损价，金额须大于0",IF(AND(B289&gt;1,COUNTIFS($A$2:$A$1001,A289,$B$2:$B$1001,B289-1,$G$2:$G$1001,"&gt;0")=0),"违规：须先完成上一次加仓",IF(AND(B289&gt;1,E289&lt;SUMIFS($E$2:$E$1001,$A$2:$A$1001,A289,$B$2:$B$1001,B289-1)),"违规：新止损价不得低于上一次",IF(AND(B289&gt;1,F289&gt;SUMIFS($F$2:$F$1001,$A$2:$A$1001,A289,$B$2:$B$1001,B289-1)),"违规：风险预算须逐次不增加",IF(OR(_LockStatus="已锁仓",_LockStatus="解锁信息不完整"),"违规：锁仓期间禁止加仓",IF(G289="","计划可执行：建议股数见N列",IF(OR(G289&lt;=0,G289&lt;&gt;INT(G289),MOD(G289,100)&lt;&gt;0),"违规：实际股数须为100股整数倍",IF(G289&gt;N289,"违规：实际股数超过风险或金字塔上限",IF(AND(B289&gt;1,G289&gt;SUMIFS($G$2:$G$1001,$A$2:$A$1001,A289,$B$2:$B$1001,B289-1)),"违规：加仓股数须逐次不增加",IF(Q289&gt;F289,"违规：止损风险超过本次预算","通过")))))))))))))))</f>
        <v/>
      </c>
    </row>
    <row r="290" ht="17" spans="1:18">
      <c r="A290" s="13"/>
      <c r="B290" s="14"/>
      <c r="C290" s="15"/>
      <c r="D290" s="16"/>
      <c r="E290" s="16"/>
      <c r="F290" s="16"/>
      <c r="G290" s="14"/>
      <c r="H290" s="17" t="str">
        <f t="shared" si="32"/>
        <v/>
      </c>
      <c r="I290" s="18" t="str">
        <f>IF(OR(A290="",B290=""),"",IFERROR(LOOKUP(2,1/(单次交易!$A$2:$A$201=A290),单次交易!$H$2:$H$201),0)+SUMIFS($G$2:$G$1001,$A$2:$A$1001,A290,$B$2:$B$1001,"&lt;"&amp;B290))</f>
        <v/>
      </c>
      <c r="J290" s="17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17" t="str">
        <f t="shared" si="33"/>
        <v/>
      </c>
      <c r="L290" s="18" t="str">
        <f t="shared" si="34"/>
        <v/>
      </c>
      <c r="M290" s="18" t="str">
        <f t="shared" si="35"/>
        <v/>
      </c>
      <c r="N290" s="18" t="str">
        <f t="shared" si="36"/>
        <v/>
      </c>
      <c r="O290" s="18" t="str">
        <f t="shared" si="37"/>
        <v/>
      </c>
      <c r="P290" s="17" t="str">
        <f t="shared" si="38"/>
        <v/>
      </c>
      <c r="Q290" s="17" t="str">
        <f t="shared" si="39"/>
        <v/>
      </c>
      <c r="R290" s="19" t="str">
        <f ca="1">IF(A290="","",IF(COUNTIF(_TradeIds,A290)=0,"违规：交易编号不存在",IF(OR(B290="",B290&lt;1,B290&gt;5,B290&lt;&gt;INT(B290)),"违规：加仓序号须为1到5的整数",IF(COUNTIFS($A$2:$A$1001,A290,$B$2:$B$1001,B290)&gt;1,"违规：同一交易的加仓序号重复",IF(OR(D290="",E290="",F290=""),"计划不完整：请填写加仓价、新止损价和风险预算",IF(OR(D290&lt;=0,E290&lt;=0,F290&lt;=0,D290&lt;=E290),"违规：加仓价必须高于新止损价，金额须大于0",IF(AND(B290&gt;1,COUNTIFS($A$2:$A$1001,A290,$B$2:$B$1001,B290-1,$G$2:$G$1001,"&gt;0")=0),"违规：须先完成上一次加仓",IF(AND(B290&gt;1,E290&lt;SUMIFS($E$2:$E$1001,$A$2:$A$1001,A290,$B$2:$B$1001,B290-1)),"违规：新止损价不得低于上一次",IF(AND(B290&gt;1,F290&gt;SUMIFS($F$2:$F$1001,$A$2:$A$1001,A290,$B$2:$B$1001,B290-1)),"违规：风险预算须逐次不增加",IF(OR(_LockStatus="已锁仓",_LockStatus="解锁信息不完整"),"违规：锁仓期间禁止加仓",IF(G290="","计划可执行：建议股数见N列",IF(OR(G290&lt;=0,G290&lt;&gt;INT(G290),MOD(G290,100)&lt;&gt;0),"违规：实际股数须为100股整数倍",IF(G290&gt;N290,"违规：实际股数超过风险或金字塔上限",IF(AND(B290&gt;1,G290&gt;SUMIFS($G$2:$G$1001,$A$2:$A$1001,A290,$B$2:$B$1001,B290-1)),"违规：加仓股数须逐次不增加",IF(Q290&gt;F290,"违规：止损风险超过本次预算","通过")))))))))))))))</f>
        <v/>
      </c>
    </row>
    <row r="291" ht="17" spans="1:18">
      <c r="A291" s="13"/>
      <c r="B291" s="14"/>
      <c r="C291" s="15"/>
      <c r="D291" s="16"/>
      <c r="E291" s="16"/>
      <c r="F291" s="16"/>
      <c r="G291" s="14"/>
      <c r="H291" s="17" t="str">
        <f t="shared" si="32"/>
        <v/>
      </c>
      <c r="I291" s="18" t="str">
        <f>IF(OR(A291="",B291=""),"",IFERROR(LOOKUP(2,1/(单次交易!$A$2:$A$201=A291),单次交易!$H$2:$H$201),0)+SUMIFS($G$2:$G$1001,$A$2:$A$1001,A291,$B$2:$B$1001,"&lt;"&amp;B291))</f>
        <v/>
      </c>
      <c r="J291" s="17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17" t="str">
        <f t="shared" si="33"/>
        <v/>
      </c>
      <c r="L291" s="18" t="str">
        <f t="shared" si="34"/>
        <v/>
      </c>
      <c r="M291" s="18" t="str">
        <f t="shared" si="35"/>
        <v/>
      </c>
      <c r="N291" s="18" t="str">
        <f t="shared" si="36"/>
        <v/>
      </c>
      <c r="O291" s="18" t="str">
        <f t="shared" si="37"/>
        <v/>
      </c>
      <c r="P291" s="17" t="str">
        <f t="shared" si="38"/>
        <v/>
      </c>
      <c r="Q291" s="17" t="str">
        <f t="shared" si="39"/>
        <v/>
      </c>
      <c r="R291" s="19" t="str">
        <f ca="1">IF(A291="","",IF(COUNTIF(_TradeIds,A291)=0,"违规：交易编号不存在",IF(OR(B291="",B291&lt;1,B291&gt;5,B291&lt;&gt;INT(B291)),"违规：加仓序号须为1到5的整数",IF(COUNTIFS($A$2:$A$1001,A291,$B$2:$B$1001,B291)&gt;1,"违规：同一交易的加仓序号重复",IF(OR(D291="",E291="",F291=""),"计划不完整：请填写加仓价、新止损价和风险预算",IF(OR(D291&lt;=0,E291&lt;=0,F291&lt;=0,D291&lt;=E291),"违规：加仓价必须高于新止损价，金额须大于0",IF(AND(B291&gt;1,COUNTIFS($A$2:$A$1001,A291,$B$2:$B$1001,B291-1,$G$2:$G$1001,"&gt;0")=0),"违规：须先完成上一次加仓",IF(AND(B291&gt;1,E291&lt;SUMIFS($E$2:$E$1001,$A$2:$A$1001,A291,$B$2:$B$1001,B291-1)),"违规：新止损价不得低于上一次",IF(AND(B291&gt;1,F291&gt;SUMIFS($F$2:$F$1001,$A$2:$A$1001,A291,$B$2:$B$1001,B291-1)),"违规：风险预算须逐次不增加",IF(OR(_LockStatus="已锁仓",_LockStatus="解锁信息不完整"),"违规：锁仓期间禁止加仓",IF(G291="","计划可执行：建议股数见N列",IF(OR(G291&lt;=0,G291&lt;&gt;INT(G291),MOD(G291,100)&lt;&gt;0),"违规：实际股数须为100股整数倍",IF(G291&gt;N291,"违规：实际股数超过风险或金字塔上限",IF(AND(B291&gt;1,G291&gt;SUMIFS($G$2:$G$1001,$A$2:$A$1001,A291,$B$2:$B$1001,B291-1)),"违规：加仓股数须逐次不增加",IF(Q291&gt;F291,"违规：止损风险超过本次预算","通过")))))))))))))))</f>
        <v/>
      </c>
    </row>
    <row r="292" ht="17" spans="1:18">
      <c r="A292" s="13"/>
      <c r="B292" s="14"/>
      <c r="C292" s="15"/>
      <c r="D292" s="16"/>
      <c r="E292" s="16"/>
      <c r="F292" s="16"/>
      <c r="G292" s="14"/>
      <c r="H292" s="17" t="str">
        <f t="shared" si="32"/>
        <v/>
      </c>
      <c r="I292" s="18" t="str">
        <f>IF(OR(A292="",B292=""),"",IFERROR(LOOKUP(2,1/(单次交易!$A$2:$A$201=A292),单次交易!$H$2:$H$201),0)+SUMIFS($G$2:$G$1001,$A$2:$A$1001,A292,$B$2:$B$1001,"&lt;"&amp;B292))</f>
        <v/>
      </c>
      <c r="J292" s="17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17" t="str">
        <f t="shared" si="33"/>
        <v/>
      </c>
      <c r="L292" s="18" t="str">
        <f t="shared" si="34"/>
        <v/>
      </c>
      <c r="M292" s="18" t="str">
        <f t="shared" si="35"/>
        <v/>
      </c>
      <c r="N292" s="18" t="str">
        <f t="shared" si="36"/>
        <v/>
      </c>
      <c r="O292" s="18" t="str">
        <f t="shared" si="37"/>
        <v/>
      </c>
      <c r="P292" s="17" t="str">
        <f t="shared" si="38"/>
        <v/>
      </c>
      <c r="Q292" s="17" t="str">
        <f t="shared" si="39"/>
        <v/>
      </c>
      <c r="R292" s="19" t="str">
        <f ca="1">IF(A292="","",IF(COUNTIF(_TradeIds,A292)=0,"违规：交易编号不存在",IF(OR(B292="",B292&lt;1,B292&gt;5,B292&lt;&gt;INT(B292)),"违规：加仓序号须为1到5的整数",IF(COUNTIFS($A$2:$A$1001,A292,$B$2:$B$1001,B292)&gt;1,"违规：同一交易的加仓序号重复",IF(OR(D292="",E292="",F292=""),"计划不完整：请填写加仓价、新止损价和风险预算",IF(OR(D292&lt;=0,E292&lt;=0,F292&lt;=0,D292&lt;=E292),"违规：加仓价必须高于新止损价，金额须大于0",IF(AND(B292&gt;1,COUNTIFS($A$2:$A$1001,A292,$B$2:$B$1001,B292-1,$G$2:$G$1001,"&gt;0")=0),"违规：须先完成上一次加仓",IF(AND(B292&gt;1,E292&lt;SUMIFS($E$2:$E$1001,$A$2:$A$1001,A292,$B$2:$B$1001,B292-1)),"违规：新止损价不得低于上一次",IF(AND(B292&gt;1,F292&gt;SUMIFS($F$2:$F$1001,$A$2:$A$1001,A292,$B$2:$B$1001,B292-1)),"违规：风险预算须逐次不增加",IF(OR(_LockStatus="已锁仓",_LockStatus="解锁信息不完整"),"违规：锁仓期间禁止加仓",IF(G292="","计划可执行：建议股数见N列",IF(OR(G292&lt;=0,G292&lt;&gt;INT(G292),MOD(G292,100)&lt;&gt;0),"违规：实际股数须为100股整数倍",IF(G292&gt;N292,"违规：实际股数超过风险或金字塔上限",IF(AND(B292&gt;1,G292&gt;SUMIFS($G$2:$G$1001,$A$2:$A$1001,A292,$B$2:$B$1001,B292-1)),"违规：加仓股数须逐次不增加",IF(Q292&gt;F292,"违规：止损风险超过本次预算","通过")))))))))))))))</f>
        <v/>
      </c>
    </row>
    <row r="293" ht="17" spans="1:18">
      <c r="A293" s="13"/>
      <c r="B293" s="14"/>
      <c r="C293" s="15"/>
      <c r="D293" s="16"/>
      <c r="E293" s="16"/>
      <c r="F293" s="16"/>
      <c r="G293" s="14"/>
      <c r="H293" s="17" t="str">
        <f t="shared" si="32"/>
        <v/>
      </c>
      <c r="I293" s="18" t="str">
        <f>IF(OR(A293="",B293=""),"",IFERROR(LOOKUP(2,1/(单次交易!$A$2:$A$201=A293),单次交易!$H$2:$H$201),0)+SUMIFS($G$2:$G$1001,$A$2:$A$1001,A293,$B$2:$B$1001,"&lt;"&amp;B293))</f>
        <v/>
      </c>
      <c r="J293" s="17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17" t="str">
        <f t="shared" si="33"/>
        <v/>
      </c>
      <c r="L293" s="18" t="str">
        <f t="shared" si="34"/>
        <v/>
      </c>
      <c r="M293" s="18" t="str">
        <f t="shared" si="35"/>
        <v/>
      </c>
      <c r="N293" s="18" t="str">
        <f t="shared" si="36"/>
        <v/>
      </c>
      <c r="O293" s="18" t="str">
        <f t="shared" si="37"/>
        <v/>
      </c>
      <c r="P293" s="17" t="str">
        <f t="shared" si="38"/>
        <v/>
      </c>
      <c r="Q293" s="17" t="str">
        <f t="shared" si="39"/>
        <v/>
      </c>
      <c r="R293" s="19" t="str">
        <f ca="1">IF(A293="","",IF(COUNTIF(_TradeIds,A293)=0,"违规：交易编号不存在",IF(OR(B293="",B293&lt;1,B293&gt;5,B293&lt;&gt;INT(B293)),"违规：加仓序号须为1到5的整数",IF(COUNTIFS($A$2:$A$1001,A293,$B$2:$B$1001,B293)&gt;1,"违规：同一交易的加仓序号重复",IF(OR(D293="",E293="",F293=""),"计划不完整：请填写加仓价、新止损价和风险预算",IF(OR(D293&lt;=0,E293&lt;=0,F293&lt;=0,D293&lt;=E293),"违规：加仓价必须高于新止损价，金额须大于0",IF(AND(B293&gt;1,COUNTIFS($A$2:$A$1001,A293,$B$2:$B$1001,B293-1,$G$2:$G$1001,"&gt;0")=0),"违规：须先完成上一次加仓",IF(AND(B293&gt;1,E293&lt;SUMIFS($E$2:$E$1001,$A$2:$A$1001,A293,$B$2:$B$1001,B293-1)),"违规：新止损价不得低于上一次",IF(AND(B293&gt;1,F293&gt;SUMIFS($F$2:$F$1001,$A$2:$A$1001,A293,$B$2:$B$1001,B293-1)),"违规：风险预算须逐次不增加",IF(OR(_LockStatus="已锁仓",_LockStatus="解锁信息不完整"),"违规：锁仓期间禁止加仓",IF(G293="","计划可执行：建议股数见N列",IF(OR(G293&lt;=0,G293&lt;&gt;INT(G293),MOD(G293,100)&lt;&gt;0),"违规：实际股数须为100股整数倍",IF(G293&gt;N293,"违规：实际股数超过风险或金字塔上限",IF(AND(B293&gt;1,G293&gt;SUMIFS($G$2:$G$1001,$A$2:$A$1001,A293,$B$2:$B$1001,B293-1)),"违规：加仓股数须逐次不增加",IF(Q293&gt;F293,"违规：止损风险超过本次预算","通过")))))))))))))))</f>
        <v/>
      </c>
    </row>
    <row r="294" ht="17" spans="1:18">
      <c r="A294" s="13"/>
      <c r="B294" s="14"/>
      <c r="C294" s="15"/>
      <c r="D294" s="16"/>
      <c r="E294" s="16"/>
      <c r="F294" s="16"/>
      <c r="G294" s="14"/>
      <c r="H294" s="17" t="str">
        <f t="shared" si="32"/>
        <v/>
      </c>
      <c r="I294" s="18" t="str">
        <f>IF(OR(A294="",B294=""),"",IFERROR(LOOKUP(2,1/(单次交易!$A$2:$A$201=A294),单次交易!$H$2:$H$201),0)+SUMIFS($G$2:$G$1001,$A$2:$A$1001,A294,$B$2:$B$1001,"&lt;"&amp;B294))</f>
        <v/>
      </c>
      <c r="J294" s="17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17" t="str">
        <f t="shared" si="33"/>
        <v/>
      </c>
      <c r="L294" s="18" t="str">
        <f t="shared" si="34"/>
        <v/>
      </c>
      <c r="M294" s="18" t="str">
        <f t="shared" si="35"/>
        <v/>
      </c>
      <c r="N294" s="18" t="str">
        <f t="shared" si="36"/>
        <v/>
      </c>
      <c r="O294" s="18" t="str">
        <f t="shared" si="37"/>
        <v/>
      </c>
      <c r="P294" s="17" t="str">
        <f t="shared" si="38"/>
        <v/>
      </c>
      <c r="Q294" s="17" t="str">
        <f t="shared" si="39"/>
        <v/>
      </c>
      <c r="R294" s="19" t="str">
        <f ca="1">IF(A294="","",IF(COUNTIF(_TradeIds,A294)=0,"违规：交易编号不存在",IF(OR(B294="",B294&lt;1,B294&gt;5,B294&lt;&gt;INT(B294)),"违规：加仓序号须为1到5的整数",IF(COUNTIFS($A$2:$A$1001,A294,$B$2:$B$1001,B294)&gt;1,"违规：同一交易的加仓序号重复",IF(OR(D294="",E294="",F294=""),"计划不完整：请填写加仓价、新止损价和风险预算",IF(OR(D294&lt;=0,E294&lt;=0,F294&lt;=0,D294&lt;=E294),"违规：加仓价必须高于新止损价，金额须大于0",IF(AND(B294&gt;1,COUNTIFS($A$2:$A$1001,A294,$B$2:$B$1001,B294-1,$G$2:$G$1001,"&gt;0")=0),"违规：须先完成上一次加仓",IF(AND(B294&gt;1,E294&lt;SUMIFS($E$2:$E$1001,$A$2:$A$1001,A294,$B$2:$B$1001,B294-1)),"违规：新止损价不得低于上一次",IF(AND(B294&gt;1,F294&gt;SUMIFS($F$2:$F$1001,$A$2:$A$1001,A294,$B$2:$B$1001,B294-1)),"违规：风险预算须逐次不增加",IF(OR(_LockStatus="已锁仓",_LockStatus="解锁信息不完整"),"违规：锁仓期间禁止加仓",IF(G294="","计划可执行：建议股数见N列",IF(OR(G294&lt;=0,G294&lt;&gt;INT(G294),MOD(G294,100)&lt;&gt;0),"违规：实际股数须为100股整数倍",IF(G294&gt;N294,"违规：实际股数超过风险或金字塔上限",IF(AND(B294&gt;1,G294&gt;SUMIFS($G$2:$G$1001,$A$2:$A$1001,A294,$B$2:$B$1001,B294-1)),"违规：加仓股数须逐次不增加",IF(Q294&gt;F294,"违规：止损风险超过本次预算","通过")))))))))))))))</f>
        <v/>
      </c>
    </row>
    <row r="295" ht="17" spans="1:18">
      <c r="A295" s="13"/>
      <c r="B295" s="14"/>
      <c r="C295" s="15"/>
      <c r="D295" s="16"/>
      <c r="E295" s="16"/>
      <c r="F295" s="16"/>
      <c r="G295" s="14"/>
      <c r="H295" s="17" t="str">
        <f t="shared" si="32"/>
        <v/>
      </c>
      <c r="I295" s="18" t="str">
        <f>IF(OR(A295="",B295=""),"",IFERROR(LOOKUP(2,1/(单次交易!$A$2:$A$201=A295),单次交易!$H$2:$H$201),0)+SUMIFS($G$2:$G$1001,$A$2:$A$1001,A295,$B$2:$B$1001,"&lt;"&amp;B295))</f>
        <v/>
      </c>
      <c r="J295" s="17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17" t="str">
        <f t="shared" si="33"/>
        <v/>
      </c>
      <c r="L295" s="18" t="str">
        <f t="shared" si="34"/>
        <v/>
      </c>
      <c r="M295" s="18" t="str">
        <f t="shared" si="35"/>
        <v/>
      </c>
      <c r="N295" s="18" t="str">
        <f t="shared" si="36"/>
        <v/>
      </c>
      <c r="O295" s="18" t="str">
        <f t="shared" si="37"/>
        <v/>
      </c>
      <c r="P295" s="17" t="str">
        <f t="shared" si="38"/>
        <v/>
      </c>
      <c r="Q295" s="17" t="str">
        <f t="shared" si="39"/>
        <v/>
      </c>
      <c r="R295" s="19" t="str">
        <f ca="1">IF(A295="","",IF(COUNTIF(_TradeIds,A295)=0,"违规：交易编号不存在",IF(OR(B295="",B295&lt;1,B295&gt;5,B295&lt;&gt;INT(B295)),"违规：加仓序号须为1到5的整数",IF(COUNTIFS($A$2:$A$1001,A295,$B$2:$B$1001,B295)&gt;1,"违规：同一交易的加仓序号重复",IF(OR(D295="",E295="",F295=""),"计划不完整：请填写加仓价、新止损价和风险预算",IF(OR(D295&lt;=0,E295&lt;=0,F295&lt;=0,D295&lt;=E295),"违规：加仓价必须高于新止损价，金额须大于0",IF(AND(B295&gt;1,COUNTIFS($A$2:$A$1001,A295,$B$2:$B$1001,B295-1,$G$2:$G$1001,"&gt;0")=0),"违规：须先完成上一次加仓",IF(AND(B295&gt;1,E295&lt;SUMIFS($E$2:$E$1001,$A$2:$A$1001,A295,$B$2:$B$1001,B295-1)),"违规：新止损价不得低于上一次",IF(AND(B295&gt;1,F295&gt;SUMIFS($F$2:$F$1001,$A$2:$A$1001,A295,$B$2:$B$1001,B295-1)),"违规：风险预算须逐次不增加",IF(OR(_LockStatus="已锁仓",_LockStatus="解锁信息不完整"),"违规：锁仓期间禁止加仓",IF(G295="","计划可执行：建议股数见N列",IF(OR(G295&lt;=0,G295&lt;&gt;INT(G295),MOD(G295,100)&lt;&gt;0),"违规：实际股数须为100股整数倍",IF(G295&gt;N295,"违规：实际股数超过风险或金字塔上限",IF(AND(B295&gt;1,G295&gt;SUMIFS($G$2:$G$1001,$A$2:$A$1001,A295,$B$2:$B$1001,B295-1)),"违规：加仓股数须逐次不增加",IF(Q295&gt;F295,"违规：止损风险超过本次预算","通过")))))))))))))))</f>
        <v/>
      </c>
    </row>
    <row r="296" ht="17" spans="1:18">
      <c r="A296" s="13"/>
      <c r="B296" s="14"/>
      <c r="C296" s="15"/>
      <c r="D296" s="16"/>
      <c r="E296" s="16"/>
      <c r="F296" s="16"/>
      <c r="G296" s="14"/>
      <c r="H296" s="17" t="str">
        <f t="shared" si="32"/>
        <v/>
      </c>
      <c r="I296" s="18" t="str">
        <f>IF(OR(A296="",B296=""),"",IFERROR(LOOKUP(2,1/(单次交易!$A$2:$A$201=A296),单次交易!$H$2:$H$201),0)+SUMIFS($G$2:$G$1001,$A$2:$A$1001,A296,$B$2:$B$1001,"&lt;"&amp;B296))</f>
        <v/>
      </c>
      <c r="J296" s="17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17" t="str">
        <f t="shared" si="33"/>
        <v/>
      </c>
      <c r="L296" s="18" t="str">
        <f t="shared" si="34"/>
        <v/>
      </c>
      <c r="M296" s="18" t="str">
        <f t="shared" si="35"/>
        <v/>
      </c>
      <c r="N296" s="18" t="str">
        <f t="shared" si="36"/>
        <v/>
      </c>
      <c r="O296" s="18" t="str">
        <f t="shared" si="37"/>
        <v/>
      </c>
      <c r="P296" s="17" t="str">
        <f t="shared" si="38"/>
        <v/>
      </c>
      <c r="Q296" s="17" t="str">
        <f t="shared" si="39"/>
        <v/>
      </c>
      <c r="R296" s="19" t="str">
        <f ca="1">IF(A296="","",IF(COUNTIF(_TradeIds,A296)=0,"违规：交易编号不存在",IF(OR(B296="",B296&lt;1,B296&gt;5,B296&lt;&gt;INT(B296)),"违规：加仓序号须为1到5的整数",IF(COUNTIFS($A$2:$A$1001,A296,$B$2:$B$1001,B296)&gt;1,"违规：同一交易的加仓序号重复",IF(OR(D296="",E296="",F296=""),"计划不完整：请填写加仓价、新止损价和风险预算",IF(OR(D296&lt;=0,E296&lt;=0,F296&lt;=0,D296&lt;=E296),"违规：加仓价必须高于新止损价，金额须大于0",IF(AND(B296&gt;1,COUNTIFS($A$2:$A$1001,A296,$B$2:$B$1001,B296-1,$G$2:$G$1001,"&gt;0")=0),"违规：须先完成上一次加仓",IF(AND(B296&gt;1,E296&lt;SUMIFS($E$2:$E$1001,$A$2:$A$1001,A296,$B$2:$B$1001,B296-1)),"违规：新止损价不得低于上一次",IF(AND(B296&gt;1,F296&gt;SUMIFS($F$2:$F$1001,$A$2:$A$1001,A296,$B$2:$B$1001,B296-1)),"违规：风险预算须逐次不增加",IF(OR(_LockStatus="已锁仓",_LockStatus="解锁信息不完整"),"违规：锁仓期间禁止加仓",IF(G296="","计划可执行：建议股数见N列",IF(OR(G296&lt;=0,G296&lt;&gt;INT(G296),MOD(G296,100)&lt;&gt;0),"违规：实际股数须为100股整数倍",IF(G296&gt;N296,"违规：实际股数超过风险或金字塔上限",IF(AND(B296&gt;1,G296&gt;SUMIFS($G$2:$G$1001,$A$2:$A$1001,A296,$B$2:$B$1001,B296-1)),"违规：加仓股数须逐次不增加",IF(Q296&gt;F296,"违规：止损风险超过本次预算","通过")))))))))))))))</f>
        <v/>
      </c>
    </row>
    <row r="297" ht="17" spans="1:18">
      <c r="A297" s="13"/>
      <c r="B297" s="14"/>
      <c r="C297" s="15"/>
      <c r="D297" s="16"/>
      <c r="E297" s="16"/>
      <c r="F297" s="16"/>
      <c r="G297" s="14"/>
      <c r="H297" s="17" t="str">
        <f t="shared" si="32"/>
        <v/>
      </c>
      <c r="I297" s="18" t="str">
        <f>IF(OR(A297="",B297=""),"",IFERROR(LOOKUP(2,1/(单次交易!$A$2:$A$201=A297),单次交易!$H$2:$H$201),0)+SUMIFS($G$2:$G$1001,$A$2:$A$1001,A297,$B$2:$B$1001,"&lt;"&amp;B297))</f>
        <v/>
      </c>
      <c r="J297" s="17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17" t="str">
        <f t="shared" si="33"/>
        <v/>
      </c>
      <c r="L297" s="18" t="str">
        <f t="shared" si="34"/>
        <v/>
      </c>
      <c r="M297" s="18" t="str">
        <f t="shared" si="35"/>
        <v/>
      </c>
      <c r="N297" s="18" t="str">
        <f t="shared" si="36"/>
        <v/>
      </c>
      <c r="O297" s="18" t="str">
        <f t="shared" si="37"/>
        <v/>
      </c>
      <c r="P297" s="17" t="str">
        <f t="shared" si="38"/>
        <v/>
      </c>
      <c r="Q297" s="17" t="str">
        <f t="shared" si="39"/>
        <v/>
      </c>
      <c r="R297" s="19" t="str">
        <f ca="1">IF(A297="","",IF(COUNTIF(_TradeIds,A297)=0,"违规：交易编号不存在",IF(OR(B297="",B297&lt;1,B297&gt;5,B297&lt;&gt;INT(B297)),"违规：加仓序号须为1到5的整数",IF(COUNTIFS($A$2:$A$1001,A297,$B$2:$B$1001,B297)&gt;1,"违规：同一交易的加仓序号重复",IF(OR(D297="",E297="",F297=""),"计划不完整：请填写加仓价、新止损价和风险预算",IF(OR(D297&lt;=0,E297&lt;=0,F297&lt;=0,D297&lt;=E297),"违规：加仓价必须高于新止损价，金额须大于0",IF(AND(B297&gt;1,COUNTIFS($A$2:$A$1001,A297,$B$2:$B$1001,B297-1,$G$2:$G$1001,"&gt;0")=0),"违规：须先完成上一次加仓",IF(AND(B297&gt;1,E297&lt;SUMIFS($E$2:$E$1001,$A$2:$A$1001,A297,$B$2:$B$1001,B297-1)),"违规：新止损价不得低于上一次",IF(AND(B297&gt;1,F297&gt;SUMIFS($F$2:$F$1001,$A$2:$A$1001,A297,$B$2:$B$1001,B297-1)),"违规：风险预算须逐次不增加",IF(OR(_LockStatus="已锁仓",_LockStatus="解锁信息不完整"),"违规：锁仓期间禁止加仓",IF(G297="","计划可执行：建议股数见N列",IF(OR(G297&lt;=0,G297&lt;&gt;INT(G297),MOD(G297,100)&lt;&gt;0),"违规：实际股数须为100股整数倍",IF(G297&gt;N297,"违规：实际股数超过风险或金字塔上限",IF(AND(B297&gt;1,G297&gt;SUMIFS($G$2:$G$1001,$A$2:$A$1001,A297,$B$2:$B$1001,B297-1)),"违规：加仓股数须逐次不增加",IF(Q297&gt;F297,"违规：止损风险超过本次预算","通过")))))))))))))))</f>
        <v/>
      </c>
    </row>
    <row r="298" ht="17" spans="1:18">
      <c r="A298" s="13"/>
      <c r="B298" s="14"/>
      <c r="C298" s="15"/>
      <c r="D298" s="16"/>
      <c r="E298" s="16"/>
      <c r="F298" s="16"/>
      <c r="G298" s="14"/>
      <c r="H298" s="17" t="str">
        <f t="shared" si="32"/>
        <v/>
      </c>
      <c r="I298" s="18" t="str">
        <f>IF(OR(A298="",B298=""),"",IFERROR(LOOKUP(2,1/(单次交易!$A$2:$A$201=A298),单次交易!$H$2:$H$201),0)+SUMIFS($G$2:$G$1001,$A$2:$A$1001,A298,$B$2:$B$1001,"&lt;"&amp;B298))</f>
        <v/>
      </c>
      <c r="J298" s="17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17" t="str">
        <f t="shared" si="33"/>
        <v/>
      </c>
      <c r="L298" s="18" t="str">
        <f t="shared" si="34"/>
        <v/>
      </c>
      <c r="M298" s="18" t="str">
        <f t="shared" si="35"/>
        <v/>
      </c>
      <c r="N298" s="18" t="str">
        <f t="shared" si="36"/>
        <v/>
      </c>
      <c r="O298" s="18" t="str">
        <f t="shared" si="37"/>
        <v/>
      </c>
      <c r="P298" s="17" t="str">
        <f t="shared" si="38"/>
        <v/>
      </c>
      <c r="Q298" s="17" t="str">
        <f t="shared" si="39"/>
        <v/>
      </c>
      <c r="R298" s="19" t="str">
        <f ca="1">IF(A298="","",IF(COUNTIF(_TradeIds,A298)=0,"违规：交易编号不存在",IF(OR(B298="",B298&lt;1,B298&gt;5,B298&lt;&gt;INT(B298)),"违规：加仓序号须为1到5的整数",IF(COUNTIFS($A$2:$A$1001,A298,$B$2:$B$1001,B298)&gt;1,"违规：同一交易的加仓序号重复",IF(OR(D298="",E298="",F298=""),"计划不完整：请填写加仓价、新止损价和风险预算",IF(OR(D298&lt;=0,E298&lt;=0,F298&lt;=0,D298&lt;=E298),"违规：加仓价必须高于新止损价，金额须大于0",IF(AND(B298&gt;1,COUNTIFS($A$2:$A$1001,A298,$B$2:$B$1001,B298-1,$G$2:$G$1001,"&gt;0")=0),"违规：须先完成上一次加仓",IF(AND(B298&gt;1,E298&lt;SUMIFS($E$2:$E$1001,$A$2:$A$1001,A298,$B$2:$B$1001,B298-1)),"违规：新止损价不得低于上一次",IF(AND(B298&gt;1,F298&gt;SUMIFS($F$2:$F$1001,$A$2:$A$1001,A298,$B$2:$B$1001,B298-1)),"违规：风险预算须逐次不增加",IF(OR(_LockStatus="已锁仓",_LockStatus="解锁信息不完整"),"违规：锁仓期间禁止加仓",IF(G298="","计划可执行：建议股数见N列",IF(OR(G298&lt;=0,G298&lt;&gt;INT(G298),MOD(G298,100)&lt;&gt;0),"违规：实际股数须为100股整数倍",IF(G298&gt;N298,"违规：实际股数超过风险或金字塔上限",IF(AND(B298&gt;1,G298&gt;SUMIFS($G$2:$G$1001,$A$2:$A$1001,A298,$B$2:$B$1001,B298-1)),"违规：加仓股数须逐次不增加",IF(Q298&gt;F298,"违规：止损风险超过本次预算","通过")))))))))))))))</f>
        <v/>
      </c>
    </row>
    <row r="299" ht="17" spans="1:18">
      <c r="A299" s="13"/>
      <c r="B299" s="14"/>
      <c r="C299" s="15"/>
      <c r="D299" s="16"/>
      <c r="E299" s="16"/>
      <c r="F299" s="16"/>
      <c r="G299" s="14"/>
      <c r="H299" s="17" t="str">
        <f t="shared" si="32"/>
        <v/>
      </c>
      <c r="I299" s="18" t="str">
        <f>IF(OR(A299="",B299=""),"",IFERROR(LOOKUP(2,1/(单次交易!$A$2:$A$201=A299),单次交易!$H$2:$H$201),0)+SUMIFS($G$2:$G$1001,$A$2:$A$1001,A299,$B$2:$B$1001,"&lt;"&amp;B299))</f>
        <v/>
      </c>
      <c r="J299" s="17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17" t="str">
        <f t="shared" si="33"/>
        <v/>
      </c>
      <c r="L299" s="18" t="str">
        <f t="shared" si="34"/>
        <v/>
      </c>
      <c r="M299" s="18" t="str">
        <f t="shared" si="35"/>
        <v/>
      </c>
      <c r="N299" s="18" t="str">
        <f t="shared" si="36"/>
        <v/>
      </c>
      <c r="O299" s="18" t="str">
        <f t="shared" si="37"/>
        <v/>
      </c>
      <c r="P299" s="17" t="str">
        <f t="shared" si="38"/>
        <v/>
      </c>
      <c r="Q299" s="17" t="str">
        <f t="shared" si="39"/>
        <v/>
      </c>
      <c r="R299" s="19" t="str">
        <f ca="1">IF(A299="","",IF(COUNTIF(_TradeIds,A299)=0,"违规：交易编号不存在",IF(OR(B299="",B299&lt;1,B299&gt;5,B299&lt;&gt;INT(B299)),"违规：加仓序号须为1到5的整数",IF(COUNTIFS($A$2:$A$1001,A299,$B$2:$B$1001,B299)&gt;1,"违规：同一交易的加仓序号重复",IF(OR(D299="",E299="",F299=""),"计划不完整：请填写加仓价、新止损价和风险预算",IF(OR(D299&lt;=0,E299&lt;=0,F299&lt;=0,D299&lt;=E299),"违规：加仓价必须高于新止损价，金额须大于0",IF(AND(B299&gt;1,COUNTIFS($A$2:$A$1001,A299,$B$2:$B$1001,B299-1,$G$2:$G$1001,"&gt;0")=0),"违规：须先完成上一次加仓",IF(AND(B299&gt;1,E299&lt;SUMIFS($E$2:$E$1001,$A$2:$A$1001,A299,$B$2:$B$1001,B299-1)),"违规：新止损价不得低于上一次",IF(AND(B299&gt;1,F299&gt;SUMIFS($F$2:$F$1001,$A$2:$A$1001,A299,$B$2:$B$1001,B299-1)),"违规：风险预算须逐次不增加",IF(OR(_LockStatus="已锁仓",_LockStatus="解锁信息不完整"),"违规：锁仓期间禁止加仓",IF(G299="","计划可执行：建议股数见N列",IF(OR(G299&lt;=0,G299&lt;&gt;INT(G299),MOD(G299,100)&lt;&gt;0),"违规：实际股数须为100股整数倍",IF(G299&gt;N299,"违规：实际股数超过风险或金字塔上限",IF(AND(B299&gt;1,G299&gt;SUMIFS($G$2:$G$1001,$A$2:$A$1001,A299,$B$2:$B$1001,B299-1)),"违规：加仓股数须逐次不增加",IF(Q299&gt;F299,"违规：止损风险超过本次预算","通过")))))))))))))))</f>
        <v/>
      </c>
    </row>
    <row r="300" ht="17" spans="1:18">
      <c r="A300" s="13"/>
      <c r="B300" s="14"/>
      <c r="C300" s="15"/>
      <c r="D300" s="16"/>
      <c r="E300" s="16"/>
      <c r="F300" s="16"/>
      <c r="G300" s="14"/>
      <c r="H300" s="17" t="str">
        <f t="shared" si="32"/>
        <v/>
      </c>
      <c r="I300" s="18" t="str">
        <f>IF(OR(A300="",B300=""),"",IFERROR(LOOKUP(2,1/(单次交易!$A$2:$A$201=A300),单次交易!$H$2:$H$201),0)+SUMIFS($G$2:$G$1001,$A$2:$A$1001,A300,$B$2:$B$1001,"&lt;"&amp;B300))</f>
        <v/>
      </c>
      <c r="J300" s="17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17" t="str">
        <f t="shared" si="33"/>
        <v/>
      </c>
      <c r="L300" s="18" t="str">
        <f t="shared" si="34"/>
        <v/>
      </c>
      <c r="M300" s="18" t="str">
        <f t="shared" si="35"/>
        <v/>
      </c>
      <c r="N300" s="18" t="str">
        <f t="shared" si="36"/>
        <v/>
      </c>
      <c r="O300" s="18" t="str">
        <f t="shared" si="37"/>
        <v/>
      </c>
      <c r="P300" s="17" t="str">
        <f t="shared" si="38"/>
        <v/>
      </c>
      <c r="Q300" s="17" t="str">
        <f t="shared" si="39"/>
        <v/>
      </c>
      <c r="R300" s="19" t="str">
        <f ca="1">IF(A300="","",IF(COUNTIF(_TradeIds,A300)=0,"违规：交易编号不存在",IF(OR(B300="",B300&lt;1,B300&gt;5,B300&lt;&gt;INT(B300)),"违规：加仓序号须为1到5的整数",IF(COUNTIFS($A$2:$A$1001,A300,$B$2:$B$1001,B300)&gt;1,"违规：同一交易的加仓序号重复",IF(OR(D300="",E300="",F300=""),"计划不完整：请填写加仓价、新止损价和风险预算",IF(OR(D300&lt;=0,E300&lt;=0,F300&lt;=0,D300&lt;=E300),"违规：加仓价必须高于新止损价，金额须大于0",IF(AND(B300&gt;1,COUNTIFS($A$2:$A$1001,A300,$B$2:$B$1001,B300-1,$G$2:$G$1001,"&gt;0")=0),"违规：须先完成上一次加仓",IF(AND(B300&gt;1,E300&lt;SUMIFS($E$2:$E$1001,$A$2:$A$1001,A300,$B$2:$B$1001,B300-1)),"违规：新止损价不得低于上一次",IF(AND(B300&gt;1,F300&gt;SUMIFS($F$2:$F$1001,$A$2:$A$1001,A300,$B$2:$B$1001,B300-1)),"违规：风险预算须逐次不增加",IF(OR(_LockStatus="已锁仓",_LockStatus="解锁信息不完整"),"违规：锁仓期间禁止加仓",IF(G300="","计划可执行：建议股数见N列",IF(OR(G300&lt;=0,G300&lt;&gt;INT(G300),MOD(G300,100)&lt;&gt;0),"违规：实际股数须为100股整数倍",IF(G300&gt;N300,"违规：实际股数超过风险或金字塔上限",IF(AND(B300&gt;1,G300&gt;SUMIFS($G$2:$G$1001,$A$2:$A$1001,A300,$B$2:$B$1001,B300-1)),"违规：加仓股数须逐次不增加",IF(Q300&gt;F300,"违规：止损风险超过本次预算","通过")))))))))))))))</f>
        <v/>
      </c>
    </row>
    <row r="301" ht="17" spans="1:18">
      <c r="A301" s="13"/>
      <c r="B301" s="14"/>
      <c r="C301" s="15"/>
      <c r="D301" s="16"/>
      <c r="E301" s="16"/>
      <c r="F301" s="16"/>
      <c r="G301" s="14"/>
      <c r="H301" s="17" t="str">
        <f t="shared" si="32"/>
        <v/>
      </c>
      <c r="I301" s="18" t="str">
        <f>IF(OR(A301="",B301=""),"",IFERROR(LOOKUP(2,1/(单次交易!$A$2:$A$201=A301),单次交易!$H$2:$H$201),0)+SUMIFS($G$2:$G$1001,$A$2:$A$1001,A301,$B$2:$B$1001,"&lt;"&amp;B301))</f>
        <v/>
      </c>
      <c r="J301" s="17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17" t="str">
        <f t="shared" si="33"/>
        <v/>
      </c>
      <c r="L301" s="18" t="str">
        <f t="shared" si="34"/>
        <v/>
      </c>
      <c r="M301" s="18" t="str">
        <f t="shared" si="35"/>
        <v/>
      </c>
      <c r="N301" s="18" t="str">
        <f t="shared" si="36"/>
        <v/>
      </c>
      <c r="O301" s="18" t="str">
        <f t="shared" si="37"/>
        <v/>
      </c>
      <c r="P301" s="17" t="str">
        <f t="shared" si="38"/>
        <v/>
      </c>
      <c r="Q301" s="17" t="str">
        <f t="shared" si="39"/>
        <v/>
      </c>
      <c r="R301" s="19" t="str">
        <f ca="1">IF(A301="","",IF(COUNTIF(_TradeIds,A301)=0,"违规：交易编号不存在",IF(OR(B301="",B301&lt;1,B301&gt;5,B301&lt;&gt;INT(B301)),"违规：加仓序号须为1到5的整数",IF(COUNTIFS($A$2:$A$1001,A301,$B$2:$B$1001,B301)&gt;1,"违规：同一交易的加仓序号重复",IF(OR(D301="",E301="",F301=""),"计划不完整：请填写加仓价、新止损价和风险预算",IF(OR(D301&lt;=0,E301&lt;=0,F301&lt;=0,D301&lt;=E301),"违规：加仓价必须高于新止损价，金额须大于0",IF(AND(B301&gt;1,COUNTIFS($A$2:$A$1001,A301,$B$2:$B$1001,B301-1,$G$2:$G$1001,"&gt;0")=0),"违规：须先完成上一次加仓",IF(AND(B301&gt;1,E301&lt;SUMIFS($E$2:$E$1001,$A$2:$A$1001,A301,$B$2:$B$1001,B301-1)),"违规：新止损价不得低于上一次",IF(AND(B301&gt;1,F301&gt;SUMIFS($F$2:$F$1001,$A$2:$A$1001,A301,$B$2:$B$1001,B301-1)),"违规：风险预算须逐次不增加",IF(OR(_LockStatus="已锁仓",_LockStatus="解锁信息不完整"),"违规：锁仓期间禁止加仓",IF(G301="","计划可执行：建议股数见N列",IF(OR(G301&lt;=0,G301&lt;&gt;INT(G301),MOD(G301,100)&lt;&gt;0),"违规：实际股数须为100股整数倍",IF(G301&gt;N301,"违规：实际股数超过风险或金字塔上限",IF(AND(B301&gt;1,G301&gt;SUMIFS($G$2:$G$1001,$A$2:$A$1001,A301,$B$2:$B$1001,B301-1)),"违规：加仓股数须逐次不增加",IF(Q301&gt;F301,"违规：止损风险超过本次预算","通过")))))))))))))))</f>
        <v/>
      </c>
    </row>
    <row r="302" ht="17" spans="1:18">
      <c r="A302" s="13"/>
      <c r="B302" s="14"/>
      <c r="C302" s="15"/>
      <c r="D302" s="16"/>
      <c r="E302" s="16"/>
      <c r="F302" s="16"/>
      <c r="G302" s="14"/>
      <c r="H302" s="17" t="str">
        <f t="shared" si="32"/>
        <v/>
      </c>
      <c r="I302" s="18" t="str">
        <f>IF(OR(A302="",B302=""),"",IFERROR(LOOKUP(2,1/(单次交易!$A$2:$A$201=A302),单次交易!$H$2:$H$201),0)+SUMIFS($G$2:$G$1001,$A$2:$A$1001,A302,$B$2:$B$1001,"&lt;"&amp;B302))</f>
        <v/>
      </c>
      <c r="J302" s="17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17" t="str">
        <f t="shared" si="33"/>
        <v/>
      </c>
      <c r="L302" s="18" t="str">
        <f t="shared" si="34"/>
        <v/>
      </c>
      <c r="M302" s="18" t="str">
        <f t="shared" si="35"/>
        <v/>
      </c>
      <c r="N302" s="18" t="str">
        <f t="shared" si="36"/>
        <v/>
      </c>
      <c r="O302" s="18" t="str">
        <f t="shared" si="37"/>
        <v/>
      </c>
      <c r="P302" s="17" t="str">
        <f t="shared" si="38"/>
        <v/>
      </c>
      <c r="Q302" s="17" t="str">
        <f t="shared" si="39"/>
        <v/>
      </c>
      <c r="R302" s="19" t="str">
        <f ca="1">IF(A302="","",IF(COUNTIF(_TradeIds,A302)=0,"违规：交易编号不存在",IF(OR(B302="",B302&lt;1,B302&gt;5,B302&lt;&gt;INT(B302)),"违规：加仓序号须为1到5的整数",IF(COUNTIFS($A$2:$A$1001,A302,$B$2:$B$1001,B302)&gt;1,"违规：同一交易的加仓序号重复",IF(OR(D302="",E302="",F302=""),"计划不完整：请填写加仓价、新止损价和风险预算",IF(OR(D302&lt;=0,E302&lt;=0,F302&lt;=0,D302&lt;=E302),"违规：加仓价必须高于新止损价，金额须大于0",IF(AND(B302&gt;1,COUNTIFS($A$2:$A$1001,A302,$B$2:$B$1001,B302-1,$G$2:$G$1001,"&gt;0")=0),"违规：须先完成上一次加仓",IF(AND(B302&gt;1,E302&lt;SUMIFS($E$2:$E$1001,$A$2:$A$1001,A302,$B$2:$B$1001,B302-1)),"违规：新止损价不得低于上一次",IF(AND(B302&gt;1,F302&gt;SUMIFS($F$2:$F$1001,$A$2:$A$1001,A302,$B$2:$B$1001,B302-1)),"违规：风险预算须逐次不增加",IF(OR(_LockStatus="已锁仓",_LockStatus="解锁信息不完整"),"违规：锁仓期间禁止加仓",IF(G302="","计划可执行：建议股数见N列",IF(OR(G302&lt;=0,G302&lt;&gt;INT(G302),MOD(G302,100)&lt;&gt;0),"违规：实际股数须为100股整数倍",IF(G302&gt;N302,"违规：实际股数超过风险或金字塔上限",IF(AND(B302&gt;1,G302&gt;SUMIFS($G$2:$G$1001,$A$2:$A$1001,A302,$B$2:$B$1001,B302-1)),"违规：加仓股数须逐次不增加",IF(Q302&gt;F302,"违规：止损风险超过本次预算","通过")))))))))))))))</f>
        <v/>
      </c>
    </row>
    <row r="303" ht="17" spans="1:18">
      <c r="A303" s="13"/>
      <c r="B303" s="14"/>
      <c r="C303" s="15"/>
      <c r="D303" s="16"/>
      <c r="E303" s="16"/>
      <c r="F303" s="16"/>
      <c r="G303" s="14"/>
      <c r="H303" s="17" t="str">
        <f t="shared" si="32"/>
        <v/>
      </c>
      <c r="I303" s="18" t="str">
        <f>IF(OR(A303="",B303=""),"",IFERROR(LOOKUP(2,1/(单次交易!$A$2:$A$201=A303),单次交易!$H$2:$H$201),0)+SUMIFS($G$2:$G$1001,$A$2:$A$1001,A303,$B$2:$B$1001,"&lt;"&amp;B303))</f>
        <v/>
      </c>
      <c r="J303" s="17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17" t="str">
        <f t="shared" si="33"/>
        <v/>
      </c>
      <c r="L303" s="18" t="str">
        <f t="shared" si="34"/>
        <v/>
      </c>
      <c r="M303" s="18" t="str">
        <f t="shared" si="35"/>
        <v/>
      </c>
      <c r="N303" s="18" t="str">
        <f t="shared" si="36"/>
        <v/>
      </c>
      <c r="O303" s="18" t="str">
        <f t="shared" si="37"/>
        <v/>
      </c>
      <c r="P303" s="17" t="str">
        <f t="shared" si="38"/>
        <v/>
      </c>
      <c r="Q303" s="17" t="str">
        <f t="shared" si="39"/>
        <v/>
      </c>
      <c r="R303" s="19" t="str">
        <f ca="1">IF(A303="","",IF(COUNTIF(_TradeIds,A303)=0,"违规：交易编号不存在",IF(OR(B303="",B303&lt;1,B303&gt;5,B303&lt;&gt;INT(B303)),"违规：加仓序号须为1到5的整数",IF(COUNTIFS($A$2:$A$1001,A303,$B$2:$B$1001,B303)&gt;1,"违规：同一交易的加仓序号重复",IF(OR(D303="",E303="",F303=""),"计划不完整：请填写加仓价、新止损价和风险预算",IF(OR(D303&lt;=0,E303&lt;=0,F303&lt;=0,D303&lt;=E303),"违规：加仓价必须高于新止损价，金额须大于0",IF(AND(B303&gt;1,COUNTIFS($A$2:$A$1001,A303,$B$2:$B$1001,B303-1,$G$2:$G$1001,"&gt;0")=0),"违规：须先完成上一次加仓",IF(AND(B303&gt;1,E303&lt;SUMIFS($E$2:$E$1001,$A$2:$A$1001,A303,$B$2:$B$1001,B303-1)),"违规：新止损价不得低于上一次",IF(AND(B303&gt;1,F303&gt;SUMIFS($F$2:$F$1001,$A$2:$A$1001,A303,$B$2:$B$1001,B303-1)),"违规：风险预算须逐次不增加",IF(OR(_LockStatus="已锁仓",_LockStatus="解锁信息不完整"),"违规：锁仓期间禁止加仓",IF(G303="","计划可执行：建议股数见N列",IF(OR(G303&lt;=0,G303&lt;&gt;INT(G303),MOD(G303,100)&lt;&gt;0),"违规：实际股数须为100股整数倍",IF(G303&gt;N303,"违规：实际股数超过风险或金字塔上限",IF(AND(B303&gt;1,G303&gt;SUMIFS($G$2:$G$1001,$A$2:$A$1001,A303,$B$2:$B$1001,B303-1)),"违规：加仓股数须逐次不增加",IF(Q303&gt;F303,"违规：止损风险超过本次预算","通过")))))))))))))))</f>
        <v/>
      </c>
    </row>
    <row r="304" ht="17" spans="1:18">
      <c r="A304" s="13"/>
      <c r="B304" s="14"/>
      <c r="C304" s="15"/>
      <c r="D304" s="16"/>
      <c r="E304" s="16"/>
      <c r="F304" s="16"/>
      <c r="G304" s="14"/>
      <c r="H304" s="17" t="str">
        <f t="shared" si="32"/>
        <v/>
      </c>
      <c r="I304" s="18" t="str">
        <f>IF(OR(A304="",B304=""),"",IFERROR(LOOKUP(2,1/(单次交易!$A$2:$A$201=A304),单次交易!$H$2:$H$201),0)+SUMIFS($G$2:$G$1001,$A$2:$A$1001,A304,$B$2:$B$1001,"&lt;"&amp;B304))</f>
        <v/>
      </c>
      <c r="J304" s="17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17" t="str">
        <f t="shared" si="33"/>
        <v/>
      </c>
      <c r="L304" s="18" t="str">
        <f t="shared" si="34"/>
        <v/>
      </c>
      <c r="M304" s="18" t="str">
        <f t="shared" si="35"/>
        <v/>
      </c>
      <c r="N304" s="18" t="str">
        <f t="shared" si="36"/>
        <v/>
      </c>
      <c r="O304" s="18" t="str">
        <f t="shared" si="37"/>
        <v/>
      </c>
      <c r="P304" s="17" t="str">
        <f t="shared" si="38"/>
        <v/>
      </c>
      <c r="Q304" s="17" t="str">
        <f t="shared" si="39"/>
        <v/>
      </c>
      <c r="R304" s="19" t="str">
        <f ca="1">IF(A304="","",IF(COUNTIF(_TradeIds,A304)=0,"违规：交易编号不存在",IF(OR(B304="",B304&lt;1,B304&gt;5,B304&lt;&gt;INT(B304)),"违规：加仓序号须为1到5的整数",IF(COUNTIFS($A$2:$A$1001,A304,$B$2:$B$1001,B304)&gt;1,"违规：同一交易的加仓序号重复",IF(OR(D304="",E304="",F304=""),"计划不完整：请填写加仓价、新止损价和风险预算",IF(OR(D304&lt;=0,E304&lt;=0,F304&lt;=0,D304&lt;=E304),"违规：加仓价必须高于新止损价，金额须大于0",IF(AND(B304&gt;1,COUNTIFS($A$2:$A$1001,A304,$B$2:$B$1001,B304-1,$G$2:$G$1001,"&gt;0")=0),"违规：须先完成上一次加仓",IF(AND(B304&gt;1,E304&lt;SUMIFS($E$2:$E$1001,$A$2:$A$1001,A304,$B$2:$B$1001,B304-1)),"违规：新止损价不得低于上一次",IF(AND(B304&gt;1,F304&gt;SUMIFS($F$2:$F$1001,$A$2:$A$1001,A304,$B$2:$B$1001,B304-1)),"违规：风险预算须逐次不增加",IF(OR(_LockStatus="已锁仓",_LockStatus="解锁信息不完整"),"违规：锁仓期间禁止加仓",IF(G304="","计划可执行：建议股数见N列",IF(OR(G304&lt;=0,G304&lt;&gt;INT(G304),MOD(G304,100)&lt;&gt;0),"违规：实际股数须为100股整数倍",IF(G304&gt;N304,"违规：实际股数超过风险或金字塔上限",IF(AND(B304&gt;1,G304&gt;SUMIFS($G$2:$G$1001,$A$2:$A$1001,A304,$B$2:$B$1001,B304-1)),"违规：加仓股数须逐次不增加",IF(Q304&gt;F304,"违规：止损风险超过本次预算","通过")))))))))))))))</f>
        <v/>
      </c>
    </row>
    <row r="305" ht="17" spans="1:18">
      <c r="A305" s="13"/>
      <c r="B305" s="14"/>
      <c r="C305" s="15"/>
      <c r="D305" s="16"/>
      <c r="E305" s="16"/>
      <c r="F305" s="16"/>
      <c r="G305" s="14"/>
      <c r="H305" s="17" t="str">
        <f t="shared" si="32"/>
        <v/>
      </c>
      <c r="I305" s="18" t="str">
        <f>IF(OR(A305="",B305=""),"",IFERROR(LOOKUP(2,1/(单次交易!$A$2:$A$201=A305),单次交易!$H$2:$H$201),0)+SUMIFS($G$2:$G$1001,$A$2:$A$1001,A305,$B$2:$B$1001,"&lt;"&amp;B305))</f>
        <v/>
      </c>
      <c r="J305" s="17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17" t="str">
        <f t="shared" si="33"/>
        <v/>
      </c>
      <c r="L305" s="18" t="str">
        <f t="shared" si="34"/>
        <v/>
      </c>
      <c r="M305" s="18" t="str">
        <f t="shared" si="35"/>
        <v/>
      </c>
      <c r="N305" s="18" t="str">
        <f t="shared" si="36"/>
        <v/>
      </c>
      <c r="O305" s="18" t="str">
        <f t="shared" si="37"/>
        <v/>
      </c>
      <c r="P305" s="17" t="str">
        <f t="shared" si="38"/>
        <v/>
      </c>
      <c r="Q305" s="17" t="str">
        <f t="shared" si="39"/>
        <v/>
      </c>
      <c r="R305" s="19" t="str">
        <f ca="1">IF(A305="","",IF(COUNTIF(_TradeIds,A305)=0,"违规：交易编号不存在",IF(OR(B305="",B305&lt;1,B305&gt;5,B305&lt;&gt;INT(B305)),"违规：加仓序号须为1到5的整数",IF(COUNTIFS($A$2:$A$1001,A305,$B$2:$B$1001,B305)&gt;1,"违规：同一交易的加仓序号重复",IF(OR(D305="",E305="",F305=""),"计划不完整：请填写加仓价、新止损价和风险预算",IF(OR(D305&lt;=0,E305&lt;=0,F305&lt;=0,D305&lt;=E305),"违规：加仓价必须高于新止损价，金额须大于0",IF(AND(B305&gt;1,COUNTIFS($A$2:$A$1001,A305,$B$2:$B$1001,B305-1,$G$2:$G$1001,"&gt;0")=0),"违规：须先完成上一次加仓",IF(AND(B305&gt;1,E305&lt;SUMIFS($E$2:$E$1001,$A$2:$A$1001,A305,$B$2:$B$1001,B305-1)),"违规：新止损价不得低于上一次",IF(AND(B305&gt;1,F305&gt;SUMIFS($F$2:$F$1001,$A$2:$A$1001,A305,$B$2:$B$1001,B305-1)),"违规：风险预算须逐次不增加",IF(OR(_LockStatus="已锁仓",_LockStatus="解锁信息不完整"),"违规：锁仓期间禁止加仓",IF(G305="","计划可执行：建议股数见N列",IF(OR(G305&lt;=0,G305&lt;&gt;INT(G305),MOD(G305,100)&lt;&gt;0),"违规：实际股数须为100股整数倍",IF(G305&gt;N305,"违规：实际股数超过风险或金字塔上限",IF(AND(B305&gt;1,G305&gt;SUMIFS($G$2:$G$1001,$A$2:$A$1001,A305,$B$2:$B$1001,B305-1)),"违规：加仓股数须逐次不增加",IF(Q305&gt;F305,"违规：止损风险超过本次预算","通过")))))))))))))))</f>
        <v/>
      </c>
    </row>
    <row r="306" ht="17" spans="1:18">
      <c r="A306" s="13"/>
      <c r="B306" s="14"/>
      <c r="C306" s="15"/>
      <c r="D306" s="16"/>
      <c r="E306" s="16"/>
      <c r="F306" s="16"/>
      <c r="G306" s="14"/>
      <c r="H306" s="17" t="str">
        <f t="shared" si="32"/>
        <v/>
      </c>
      <c r="I306" s="18" t="str">
        <f>IF(OR(A306="",B306=""),"",IFERROR(LOOKUP(2,1/(单次交易!$A$2:$A$201=A306),单次交易!$H$2:$H$201),0)+SUMIFS($G$2:$G$1001,$A$2:$A$1001,A306,$B$2:$B$1001,"&lt;"&amp;B306))</f>
        <v/>
      </c>
      <c r="J306" s="17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17" t="str">
        <f t="shared" si="33"/>
        <v/>
      </c>
      <c r="L306" s="18" t="str">
        <f t="shared" si="34"/>
        <v/>
      </c>
      <c r="M306" s="18" t="str">
        <f t="shared" si="35"/>
        <v/>
      </c>
      <c r="N306" s="18" t="str">
        <f t="shared" si="36"/>
        <v/>
      </c>
      <c r="O306" s="18" t="str">
        <f t="shared" si="37"/>
        <v/>
      </c>
      <c r="P306" s="17" t="str">
        <f t="shared" si="38"/>
        <v/>
      </c>
      <c r="Q306" s="17" t="str">
        <f t="shared" si="39"/>
        <v/>
      </c>
      <c r="R306" s="19" t="str">
        <f ca="1">IF(A306="","",IF(COUNTIF(_TradeIds,A306)=0,"违规：交易编号不存在",IF(OR(B306="",B306&lt;1,B306&gt;5,B306&lt;&gt;INT(B306)),"违规：加仓序号须为1到5的整数",IF(COUNTIFS($A$2:$A$1001,A306,$B$2:$B$1001,B306)&gt;1,"违规：同一交易的加仓序号重复",IF(OR(D306="",E306="",F306=""),"计划不完整：请填写加仓价、新止损价和风险预算",IF(OR(D306&lt;=0,E306&lt;=0,F306&lt;=0,D306&lt;=E306),"违规：加仓价必须高于新止损价，金额须大于0",IF(AND(B306&gt;1,COUNTIFS($A$2:$A$1001,A306,$B$2:$B$1001,B306-1,$G$2:$G$1001,"&gt;0")=0),"违规：须先完成上一次加仓",IF(AND(B306&gt;1,E306&lt;SUMIFS($E$2:$E$1001,$A$2:$A$1001,A306,$B$2:$B$1001,B306-1)),"违规：新止损价不得低于上一次",IF(AND(B306&gt;1,F306&gt;SUMIFS($F$2:$F$1001,$A$2:$A$1001,A306,$B$2:$B$1001,B306-1)),"违规：风险预算须逐次不增加",IF(OR(_LockStatus="已锁仓",_LockStatus="解锁信息不完整"),"违规：锁仓期间禁止加仓",IF(G306="","计划可执行：建议股数见N列",IF(OR(G306&lt;=0,G306&lt;&gt;INT(G306),MOD(G306,100)&lt;&gt;0),"违规：实际股数须为100股整数倍",IF(G306&gt;N306,"违规：实际股数超过风险或金字塔上限",IF(AND(B306&gt;1,G306&gt;SUMIFS($G$2:$G$1001,$A$2:$A$1001,A306,$B$2:$B$1001,B306-1)),"违规：加仓股数须逐次不增加",IF(Q306&gt;F306,"违规：止损风险超过本次预算","通过")))))))))))))))</f>
        <v/>
      </c>
    </row>
    <row r="307" ht="17" spans="1:18">
      <c r="A307" s="13"/>
      <c r="B307" s="14"/>
      <c r="C307" s="15"/>
      <c r="D307" s="16"/>
      <c r="E307" s="16"/>
      <c r="F307" s="16"/>
      <c r="G307" s="14"/>
      <c r="H307" s="17" t="str">
        <f t="shared" si="32"/>
        <v/>
      </c>
      <c r="I307" s="18" t="str">
        <f>IF(OR(A307="",B307=""),"",IFERROR(LOOKUP(2,1/(单次交易!$A$2:$A$201=A307),单次交易!$H$2:$H$201),0)+SUMIFS($G$2:$G$1001,$A$2:$A$1001,A307,$B$2:$B$1001,"&lt;"&amp;B307))</f>
        <v/>
      </c>
      <c r="J307" s="17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17" t="str">
        <f t="shared" si="33"/>
        <v/>
      </c>
      <c r="L307" s="18" t="str">
        <f t="shared" si="34"/>
        <v/>
      </c>
      <c r="M307" s="18" t="str">
        <f t="shared" si="35"/>
        <v/>
      </c>
      <c r="N307" s="18" t="str">
        <f t="shared" si="36"/>
        <v/>
      </c>
      <c r="O307" s="18" t="str">
        <f t="shared" si="37"/>
        <v/>
      </c>
      <c r="P307" s="17" t="str">
        <f t="shared" si="38"/>
        <v/>
      </c>
      <c r="Q307" s="17" t="str">
        <f t="shared" si="39"/>
        <v/>
      </c>
      <c r="R307" s="19" t="str">
        <f ca="1">IF(A307="","",IF(COUNTIF(_TradeIds,A307)=0,"违规：交易编号不存在",IF(OR(B307="",B307&lt;1,B307&gt;5,B307&lt;&gt;INT(B307)),"违规：加仓序号须为1到5的整数",IF(COUNTIFS($A$2:$A$1001,A307,$B$2:$B$1001,B307)&gt;1,"违规：同一交易的加仓序号重复",IF(OR(D307="",E307="",F307=""),"计划不完整：请填写加仓价、新止损价和风险预算",IF(OR(D307&lt;=0,E307&lt;=0,F307&lt;=0,D307&lt;=E307),"违规：加仓价必须高于新止损价，金额须大于0",IF(AND(B307&gt;1,COUNTIFS($A$2:$A$1001,A307,$B$2:$B$1001,B307-1,$G$2:$G$1001,"&gt;0")=0),"违规：须先完成上一次加仓",IF(AND(B307&gt;1,E307&lt;SUMIFS($E$2:$E$1001,$A$2:$A$1001,A307,$B$2:$B$1001,B307-1)),"违规：新止损价不得低于上一次",IF(AND(B307&gt;1,F307&gt;SUMIFS($F$2:$F$1001,$A$2:$A$1001,A307,$B$2:$B$1001,B307-1)),"违规：风险预算须逐次不增加",IF(OR(_LockStatus="已锁仓",_LockStatus="解锁信息不完整"),"违规：锁仓期间禁止加仓",IF(G307="","计划可执行：建议股数见N列",IF(OR(G307&lt;=0,G307&lt;&gt;INT(G307),MOD(G307,100)&lt;&gt;0),"违规：实际股数须为100股整数倍",IF(G307&gt;N307,"违规：实际股数超过风险或金字塔上限",IF(AND(B307&gt;1,G307&gt;SUMIFS($G$2:$G$1001,$A$2:$A$1001,A307,$B$2:$B$1001,B307-1)),"违规：加仓股数须逐次不增加",IF(Q307&gt;F307,"违规：止损风险超过本次预算","通过")))))))))))))))</f>
        <v/>
      </c>
    </row>
    <row r="308" ht="17" spans="1:18">
      <c r="A308" s="13"/>
      <c r="B308" s="14"/>
      <c r="C308" s="15"/>
      <c r="D308" s="16"/>
      <c r="E308" s="16"/>
      <c r="F308" s="16"/>
      <c r="G308" s="14"/>
      <c r="H308" s="17" t="str">
        <f t="shared" si="32"/>
        <v/>
      </c>
      <c r="I308" s="18" t="str">
        <f>IF(OR(A308="",B308=""),"",IFERROR(LOOKUP(2,1/(单次交易!$A$2:$A$201=A308),单次交易!$H$2:$H$201),0)+SUMIFS($G$2:$G$1001,$A$2:$A$1001,A308,$B$2:$B$1001,"&lt;"&amp;B308))</f>
        <v/>
      </c>
      <c r="J308" s="17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17" t="str">
        <f t="shared" si="33"/>
        <v/>
      </c>
      <c r="L308" s="18" t="str">
        <f t="shared" si="34"/>
        <v/>
      </c>
      <c r="M308" s="18" t="str">
        <f t="shared" si="35"/>
        <v/>
      </c>
      <c r="N308" s="18" t="str">
        <f t="shared" si="36"/>
        <v/>
      </c>
      <c r="O308" s="18" t="str">
        <f t="shared" si="37"/>
        <v/>
      </c>
      <c r="P308" s="17" t="str">
        <f t="shared" si="38"/>
        <v/>
      </c>
      <c r="Q308" s="17" t="str">
        <f t="shared" si="39"/>
        <v/>
      </c>
      <c r="R308" s="19" t="str">
        <f ca="1">IF(A308="","",IF(COUNTIF(_TradeIds,A308)=0,"违规：交易编号不存在",IF(OR(B308="",B308&lt;1,B308&gt;5,B308&lt;&gt;INT(B308)),"违规：加仓序号须为1到5的整数",IF(COUNTIFS($A$2:$A$1001,A308,$B$2:$B$1001,B308)&gt;1,"违规：同一交易的加仓序号重复",IF(OR(D308="",E308="",F308=""),"计划不完整：请填写加仓价、新止损价和风险预算",IF(OR(D308&lt;=0,E308&lt;=0,F308&lt;=0,D308&lt;=E308),"违规：加仓价必须高于新止损价，金额须大于0",IF(AND(B308&gt;1,COUNTIFS($A$2:$A$1001,A308,$B$2:$B$1001,B308-1,$G$2:$G$1001,"&gt;0")=0),"违规：须先完成上一次加仓",IF(AND(B308&gt;1,E308&lt;SUMIFS($E$2:$E$1001,$A$2:$A$1001,A308,$B$2:$B$1001,B308-1)),"违规：新止损价不得低于上一次",IF(AND(B308&gt;1,F308&gt;SUMIFS($F$2:$F$1001,$A$2:$A$1001,A308,$B$2:$B$1001,B308-1)),"违规：风险预算须逐次不增加",IF(OR(_LockStatus="已锁仓",_LockStatus="解锁信息不完整"),"违规：锁仓期间禁止加仓",IF(G308="","计划可执行：建议股数见N列",IF(OR(G308&lt;=0,G308&lt;&gt;INT(G308),MOD(G308,100)&lt;&gt;0),"违规：实际股数须为100股整数倍",IF(G308&gt;N308,"违规：实际股数超过风险或金字塔上限",IF(AND(B308&gt;1,G308&gt;SUMIFS($G$2:$G$1001,$A$2:$A$1001,A308,$B$2:$B$1001,B308-1)),"违规：加仓股数须逐次不增加",IF(Q308&gt;F308,"违规：止损风险超过本次预算","通过")))))))))))))))</f>
        <v/>
      </c>
    </row>
    <row r="309" ht="17" spans="1:18">
      <c r="A309" s="13"/>
      <c r="B309" s="14"/>
      <c r="C309" s="15"/>
      <c r="D309" s="16"/>
      <c r="E309" s="16"/>
      <c r="F309" s="16"/>
      <c r="G309" s="14"/>
      <c r="H309" s="17" t="str">
        <f t="shared" si="32"/>
        <v/>
      </c>
      <c r="I309" s="18" t="str">
        <f>IF(OR(A309="",B309=""),"",IFERROR(LOOKUP(2,1/(单次交易!$A$2:$A$201=A309),单次交易!$H$2:$H$201),0)+SUMIFS($G$2:$G$1001,$A$2:$A$1001,A309,$B$2:$B$1001,"&lt;"&amp;B309))</f>
        <v/>
      </c>
      <c r="J309" s="17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17" t="str">
        <f t="shared" si="33"/>
        <v/>
      </c>
      <c r="L309" s="18" t="str">
        <f t="shared" si="34"/>
        <v/>
      </c>
      <c r="M309" s="18" t="str">
        <f t="shared" si="35"/>
        <v/>
      </c>
      <c r="N309" s="18" t="str">
        <f t="shared" si="36"/>
        <v/>
      </c>
      <c r="O309" s="18" t="str">
        <f t="shared" si="37"/>
        <v/>
      </c>
      <c r="P309" s="17" t="str">
        <f t="shared" si="38"/>
        <v/>
      </c>
      <c r="Q309" s="17" t="str">
        <f t="shared" si="39"/>
        <v/>
      </c>
      <c r="R309" s="19" t="str">
        <f ca="1">IF(A309="","",IF(COUNTIF(_TradeIds,A309)=0,"违规：交易编号不存在",IF(OR(B309="",B309&lt;1,B309&gt;5,B309&lt;&gt;INT(B309)),"违规：加仓序号须为1到5的整数",IF(COUNTIFS($A$2:$A$1001,A309,$B$2:$B$1001,B309)&gt;1,"违规：同一交易的加仓序号重复",IF(OR(D309="",E309="",F309=""),"计划不完整：请填写加仓价、新止损价和风险预算",IF(OR(D309&lt;=0,E309&lt;=0,F309&lt;=0,D309&lt;=E309),"违规：加仓价必须高于新止损价，金额须大于0",IF(AND(B309&gt;1,COUNTIFS($A$2:$A$1001,A309,$B$2:$B$1001,B309-1,$G$2:$G$1001,"&gt;0")=0),"违规：须先完成上一次加仓",IF(AND(B309&gt;1,E309&lt;SUMIFS($E$2:$E$1001,$A$2:$A$1001,A309,$B$2:$B$1001,B309-1)),"违规：新止损价不得低于上一次",IF(AND(B309&gt;1,F309&gt;SUMIFS($F$2:$F$1001,$A$2:$A$1001,A309,$B$2:$B$1001,B309-1)),"违规：风险预算须逐次不增加",IF(OR(_LockStatus="已锁仓",_LockStatus="解锁信息不完整"),"违规：锁仓期间禁止加仓",IF(G309="","计划可执行：建议股数见N列",IF(OR(G309&lt;=0,G309&lt;&gt;INT(G309),MOD(G309,100)&lt;&gt;0),"违规：实际股数须为100股整数倍",IF(G309&gt;N309,"违规：实际股数超过风险或金字塔上限",IF(AND(B309&gt;1,G309&gt;SUMIFS($G$2:$G$1001,$A$2:$A$1001,A309,$B$2:$B$1001,B309-1)),"违规：加仓股数须逐次不增加",IF(Q309&gt;F309,"违规：止损风险超过本次预算","通过")))))))))))))))</f>
        <v/>
      </c>
    </row>
    <row r="310" ht="17" spans="1:18">
      <c r="A310" s="13"/>
      <c r="B310" s="14"/>
      <c r="C310" s="15"/>
      <c r="D310" s="16"/>
      <c r="E310" s="16"/>
      <c r="F310" s="16"/>
      <c r="G310" s="14"/>
      <c r="H310" s="17" t="str">
        <f t="shared" si="32"/>
        <v/>
      </c>
      <c r="I310" s="18" t="str">
        <f>IF(OR(A310="",B310=""),"",IFERROR(LOOKUP(2,1/(单次交易!$A$2:$A$201=A310),单次交易!$H$2:$H$201),0)+SUMIFS($G$2:$G$1001,$A$2:$A$1001,A310,$B$2:$B$1001,"&lt;"&amp;B310))</f>
        <v/>
      </c>
      <c r="J310" s="17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17" t="str">
        <f t="shared" si="33"/>
        <v/>
      </c>
      <c r="L310" s="18" t="str">
        <f t="shared" si="34"/>
        <v/>
      </c>
      <c r="M310" s="18" t="str">
        <f t="shared" si="35"/>
        <v/>
      </c>
      <c r="N310" s="18" t="str">
        <f t="shared" si="36"/>
        <v/>
      </c>
      <c r="O310" s="18" t="str">
        <f t="shared" si="37"/>
        <v/>
      </c>
      <c r="P310" s="17" t="str">
        <f t="shared" si="38"/>
        <v/>
      </c>
      <c r="Q310" s="17" t="str">
        <f t="shared" si="39"/>
        <v/>
      </c>
      <c r="R310" s="19" t="str">
        <f ca="1">IF(A310="","",IF(COUNTIF(_TradeIds,A310)=0,"违规：交易编号不存在",IF(OR(B310="",B310&lt;1,B310&gt;5,B310&lt;&gt;INT(B310)),"违规：加仓序号须为1到5的整数",IF(COUNTIFS($A$2:$A$1001,A310,$B$2:$B$1001,B310)&gt;1,"违规：同一交易的加仓序号重复",IF(OR(D310="",E310="",F310=""),"计划不完整：请填写加仓价、新止损价和风险预算",IF(OR(D310&lt;=0,E310&lt;=0,F310&lt;=0,D310&lt;=E310),"违规：加仓价必须高于新止损价，金额须大于0",IF(AND(B310&gt;1,COUNTIFS($A$2:$A$1001,A310,$B$2:$B$1001,B310-1,$G$2:$G$1001,"&gt;0")=0),"违规：须先完成上一次加仓",IF(AND(B310&gt;1,E310&lt;SUMIFS($E$2:$E$1001,$A$2:$A$1001,A310,$B$2:$B$1001,B310-1)),"违规：新止损价不得低于上一次",IF(AND(B310&gt;1,F310&gt;SUMIFS($F$2:$F$1001,$A$2:$A$1001,A310,$B$2:$B$1001,B310-1)),"违规：风险预算须逐次不增加",IF(OR(_LockStatus="已锁仓",_LockStatus="解锁信息不完整"),"违规：锁仓期间禁止加仓",IF(G310="","计划可执行：建议股数见N列",IF(OR(G310&lt;=0,G310&lt;&gt;INT(G310),MOD(G310,100)&lt;&gt;0),"违规：实际股数须为100股整数倍",IF(G310&gt;N310,"违规：实际股数超过风险或金字塔上限",IF(AND(B310&gt;1,G310&gt;SUMIFS($G$2:$G$1001,$A$2:$A$1001,A310,$B$2:$B$1001,B310-1)),"违规：加仓股数须逐次不增加",IF(Q310&gt;F310,"违规：止损风险超过本次预算","通过")))))))))))))))</f>
        <v/>
      </c>
    </row>
    <row r="311" ht="17" spans="1:18">
      <c r="A311" s="13"/>
      <c r="B311" s="14"/>
      <c r="C311" s="15"/>
      <c r="D311" s="16"/>
      <c r="E311" s="16"/>
      <c r="F311" s="16"/>
      <c r="G311" s="14"/>
      <c r="H311" s="17" t="str">
        <f t="shared" si="32"/>
        <v/>
      </c>
      <c r="I311" s="18" t="str">
        <f>IF(OR(A311="",B311=""),"",IFERROR(LOOKUP(2,1/(单次交易!$A$2:$A$201=A311),单次交易!$H$2:$H$201),0)+SUMIFS($G$2:$G$1001,$A$2:$A$1001,A311,$B$2:$B$1001,"&lt;"&amp;B311))</f>
        <v/>
      </c>
      <c r="J311" s="17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17" t="str">
        <f t="shared" si="33"/>
        <v/>
      </c>
      <c r="L311" s="18" t="str">
        <f t="shared" si="34"/>
        <v/>
      </c>
      <c r="M311" s="18" t="str">
        <f t="shared" si="35"/>
        <v/>
      </c>
      <c r="N311" s="18" t="str">
        <f t="shared" si="36"/>
        <v/>
      </c>
      <c r="O311" s="18" t="str">
        <f t="shared" si="37"/>
        <v/>
      </c>
      <c r="P311" s="17" t="str">
        <f t="shared" si="38"/>
        <v/>
      </c>
      <c r="Q311" s="17" t="str">
        <f t="shared" si="39"/>
        <v/>
      </c>
      <c r="R311" s="19" t="str">
        <f ca="1">IF(A311="","",IF(COUNTIF(_TradeIds,A311)=0,"违规：交易编号不存在",IF(OR(B311="",B311&lt;1,B311&gt;5,B311&lt;&gt;INT(B311)),"违规：加仓序号须为1到5的整数",IF(COUNTIFS($A$2:$A$1001,A311,$B$2:$B$1001,B311)&gt;1,"违规：同一交易的加仓序号重复",IF(OR(D311="",E311="",F311=""),"计划不完整：请填写加仓价、新止损价和风险预算",IF(OR(D311&lt;=0,E311&lt;=0,F311&lt;=0,D311&lt;=E311),"违规：加仓价必须高于新止损价，金额须大于0",IF(AND(B311&gt;1,COUNTIFS($A$2:$A$1001,A311,$B$2:$B$1001,B311-1,$G$2:$G$1001,"&gt;0")=0),"违规：须先完成上一次加仓",IF(AND(B311&gt;1,E311&lt;SUMIFS($E$2:$E$1001,$A$2:$A$1001,A311,$B$2:$B$1001,B311-1)),"违规：新止损价不得低于上一次",IF(AND(B311&gt;1,F311&gt;SUMIFS($F$2:$F$1001,$A$2:$A$1001,A311,$B$2:$B$1001,B311-1)),"违规：风险预算须逐次不增加",IF(OR(_LockStatus="已锁仓",_LockStatus="解锁信息不完整"),"违规：锁仓期间禁止加仓",IF(G311="","计划可执行：建议股数见N列",IF(OR(G311&lt;=0,G311&lt;&gt;INT(G311),MOD(G311,100)&lt;&gt;0),"违规：实际股数须为100股整数倍",IF(G311&gt;N311,"违规：实际股数超过风险或金字塔上限",IF(AND(B311&gt;1,G311&gt;SUMIFS($G$2:$G$1001,$A$2:$A$1001,A311,$B$2:$B$1001,B311-1)),"违规：加仓股数须逐次不增加",IF(Q311&gt;F311,"违规：止损风险超过本次预算","通过")))))))))))))))</f>
        <v/>
      </c>
    </row>
    <row r="312" ht="17" spans="1:18">
      <c r="A312" s="13"/>
      <c r="B312" s="14"/>
      <c r="C312" s="15"/>
      <c r="D312" s="16"/>
      <c r="E312" s="16"/>
      <c r="F312" s="16"/>
      <c r="G312" s="14"/>
      <c r="H312" s="17" t="str">
        <f t="shared" si="32"/>
        <v/>
      </c>
      <c r="I312" s="18" t="str">
        <f>IF(OR(A312="",B312=""),"",IFERROR(LOOKUP(2,1/(单次交易!$A$2:$A$201=A312),单次交易!$H$2:$H$201),0)+SUMIFS($G$2:$G$1001,$A$2:$A$1001,A312,$B$2:$B$1001,"&lt;"&amp;B312))</f>
        <v/>
      </c>
      <c r="J312" s="17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17" t="str">
        <f t="shared" si="33"/>
        <v/>
      </c>
      <c r="L312" s="18" t="str">
        <f t="shared" si="34"/>
        <v/>
      </c>
      <c r="M312" s="18" t="str">
        <f t="shared" si="35"/>
        <v/>
      </c>
      <c r="N312" s="18" t="str">
        <f t="shared" si="36"/>
        <v/>
      </c>
      <c r="O312" s="18" t="str">
        <f t="shared" si="37"/>
        <v/>
      </c>
      <c r="P312" s="17" t="str">
        <f t="shared" si="38"/>
        <v/>
      </c>
      <c r="Q312" s="17" t="str">
        <f t="shared" si="39"/>
        <v/>
      </c>
      <c r="R312" s="19" t="str">
        <f ca="1">IF(A312="","",IF(COUNTIF(_TradeIds,A312)=0,"违规：交易编号不存在",IF(OR(B312="",B312&lt;1,B312&gt;5,B312&lt;&gt;INT(B312)),"违规：加仓序号须为1到5的整数",IF(COUNTIFS($A$2:$A$1001,A312,$B$2:$B$1001,B312)&gt;1,"违规：同一交易的加仓序号重复",IF(OR(D312="",E312="",F312=""),"计划不完整：请填写加仓价、新止损价和风险预算",IF(OR(D312&lt;=0,E312&lt;=0,F312&lt;=0,D312&lt;=E312),"违规：加仓价必须高于新止损价，金额须大于0",IF(AND(B312&gt;1,COUNTIFS($A$2:$A$1001,A312,$B$2:$B$1001,B312-1,$G$2:$G$1001,"&gt;0")=0),"违规：须先完成上一次加仓",IF(AND(B312&gt;1,E312&lt;SUMIFS($E$2:$E$1001,$A$2:$A$1001,A312,$B$2:$B$1001,B312-1)),"违规：新止损价不得低于上一次",IF(AND(B312&gt;1,F312&gt;SUMIFS($F$2:$F$1001,$A$2:$A$1001,A312,$B$2:$B$1001,B312-1)),"违规：风险预算须逐次不增加",IF(OR(_LockStatus="已锁仓",_LockStatus="解锁信息不完整"),"违规：锁仓期间禁止加仓",IF(G312="","计划可执行：建议股数见N列",IF(OR(G312&lt;=0,G312&lt;&gt;INT(G312),MOD(G312,100)&lt;&gt;0),"违规：实际股数须为100股整数倍",IF(G312&gt;N312,"违规：实际股数超过风险或金字塔上限",IF(AND(B312&gt;1,G312&gt;SUMIFS($G$2:$G$1001,$A$2:$A$1001,A312,$B$2:$B$1001,B312-1)),"违规：加仓股数须逐次不增加",IF(Q312&gt;F312,"违规：止损风险超过本次预算","通过")))))))))))))))</f>
        <v/>
      </c>
    </row>
    <row r="313" ht="17" spans="1:18">
      <c r="A313" s="13"/>
      <c r="B313" s="14"/>
      <c r="C313" s="15"/>
      <c r="D313" s="16"/>
      <c r="E313" s="16"/>
      <c r="F313" s="16"/>
      <c r="G313" s="14"/>
      <c r="H313" s="17" t="str">
        <f t="shared" si="32"/>
        <v/>
      </c>
      <c r="I313" s="18" t="str">
        <f>IF(OR(A313="",B313=""),"",IFERROR(LOOKUP(2,1/(单次交易!$A$2:$A$201=A313),单次交易!$H$2:$H$201),0)+SUMIFS($G$2:$G$1001,$A$2:$A$1001,A313,$B$2:$B$1001,"&lt;"&amp;B313))</f>
        <v/>
      </c>
      <c r="J313" s="17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17" t="str">
        <f t="shared" si="33"/>
        <v/>
      </c>
      <c r="L313" s="18" t="str">
        <f t="shared" si="34"/>
        <v/>
      </c>
      <c r="M313" s="18" t="str">
        <f t="shared" si="35"/>
        <v/>
      </c>
      <c r="N313" s="18" t="str">
        <f t="shared" si="36"/>
        <v/>
      </c>
      <c r="O313" s="18" t="str">
        <f t="shared" si="37"/>
        <v/>
      </c>
      <c r="P313" s="17" t="str">
        <f t="shared" si="38"/>
        <v/>
      </c>
      <c r="Q313" s="17" t="str">
        <f t="shared" si="39"/>
        <v/>
      </c>
      <c r="R313" s="19" t="str">
        <f ca="1">IF(A313="","",IF(COUNTIF(_TradeIds,A313)=0,"违规：交易编号不存在",IF(OR(B313="",B313&lt;1,B313&gt;5,B313&lt;&gt;INT(B313)),"违规：加仓序号须为1到5的整数",IF(COUNTIFS($A$2:$A$1001,A313,$B$2:$B$1001,B313)&gt;1,"违规：同一交易的加仓序号重复",IF(OR(D313="",E313="",F313=""),"计划不完整：请填写加仓价、新止损价和风险预算",IF(OR(D313&lt;=0,E313&lt;=0,F313&lt;=0,D313&lt;=E313),"违规：加仓价必须高于新止损价，金额须大于0",IF(AND(B313&gt;1,COUNTIFS($A$2:$A$1001,A313,$B$2:$B$1001,B313-1,$G$2:$G$1001,"&gt;0")=0),"违规：须先完成上一次加仓",IF(AND(B313&gt;1,E313&lt;SUMIFS($E$2:$E$1001,$A$2:$A$1001,A313,$B$2:$B$1001,B313-1)),"违规：新止损价不得低于上一次",IF(AND(B313&gt;1,F313&gt;SUMIFS($F$2:$F$1001,$A$2:$A$1001,A313,$B$2:$B$1001,B313-1)),"违规：风险预算须逐次不增加",IF(OR(_LockStatus="已锁仓",_LockStatus="解锁信息不完整"),"违规：锁仓期间禁止加仓",IF(G313="","计划可执行：建议股数见N列",IF(OR(G313&lt;=0,G313&lt;&gt;INT(G313),MOD(G313,100)&lt;&gt;0),"违规：实际股数须为100股整数倍",IF(G313&gt;N313,"违规：实际股数超过风险或金字塔上限",IF(AND(B313&gt;1,G313&gt;SUMIFS($G$2:$G$1001,$A$2:$A$1001,A313,$B$2:$B$1001,B313-1)),"违规：加仓股数须逐次不增加",IF(Q313&gt;F313,"违规：止损风险超过本次预算","通过")))))))))))))))</f>
        <v/>
      </c>
    </row>
    <row r="314" ht="17" spans="1:18">
      <c r="A314" s="13"/>
      <c r="B314" s="14"/>
      <c r="C314" s="15"/>
      <c r="D314" s="16"/>
      <c r="E314" s="16"/>
      <c r="F314" s="16"/>
      <c r="G314" s="14"/>
      <c r="H314" s="17" t="str">
        <f t="shared" si="32"/>
        <v/>
      </c>
      <c r="I314" s="18" t="str">
        <f>IF(OR(A314="",B314=""),"",IFERROR(LOOKUP(2,1/(单次交易!$A$2:$A$201=A314),单次交易!$H$2:$H$201),0)+SUMIFS($G$2:$G$1001,$A$2:$A$1001,A314,$B$2:$B$1001,"&lt;"&amp;B314))</f>
        <v/>
      </c>
      <c r="J314" s="17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17" t="str">
        <f t="shared" si="33"/>
        <v/>
      </c>
      <c r="L314" s="18" t="str">
        <f t="shared" si="34"/>
        <v/>
      </c>
      <c r="M314" s="18" t="str">
        <f t="shared" si="35"/>
        <v/>
      </c>
      <c r="N314" s="18" t="str">
        <f t="shared" si="36"/>
        <v/>
      </c>
      <c r="O314" s="18" t="str">
        <f t="shared" si="37"/>
        <v/>
      </c>
      <c r="P314" s="17" t="str">
        <f t="shared" si="38"/>
        <v/>
      </c>
      <c r="Q314" s="17" t="str">
        <f t="shared" si="39"/>
        <v/>
      </c>
      <c r="R314" s="19" t="str">
        <f ca="1">IF(A314="","",IF(COUNTIF(_TradeIds,A314)=0,"违规：交易编号不存在",IF(OR(B314="",B314&lt;1,B314&gt;5,B314&lt;&gt;INT(B314)),"违规：加仓序号须为1到5的整数",IF(COUNTIFS($A$2:$A$1001,A314,$B$2:$B$1001,B314)&gt;1,"违规：同一交易的加仓序号重复",IF(OR(D314="",E314="",F314=""),"计划不完整：请填写加仓价、新止损价和风险预算",IF(OR(D314&lt;=0,E314&lt;=0,F314&lt;=0,D314&lt;=E314),"违规：加仓价必须高于新止损价，金额须大于0",IF(AND(B314&gt;1,COUNTIFS($A$2:$A$1001,A314,$B$2:$B$1001,B314-1,$G$2:$G$1001,"&gt;0")=0),"违规：须先完成上一次加仓",IF(AND(B314&gt;1,E314&lt;SUMIFS($E$2:$E$1001,$A$2:$A$1001,A314,$B$2:$B$1001,B314-1)),"违规：新止损价不得低于上一次",IF(AND(B314&gt;1,F314&gt;SUMIFS($F$2:$F$1001,$A$2:$A$1001,A314,$B$2:$B$1001,B314-1)),"违规：风险预算须逐次不增加",IF(OR(_LockStatus="已锁仓",_LockStatus="解锁信息不完整"),"违规：锁仓期间禁止加仓",IF(G314="","计划可执行：建议股数见N列",IF(OR(G314&lt;=0,G314&lt;&gt;INT(G314),MOD(G314,100)&lt;&gt;0),"违规：实际股数须为100股整数倍",IF(G314&gt;N314,"违规：实际股数超过风险或金字塔上限",IF(AND(B314&gt;1,G314&gt;SUMIFS($G$2:$G$1001,$A$2:$A$1001,A314,$B$2:$B$1001,B314-1)),"违规：加仓股数须逐次不增加",IF(Q314&gt;F314,"违规：止损风险超过本次预算","通过")))))))))))))))</f>
        <v/>
      </c>
    </row>
    <row r="315" ht="17" spans="1:18">
      <c r="A315" s="13"/>
      <c r="B315" s="14"/>
      <c r="C315" s="15"/>
      <c r="D315" s="16"/>
      <c r="E315" s="16"/>
      <c r="F315" s="16"/>
      <c r="G315" s="14"/>
      <c r="H315" s="17" t="str">
        <f t="shared" si="32"/>
        <v/>
      </c>
      <c r="I315" s="18" t="str">
        <f>IF(OR(A315="",B315=""),"",IFERROR(LOOKUP(2,1/(单次交易!$A$2:$A$201=A315),单次交易!$H$2:$H$201),0)+SUMIFS($G$2:$G$1001,$A$2:$A$1001,A315,$B$2:$B$1001,"&lt;"&amp;B315))</f>
        <v/>
      </c>
      <c r="J315" s="17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17" t="str">
        <f t="shared" si="33"/>
        <v/>
      </c>
      <c r="L315" s="18" t="str">
        <f t="shared" si="34"/>
        <v/>
      </c>
      <c r="M315" s="18" t="str">
        <f t="shared" si="35"/>
        <v/>
      </c>
      <c r="N315" s="18" t="str">
        <f t="shared" si="36"/>
        <v/>
      </c>
      <c r="O315" s="18" t="str">
        <f t="shared" si="37"/>
        <v/>
      </c>
      <c r="P315" s="17" t="str">
        <f t="shared" si="38"/>
        <v/>
      </c>
      <c r="Q315" s="17" t="str">
        <f t="shared" si="39"/>
        <v/>
      </c>
      <c r="R315" s="19" t="str">
        <f ca="1">IF(A315="","",IF(COUNTIF(_TradeIds,A315)=0,"违规：交易编号不存在",IF(OR(B315="",B315&lt;1,B315&gt;5,B315&lt;&gt;INT(B315)),"违规：加仓序号须为1到5的整数",IF(COUNTIFS($A$2:$A$1001,A315,$B$2:$B$1001,B315)&gt;1,"违规：同一交易的加仓序号重复",IF(OR(D315="",E315="",F315=""),"计划不完整：请填写加仓价、新止损价和风险预算",IF(OR(D315&lt;=0,E315&lt;=0,F315&lt;=0,D315&lt;=E315),"违规：加仓价必须高于新止损价，金额须大于0",IF(AND(B315&gt;1,COUNTIFS($A$2:$A$1001,A315,$B$2:$B$1001,B315-1,$G$2:$G$1001,"&gt;0")=0),"违规：须先完成上一次加仓",IF(AND(B315&gt;1,E315&lt;SUMIFS($E$2:$E$1001,$A$2:$A$1001,A315,$B$2:$B$1001,B315-1)),"违规：新止损价不得低于上一次",IF(AND(B315&gt;1,F315&gt;SUMIFS($F$2:$F$1001,$A$2:$A$1001,A315,$B$2:$B$1001,B315-1)),"违规：风险预算须逐次不增加",IF(OR(_LockStatus="已锁仓",_LockStatus="解锁信息不完整"),"违规：锁仓期间禁止加仓",IF(G315="","计划可执行：建议股数见N列",IF(OR(G315&lt;=0,G315&lt;&gt;INT(G315),MOD(G315,100)&lt;&gt;0),"违规：实际股数须为100股整数倍",IF(G315&gt;N315,"违规：实际股数超过风险或金字塔上限",IF(AND(B315&gt;1,G315&gt;SUMIFS($G$2:$G$1001,$A$2:$A$1001,A315,$B$2:$B$1001,B315-1)),"违规：加仓股数须逐次不增加",IF(Q315&gt;F315,"违规：止损风险超过本次预算","通过")))))))))))))))</f>
        <v/>
      </c>
    </row>
    <row r="316" ht="17" spans="1:18">
      <c r="A316" s="13"/>
      <c r="B316" s="14"/>
      <c r="C316" s="15"/>
      <c r="D316" s="16"/>
      <c r="E316" s="16"/>
      <c r="F316" s="16"/>
      <c r="G316" s="14"/>
      <c r="H316" s="17" t="str">
        <f t="shared" si="32"/>
        <v/>
      </c>
      <c r="I316" s="18" t="str">
        <f>IF(OR(A316="",B316=""),"",IFERROR(LOOKUP(2,1/(单次交易!$A$2:$A$201=A316),单次交易!$H$2:$H$201),0)+SUMIFS($G$2:$G$1001,$A$2:$A$1001,A316,$B$2:$B$1001,"&lt;"&amp;B316))</f>
        <v/>
      </c>
      <c r="J316" s="17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17" t="str">
        <f t="shared" si="33"/>
        <v/>
      </c>
      <c r="L316" s="18" t="str">
        <f t="shared" si="34"/>
        <v/>
      </c>
      <c r="M316" s="18" t="str">
        <f t="shared" si="35"/>
        <v/>
      </c>
      <c r="N316" s="18" t="str">
        <f t="shared" si="36"/>
        <v/>
      </c>
      <c r="O316" s="18" t="str">
        <f t="shared" si="37"/>
        <v/>
      </c>
      <c r="P316" s="17" t="str">
        <f t="shared" si="38"/>
        <v/>
      </c>
      <c r="Q316" s="17" t="str">
        <f t="shared" si="39"/>
        <v/>
      </c>
      <c r="R316" s="19" t="str">
        <f ca="1">IF(A316="","",IF(COUNTIF(_TradeIds,A316)=0,"违规：交易编号不存在",IF(OR(B316="",B316&lt;1,B316&gt;5,B316&lt;&gt;INT(B316)),"违规：加仓序号须为1到5的整数",IF(COUNTIFS($A$2:$A$1001,A316,$B$2:$B$1001,B316)&gt;1,"违规：同一交易的加仓序号重复",IF(OR(D316="",E316="",F316=""),"计划不完整：请填写加仓价、新止损价和风险预算",IF(OR(D316&lt;=0,E316&lt;=0,F316&lt;=0,D316&lt;=E316),"违规：加仓价必须高于新止损价，金额须大于0",IF(AND(B316&gt;1,COUNTIFS($A$2:$A$1001,A316,$B$2:$B$1001,B316-1,$G$2:$G$1001,"&gt;0")=0),"违规：须先完成上一次加仓",IF(AND(B316&gt;1,E316&lt;SUMIFS($E$2:$E$1001,$A$2:$A$1001,A316,$B$2:$B$1001,B316-1)),"违规：新止损价不得低于上一次",IF(AND(B316&gt;1,F316&gt;SUMIFS($F$2:$F$1001,$A$2:$A$1001,A316,$B$2:$B$1001,B316-1)),"违规：风险预算须逐次不增加",IF(OR(_LockStatus="已锁仓",_LockStatus="解锁信息不完整"),"违规：锁仓期间禁止加仓",IF(G316="","计划可执行：建议股数见N列",IF(OR(G316&lt;=0,G316&lt;&gt;INT(G316),MOD(G316,100)&lt;&gt;0),"违规：实际股数须为100股整数倍",IF(G316&gt;N316,"违规：实际股数超过风险或金字塔上限",IF(AND(B316&gt;1,G316&gt;SUMIFS($G$2:$G$1001,$A$2:$A$1001,A316,$B$2:$B$1001,B316-1)),"违规：加仓股数须逐次不增加",IF(Q316&gt;F316,"违规：止损风险超过本次预算","通过")))))))))))))))</f>
        <v/>
      </c>
    </row>
    <row r="317" ht="17" spans="1:18">
      <c r="A317" s="13"/>
      <c r="B317" s="14"/>
      <c r="C317" s="15"/>
      <c r="D317" s="16"/>
      <c r="E317" s="16"/>
      <c r="F317" s="16"/>
      <c r="G317" s="14"/>
      <c r="H317" s="17" t="str">
        <f t="shared" si="32"/>
        <v/>
      </c>
      <c r="I317" s="18" t="str">
        <f>IF(OR(A317="",B317=""),"",IFERROR(LOOKUP(2,1/(单次交易!$A$2:$A$201=A317),单次交易!$H$2:$H$201),0)+SUMIFS($G$2:$G$1001,$A$2:$A$1001,A317,$B$2:$B$1001,"&lt;"&amp;B317))</f>
        <v/>
      </c>
      <c r="J317" s="17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17" t="str">
        <f t="shared" si="33"/>
        <v/>
      </c>
      <c r="L317" s="18" t="str">
        <f t="shared" si="34"/>
        <v/>
      </c>
      <c r="M317" s="18" t="str">
        <f t="shared" si="35"/>
        <v/>
      </c>
      <c r="N317" s="18" t="str">
        <f t="shared" si="36"/>
        <v/>
      </c>
      <c r="O317" s="18" t="str">
        <f t="shared" si="37"/>
        <v/>
      </c>
      <c r="P317" s="17" t="str">
        <f t="shared" si="38"/>
        <v/>
      </c>
      <c r="Q317" s="17" t="str">
        <f t="shared" si="39"/>
        <v/>
      </c>
      <c r="R317" s="19" t="str">
        <f ca="1">IF(A317="","",IF(COUNTIF(_TradeIds,A317)=0,"违规：交易编号不存在",IF(OR(B317="",B317&lt;1,B317&gt;5,B317&lt;&gt;INT(B317)),"违规：加仓序号须为1到5的整数",IF(COUNTIFS($A$2:$A$1001,A317,$B$2:$B$1001,B317)&gt;1,"违规：同一交易的加仓序号重复",IF(OR(D317="",E317="",F317=""),"计划不完整：请填写加仓价、新止损价和风险预算",IF(OR(D317&lt;=0,E317&lt;=0,F317&lt;=0,D317&lt;=E317),"违规：加仓价必须高于新止损价，金额须大于0",IF(AND(B317&gt;1,COUNTIFS($A$2:$A$1001,A317,$B$2:$B$1001,B317-1,$G$2:$G$1001,"&gt;0")=0),"违规：须先完成上一次加仓",IF(AND(B317&gt;1,E317&lt;SUMIFS($E$2:$E$1001,$A$2:$A$1001,A317,$B$2:$B$1001,B317-1)),"违规：新止损价不得低于上一次",IF(AND(B317&gt;1,F317&gt;SUMIFS($F$2:$F$1001,$A$2:$A$1001,A317,$B$2:$B$1001,B317-1)),"违规：风险预算须逐次不增加",IF(OR(_LockStatus="已锁仓",_LockStatus="解锁信息不完整"),"违规：锁仓期间禁止加仓",IF(G317="","计划可执行：建议股数见N列",IF(OR(G317&lt;=0,G317&lt;&gt;INT(G317),MOD(G317,100)&lt;&gt;0),"违规：实际股数须为100股整数倍",IF(G317&gt;N317,"违规：实际股数超过风险或金字塔上限",IF(AND(B317&gt;1,G317&gt;SUMIFS($G$2:$G$1001,$A$2:$A$1001,A317,$B$2:$B$1001,B317-1)),"违规：加仓股数须逐次不增加",IF(Q317&gt;F317,"违规：止损风险超过本次预算","通过")))))))))))))))</f>
        <v/>
      </c>
    </row>
    <row r="318" ht="17" spans="1:18">
      <c r="A318" s="13"/>
      <c r="B318" s="14"/>
      <c r="C318" s="15"/>
      <c r="D318" s="16"/>
      <c r="E318" s="16"/>
      <c r="F318" s="16"/>
      <c r="G318" s="14"/>
      <c r="H318" s="17" t="str">
        <f t="shared" si="32"/>
        <v/>
      </c>
      <c r="I318" s="18" t="str">
        <f>IF(OR(A318="",B318=""),"",IFERROR(LOOKUP(2,1/(单次交易!$A$2:$A$201=A318),单次交易!$H$2:$H$201),0)+SUMIFS($G$2:$G$1001,$A$2:$A$1001,A318,$B$2:$B$1001,"&lt;"&amp;B318))</f>
        <v/>
      </c>
      <c r="J318" s="17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17" t="str">
        <f t="shared" si="33"/>
        <v/>
      </c>
      <c r="L318" s="18" t="str">
        <f t="shared" si="34"/>
        <v/>
      </c>
      <c r="M318" s="18" t="str">
        <f t="shared" si="35"/>
        <v/>
      </c>
      <c r="N318" s="18" t="str">
        <f t="shared" si="36"/>
        <v/>
      </c>
      <c r="O318" s="18" t="str">
        <f t="shared" si="37"/>
        <v/>
      </c>
      <c r="P318" s="17" t="str">
        <f t="shared" si="38"/>
        <v/>
      </c>
      <c r="Q318" s="17" t="str">
        <f t="shared" si="39"/>
        <v/>
      </c>
      <c r="R318" s="19" t="str">
        <f ca="1">IF(A318="","",IF(COUNTIF(_TradeIds,A318)=0,"违规：交易编号不存在",IF(OR(B318="",B318&lt;1,B318&gt;5,B318&lt;&gt;INT(B318)),"违规：加仓序号须为1到5的整数",IF(COUNTIFS($A$2:$A$1001,A318,$B$2:$B$1001,B318)&gt;1,"违规：同一交易的加仓序号重复",IF(OR(D318="",E318="",F318=""),"计划不完整：请填写加仓价、新止损价和风险预算",IF(OR(D318&lt;=0,E318&lt;=0,F318&lt;=0,D318&lt;=E318),"违规：加仓价必须高于新止损价，金额须大于0",IF(AND(B318&gt;1,COUNTIFS($A$2:$A$1001,A318,$B$2:$B$1001,B318-1,$G$2:$G$1001,"&gt;0")=0),"违规：须先完成上一次加仓",IF(AND(B318&gt;1,E318&lt;SUMIFS($E$2:$E$1001,$A$2:$A$1001,A318,$B$2:$B$1001,B318-1)),"违规：新止损价不得低于上一次",IF(AND(B318&gt;1,F318&gt;SUMIFS($F$2:$F$1001,$A$2:$A$1001,A318,$B$2:$B$1001,B318-1)),"违规：风险预算须逐次不增加",IF(OR(_LockStatus="已锁仓",_LockStatus="解锁信息不完整"),"违规：锁仓期间禁止加仓",IF(G318="","计划可执行：建议股数见N列",IF(OR(G318&lt;=0,G318&lt;&gt;INT(G318),MOD(G318,100)&lt;&gt;0),"违规：实际股数须为100股整数倍",IF(G318&gt;N318,"违规：实际股数超过风险或金字塔上限",IF(AND(B318&gt;1,G318&gt;SUMIFS($G$2:$G$1001,$A$2:$A$1001,A318,$B$2:$B$1001,B318-1)),"违规：加仓股数须逐次不增加",IF(Q318&gt;F318,"违规：止损风险超过本次预算","通过")))))))))))))))</f>
        <v/>
      </c>
    </row>
    <row r="319" ht="17" spans="1:18">
      <c r="A319" s="13"/>
      <c r="B319" s="14"/>
      <c r="C319" s="15"/>
      <c r="D319" s="16"/>
      <c r="E319" s="16"/>
      <c r="F319" s="16"/>
      <c r="G319" s="14"/>
      <c r="H319" s="17" t="str">
        <f t="shared" si="32"/>
        <v/>
      </c>
      <c r="I319" s="18" t="str">
        <f>IF(OR(A319="",B319=""),"",IFERROR(LOOKUP(2,1/(单次交易!$A$2:$A$201=A319),单次交易!$H$2:$H$201),0)+SUMIFS($G$2:$G$1001,$A$2:$A$1001,A319,$B$2:$B$1001,"&lt;"&amp;B319))</f>
        <v/>
      </c>
      <c r="J319" s="17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17" t="str">
        <f t="shared" si="33"/>
        <v/>
      </c>
      <c r="L319" s="18" t="str">
        <f t="shared" si="34"/>
        <v/>
      </c>
      <c r="M319" s="18" t="str">
        <f t="shared" si="35"/>
        <v/>
      </c>
      <c r="N319" s="18" t="str">
        <f t="shared" si="36"/>
        <v/>
      </c>
      <c r="O319" s="18" t="str">
        <f t="shared" si="37"/>
        <v/>
      </c>
      <c r="P319" s="17" t="str">
        <f t="shared" si="38"/>
        <v/>
      </c>
      <c r="Q319" s="17" t="str">
        <f t="shared" si="39"/>
        <v/>
      </c>
      <c r="R319" s="19" t="str">
        <f ca="1">IF(A319="","",IF(COUNTIF(_TradeIds,A319)=0,"违规：交易编号不存在",IF(OR(B319="",B319&lt;1,B319&gt;5,B319&lt;&gt;INT(B319)),"违规：加仓序号须为1到5的整数",IF(COUNTIFS($A$2:$A$1001,A319,$B$2:$B$1001,B319)&gt;1,"违规：同一交易的加仓序号重复",IF(OR(D319="",E319="",F319=""),"计划不完整：请填写加仓价、新止损价和风险预算",IF(OR(D319&lt;=0,E319&lt;=0,F319&lt;=0,D319&lt;=E319),"违规：加仓价必须高于新止损价，金额须大于0",IF(AND(B319&gt;1,COUNTIFS($A$2:$A$1001,A319,$B$2:$B$1001,B319-1,$G$2:$G$1001,"&gt;0")=0),"违规：须先完成上一次加仓",IF(AND(B319&gt;1,E319&lt;SUMIFS($E$2:$E$1001,$A$2:$A$1001,A319,$B$2:$B$1001,B319-1)),"违规：新止损价不得低于上一次",IF(AND(B319&gt;1,F319&gt;SUMIFS($F$2:$F$1001,$A$2:$A$1001,A319,$B$2:$B$1001,B319-1)),"违规：风险预算须逐次不增加",IF(OR(_LockStatus="已锁仓",_LockStatus="解锁信息不完整"),"违规：锁仓期间禁止加仓",IF(G319="","计划可执行：建议股数见N列",IF(OR(G319&lt;=0,G319&lt;&gt;INT(G319),MOD(G319,100)&lt;&gt;0),"违规：实际股数须为100股整数倍",IF(G319&gt;N319,"违规：实际股数超过风险或金字塔上限",IF(AND(B319&gt;1,G319&gt;SUMIFS($G$2:$G$1001,$A$2:$A$1001,A319,$B$2:$B$1001,B319-1)),"违规：加仓股数须逐次不增加",IF(Q319&gt;F319,"违规：止损风险超过本次预算","通过")))))))))))))))</f>
        <v/>
      </c>
    </row>
    <row r="320" ht="17" spans="1:18">
      <c r="A320" s="13"/>
      <c r="B320" s="14"/>
      <c r="C320" s="15"/>
      <c r="D320" s="16"/>
      <c r="E320" s="16"/>
      <c r="F320" s="16"/>
      <c r="G320" s="14"/>
      <c r="H320" s="17" t="str">
        <f t="shared" si="32"/>
        <v/>
      </c>
      <c r="I320" s="18" t="str">
        <f>IF(OR(A320="",B320=""),"",IFERROR(LOOKUP(2,1/(单次交易!$A$2:$A$201=A320),单次交易!$H$2:$H$201),0)+SUMIFS($G$2:$G$1001,$A$2:$A$1001,A320,$B$2:$B$1001,"&lt;"&amp;B320))</f>
        <v/>
      </c>
      <c r="J320" s="17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17" t="str">
        <f t="shared" si="33"/>
        <v/>
      </c>
      <c r="L320" s="18" t="str">
        <f t="shared" si="34"/>
        <v/>
      </c>
      <c r="M320" s="18" t="str">
        <f t="shared" si="35"/>
        <v/>
      </c>
      <c r="N320" s="18" t="str">
        <f t="shared" si="36"/>
        <v/>
      </c>
      <c r="O320" s="18" t="str">
        <f t="shared" si="37"/>
        <v/>
      </c>
      <c r="P320" s="17" t="str">
        <f t="shared" si="38"/>
        <v/>
      </c>
      <c r="Q320" s="17" t="str">
        <f t="shared" si="39"/>
        <v/>
      </c>
      <c r="R320" s="19" t="str">
        <f ca="1">IF(A320="","",IF(COUNTIF(_TradeIds,A320)=0,"违规：交易编号不存在",IF(OR(B320="",B320&lt;1,B320&gt;5,B320&lt;&gt;INT(B320)),"违规：加仓序号须为1到5的整数",IF(COUNTIFS($A$2:$A$1001,A320,$B$2:$B$1001,B320)&gt;1,"违规：同一交易的加仓序号重复",IF(OR(D320="",E320="",F320=""),"计划不完整：请填写加仓价、新止损价和风险预算",IF(OR(D320&lt;=0,E320&lt;=0,F320&lt;=0,D320&lt;=E320),"违规：加仓价必须高于新止损价，金额须大于0",IF(AND(B320&gt;1,COUNTIFS($A$2:$A$1001,A320,$B$2:$B$1001,B320-1,$G$2:$G$1001,"&gt;0")=0),"违规：须先完成上一次加仓",IF(AND(B320&gt;1,E320&lt;SUMIFS($E$2:$E$1001,$A$2:$A$1001,A320,$B$2:$B$1001,B320-1)),"违规：新止损价不得低于上一次",IF(AND(B320&gt;1,F320&gt;SUMIFS($F$2:$F$1001,$A$2:$A$1001,A320,$B$2:$B$1001,B320-1)),"违规：风险预算须逐次不增加",IF(OR(_LockStatus="已锁仓",_LockStatus="解锁信息不完整"),"违规：锁仓期间禁止加仓",IF(G320="","计划可执行：建议股数见N列",IF(OR(G320&lt;=0,G320&lt;&gt;INT(G320),MOD(G320,100)&lt;&gt;0),"违规：实际股数须为100股整数倍",IF(G320&gt;N320,"违规：实际股数超过风险或金字塔上限",IF(AND(B320&gt;1,G320&gt;SUMIFS($G$2:$G$1001,$A$2:$A$1001,A320,$B$2:$B$1001,B320-1)),"违规：加仓股数须逐次不增加",IF(Q320&gt;F320,"违规：止损风险超过本次预算","通过")))))))))))))))</f>
        <v/>
      </c>
    </row>
    <row r="321" ht="17" spans="1:18">
      <c r="A321" s="13"/>
      <c r="B321" s="14"/>
      <c r="C321" s="15"/>
      <c r="D321" s="16"/>
      <c r="E321" s="16"/>
      <c r="F321" s="16"/>
      <c r="G321" s="14"/>
      <c r="H321" s="17" t="str">
        <f t="shared" si="32"/>
        <v/>
      </c>
      <c r="I321" s="18" t="str">
        <f>IF(OR(A321="",B321=""),"",IFERROR(LOOKUP(2,1/(单次交易!$A$2:$A$201=A321),单次交易!$H$2:$H$201),0)+SUMIFS($G$2:$G$1001,$A$2:$A$1001,A321,$B$2:$B$1001,"&lt;"&amp;B321))</f>
        <v/>
      </c>
      <c r="J321" s="17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17" t="str">
        <f t="shared" si="33"/>
        <v/>
      </c>
      <c r="L321" s="18" t="str">
        <f t="shared" si="34"/>
        <v/>
      </c>
      <c r="M321" s="18" t="str">
        <f t="shared" si="35"/>
        <v/>
      </c>
      <c r="N321" s="18" t="str">
        <f t="shared" si="36"/>
        <v/>
      </c>
      <c r="O321" s="18" t="str">
        <f t="shared" si="37"/>
        <v/>
      </c>
      <c r="P321" s="17" t="str">
        <f t="shared" si="38"/>
        <v/>
      </c>
      <c r="Q321" s="17" t="str">
        <f t="shared" si="39"/>
        <v/>
      </c>
      <c r="R321" s="19" t="str">
        <f ca="1">IF(A321="","",IF(COUNTIF(_TradeIds,A321)=0,"违规：交易编号不存在",IF(OR(B321="",B321&lt;1,B321&gt;5,B321&lt;&gt;INT(B321)),"违规：加仓序号须为1到5的整数",IF(COUNTIFS($A$2:$A$1001,A321,$B$2:$B$1001,B321)&gt;1,"违规：同一交易的加仓序号重复",IF(OR(D321="",E321="",F321=""),"计划不完整：请填写加仓价、新止损价和风险预算",IF(OR(D321&lt;=0,E321&lt;=0,F321&lt;=0,D321&lt;=E321),"违规：加仓价必须高于新止损价，金额须大于0",IF(AND(B321&gt;1,COUNTIFS($A$2:$A$1001,A321,$B$2:$B$1001,B321-1,$G$2:$G$1001,"&gt;0")=0),"违规：须先完成上一次加仓",IF(AND(B321&gt;1,E321&lt;SUMIFS($E$2:$E$1001,$A$2:$A$1001,A321,$B$2:$B$1001,B321-1)),"违规：新止损价不得低于上一次",IF(AND(B321&gt;1,F321&gt;SUMIFS($F$2:$F$1001,$A$2:$A$1001,A321,$B$2:$B$1001,B321-1)),"违规：风险预算须逐次不增加",IF(OR(_LockStatus="已锁仓",_LockStatus="解锁信息不完整"),"违规：锁仓期间禁止加仓",IF(G321="","计划可执行：建议股数见N列",IF(OR(G321&lt;=0,G321&lt;&gt;INT(G321),MOD(G321,100)&lt;&gt;0),"违规：实际股数须为100股整数倍",IF(G321&gt;N321,"违规：实际股数超过风险或金字塔上限",IF(AND(B321&gt;1,G321&gt;SUMIFS($G$2:$G$1001,$A$2:$A$1001,A321,$B$2:$B$1001,B321-1)),"违规：加仓股数须逐次不增加",IF(Q321&gt;F321,"违规：止损风险超过本次预算","通过")))))))))))))))</f>
        <v/>
      </c>
    </row>
    <row r="322" ht="17" spans="1:18">
      <c r="A322" s="13"/>
      <c r="B322" s="14"/>
      <c r="C322" s="15"/>
      <c r="D322" s="16"/>
      <c r="E322" s="16"/>
      <c r="F322" s="16"/>
      <c r="G322" s="14"/>
      <c r="H322" s="17" t="str">
        <f t="shared" ref="H322:H385" si="40">IF(OR(A322="",D322="",G322=""),"",D322*G322)</f>
        <v/>
      </c>
      <c r="I322" s="18" t="str">
        <f>IF(OR(A322="",B322=""),"",IFERROR(LOOKUP(2,1/(单次交易!$A$2:$A$201=A322),单次交易!$H$2:$H$201),0)+SUMIFS($G$2:$G$1001,$A$2:$A$1001,A322,$B$2:$B$1001,"&lt;"&amp;B322))</f>
        <v/>
      </c>
      <c r="J322" s="17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17" t="str">
        <f t="shared" ref="K322:K385" si="41">IF(OR(E322="",I322="",J322=""),"",MAX(E322*I322-J322,0))</f>
        <v/>
      </c>
      <c r="L322" s="18" t="str">
        <f t="shared" ref="L322:L385" si="42">IF(OR(D322="",E322="",F322="",D322&lt;=E322),"",FLOOR((F322+K322)/(D322-E322),100))</f>
        <v/>
      </c>
      <c r="M322" s="18" t="str">
        <f t="shared" ref="M322:M385" si="43">IF(OR(A322="",B322="",L322=""),"",IF(B322=1,L322,IFERROR(SUMIFS($G$2:$G$1001,$A$2:$A$1001,A322,$B$2:$B$1001,B322-1),0)))</f>
        <v/>
      </c>
      <c r="N322" s="18" t="str">
        <f t="shared" ref="N322:N385" si="44">IF(OR(L322="",M322=""),"",MIN(L322,M322))</f>
        <v/>
      </c>
      <c r="O322" s="18" t="str">
        <f t="shared" ref="O322:O385" si="45">IF(OR(I322="",G322=""),"",I322+G322)</f>
        <v/>
      </c>
      <c r="P322" s="17" t="str">
        <f t="shared" ref="P322:P385" si="46">IF(OR(O322="",O322=0),"",(J322+H322)/O322)</f>
        <v/>
      </c>
      <c r="Q322" s="17" t="str">
        <f t="shared" ref="Q322:Q385" si="47">IF(OR(O322="",E322=""),"",MAX(J322+H322-E322*O322,0))</f>
        <v/>
      </c>
      <c r="R322" s="19" t="str">
        <f ca="1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ht="17" spans="1:18">
      <c r="A323" s="13"/>
      <c r="B323" s="14"/>
      <c r="C323" s="15"/>
      <c r="D323" s="16"/>
      <c r="E323" s="16"/>
      <c r="F323" s="16"/>
      <c r="G323" s="14"/>
      <c r="H323" s="17" t="str">
        <f t="shared" si="40"/>
        <v/>
      </c>
      <c r="I323" s="18" t="str">
        <f>IF(OR(A323="",B323=""),"",IFERROR(LOOKUP(2,1/(单次交易!$A$2:$A$201=A323),单次交易!$H$2:$H$201),0)+SUMIFS($G$2:$G$1001,$A$2:$A$1001,A323,$B$2:$B$1001,"&lt;"&amp;B323))</f>
        <v/>
      </c>
      <c r="J323" s="17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17" t="str">
        <f t="shared" si="41"/>
        <v/>
      </c>
      <c r="L323" s="18" t="str">
        <f t="shared" si="42"/>
        <v/>
      </c>
      <c r="M323" s="18" t="str">
        <f t="shared" si="43"/>
        <v/>
      </c>
      <c r="N323" s="18" t="str">
        <f t="shared" si="44"/>
        <v/>
      </c>
      <c r="O323" s="18" t="str">
        <f t="shared" si="45"/>
        <v/>
      </c>
      <c r="P323" s="17" t="str">
        <f t="shared" si="46"/>
        <v/>
      </c>
      <c r="Q323" s="17" t="str">
        <f t="shared" si="47"/>
        <v/>
      </c>
      <c r="R323" s="19" t="str">
        <f ca="1">IF(A323="","",IF(COUNTIF(_TradeIds,A323)=0,"违规：交易编号不存在",IF(OR(B323="",B323&lt;1,B323&gt;5,B323&lt;&gt;INT(B323)),"违规：加仓序号须为1到5的整数",IF(COUNTIFS($A$2:$A$1001,A323,$B$2:$B$1001,B323)&gt;1,"违规：同一交易的加仓序号重复",IF(OR(D323="",E323="",F323=""),"计划不完整：请填写加仓价、新止损价和风险预算",IF(OR(D323&lt;=0,E323&lt;=0,F323&lt;=0,D323&lt;=E323),"违规：加仓价必须高于新止损价，金额须大于0",IF(AND(B323&gt;1,COUNTIFS($A$2:$A$1001,A323,$B$2:$B$1001,B323-1,$G$2:$G$1001,"&gt;0")=0),"违规：须先完成上一次加仓",IF(AND(B323&gt;1,E323&lt;SUMIFS($E$2:$E$1001,$A$2:$A$1001,A323,$B$2:$B$1001,B323-1)),"违规：新止损价不得低于上一次",IF(AND(B323&gt;1,F323&gt;SUMIFS($F$2:$F$1001,$A$2:$A$1001,A323,$B$2:$B$1001,B323-1)),"违规：风险预算须逐次不增加",IF(OR(_LockStatus="已锁仓",_LockStatus="解锁信息不完整"),"违规：锁仓期间禁止加仓",IF(G323="","计划可执行：建议股数见N列",IF(OR(G323&lt;=0,G323&lt;&gt;INT(G323),MOD(G323,100)&lt;&gt;0),"违规：实际股数须为100股整数倍",IF(G323&gt;N323,"违规：实际股数超过风险或金字塔上限",IF(AND(B323&gt;1,G323&gt;SUMIFS($G$2:$G$1001,$A$2:$A$1001,A323,$B$2:$B$1001,B323-1)),"违规：加仓股数须逐次不增加",IF(Q323&gt;F323,"违规：止损风险超过本次预算","通过")))))))))))))))</f>
        <v/>
      </c>
    </row>
    <row r="324" ht="17" spans="1:18">
      <c r="A324" s="13"/>
      <c r="B324" s="14"/>
      <c r="C324" s="15"/>
      <c r="D324" s="16"/>
      <c r="E324" s="16"/>
      <c r="F324" s="16"/>
      <c r="G324" s="14"/>
      <c r="H324" s="17" t="str">
        <f t="shared" si="40"/>
        <v/>
      </c>
      <c r="I324" s="18" t="str">
        <f>IF(OR(A324="",B324=""),"",IFERROR(LOOKUP(2,1/(单次交易!$A$2:$A$201=A324),单次交易!$H$2:$H$201),0)+SUMIFS($G$2:$G$1001,$A$2:$A$1001,A324,$B$2:$B$1001,"&lt;"&amp;B324))</f>
        <v/>
      </c>
      <c r="J324" s="17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17" t="str">
        <f t="shared" si="41"/>
        <v/>
      </c>
      <c r="L324" s="18" t="str">
        <f t="shared" si="42"/>
        <v/>
      </c>
      <c r="M324" s="18" t="str">
        <f t="shared" si="43"/>
        <v/>
      </c>
      <c r="N324" s="18" t="str">
        <f t="shared" si="44"/>
        <v/>
      </c>
      <c r="O324" s="18" t="str">
        <f t="shared" si="45"/>
        <v/>
      </c>
      <c r="P324" s="17" t="str">
        <f t="shared" si="46"/>
        <v/>
      </c>
      <c r="Q324" s="17" t="str">
        <f t="shared" si="47"/>
        <v/>
      </c>
      <c r="R324" s="19" t="str">
        <f ca="1">IF(A324="","",IF(COUNTIF(_TradeIds,A324)=0,"违规：交易编号不存在",IF(OR(B324="",B324&lt;1,B324&gt;5,B324&lt;&gt;INT(B324)),"违规：加仓序号须为1到5的整数",IF(COUNTIFS($A$2:$A$1001,A324,$B$2:$B$1001,B324)&gt;1,"违规：同一交易的加仓序号重复",IF(OR(D324="",E324="",F324=""),"计划不完整：请填写加仓价、新止损价和风险预算",IF(OR(D324&lt;=0,E324&lt;=0,F324&lt;=0,D324&lt;=E324),"违规：加仓价必须高于新止损价，金额须大于0",IF(AND(B324&gt;1,COUNTIFS($A$2:$A$1001,A324,$B$2:$B$1001,B324-1,$G$2:$G$1001,"&gt;0")=0),"违规：须先完成上一次加仓",IF(AND(B324&gt;1,E324&lt;SUMIFS($E$2:$E$1001,$A$2:$A$1001,A324,$B$2:$B$1001,B324-1)),"违规：新止损价不得低于上一次",IF(AND(B324&gt;1,F324&gt;SUMIFS($F$2:$F$1001,$A$2:$A$1001,A324,$B$2:$B$1001,B324-1)),"违规：风险预算须逐次不增加",IF(OR(_LockStatus="已锁仓",_LockStatus="解锁信息不完整"),"违规：锁仓期间禁止加仓",IF(G324="","计划可执行：建议股数见N列",IF(OR(G324&lt;=0,G324&lt;&gt;INT(G324),MOD(G324,100)&lt;&gt;0),"违规：实际股数须为100股整数倍",IF(G324&gt;N324,"违规：实际股数超过风险或金字塔上限",IF(AND(B324&gt;1,G324&gt;SUMIFS($G$2:$G$1001,$A$2:$A$1001,A324,$B$2:$B$1001,B324-1)),"违规：加仓股数须逐次不增加",IF(Q324&gt;F324,"违规：止损风险超过本次预算","通过")))))))))))))))</f>
        <v/>
      </c>
    </row>
    <row r="325" ht="17" spans="1:18">
      <c r="A325" s="13"/>
      <c r="B325" s="14"/>
      <c r="C325" s="15"/>
      <c r="D325" s="16"/>
      <c r="E325" s="16"/>
      <c r="F325" s="16"/>
      <c r="G325" s="14"/>
      <c r="H325" s="17" t="str">
        <f t="shared" si="40"/>
        <v/>
      </c>
      <c r="I325" s="18" t="str">
        <f>IF(OR(A325="",B325=""),"",IFERROR(LOOKUP(2,1/(单次交易!$A$2:$A$201=A325),单次交易!$H$2:$H$201),0)+SUMIFS($G$2:$G$1001,$A$2:$A$1001,A325,$B$2:$B$1001,"&lt;"&amp;B325))</f>
        <v/>
      </c>
      <c r="J325" s="17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17" t="str">
        <f t="shared" si="41"/>
        <v/>
      </c>
      <c r="L325" s="18" t="str">
        <f t="shared" si="42"/>
        <v/>
      </c>
      <c r="M325" s="18" t="str">
        <f t="shared" si="43"/>
        <v/>
      </c>
      <c r="N325" s="18" t="str">
        <f t="shared" si="44"/>
        <v/>
      </c>
      <c r="O325" s="18" t="str">
        <f t="shared" si="45"/>
        <v/>
      </c>
      <c r="P325" s="17" t="str">
        <f t="shared" si="46"/>
        <v/>
      </c>
      <c r="Q325" s="17" t="str">
        <f t="shared" si="47"/>
        <v/>
      </c>
      <c r="R325" s="19" t="str">
        <f ca="1">IF(A325="","",IF(COUNTIF(_TradeIds,A325)=0,"违规：交易编号不存在",IF(OR(B325="",B325&lt;1,B325&gt;5,B325&lt;&gt;INT(B325)),"违规：加仓序号须为1到5的整数",IF(COUNTIFS($A$2:$A$1001,A325,$B$2:$B$1001,B325)&gt;1,"违规：同一交易的加仓序号重复",IF(OR(D325="",E325="",F325=""),"计划不完整：请填写加仓价、新止损价和风险预算",IF(OR(D325&lt;=0,E325&lt;=0,F325&lt;=0,D325&lt;=E325),"违规：加仓价必须高于新止损价，金额须大于0",IF(AND(B325&gt;1,COUNTIFS($A$2:$A$1001,A325,$B$2:$B$1001,B325-1,$G$2:$G$1001,"&gt;0")=0),"违规：须先完成上一次加仓",IF(AND(B325&gt;1,E325&lt;SUMIFS($E$2:$E$1001,$A$2:$A$1001,A325,$B$2:$B$1001,B325-1)),"违规：新止损价不得低于上一次",IF(AND(B325&gt;1,F325&gt;SUMIFS($F$2:$F$1001,$A$2:$A$1001,A325,$B$2:$B$1001,B325-1)),"违规：风险预算须逐次不增加",IF(OR(_LockStatus="已锁仓",_LockStatus="解锁信息不完整"),"违规：锁仓期间禁止加仓",IF(G325="","计划可执行：建议股数见N列",IF(OR(G325&lt;=0,G325&lt;&gt;INT(G325),MOD(G325,100)&lt;&gt;0),"违规：实际股数须为100股整数倍",IF(G325&gt;N325,"违规：实际股数超过风险或金字塔上限",IF(AND(B325&gt;1,G325&gt;SUMIFS($G$2:$G$1001,$A$2:$A$1001,A325,$B$2:$B$1001,B325-1)),"违规：加仓股数须逐次不增加",IF(Q325&gt;F325,"违规：止损风险超过本次预算","通过")))))))))))))))</f>
        <v/>
      </c>
    </row>
    <row r="326" ht="17" spans="1:18">
      <c r="A326" s="13"/>
      <c r="B326" s="14"/>
      <c r="C326" s="15"/>
      <c r="D326" s="16"/>
      <c r="E326" s="16"/>
      <c r="F326" s="16"/>
      <c r="G326" s="14"/>
      <c r="H326" s="17" t="str">
        <f t="shared" si="40"/>
        <v/>
      </c>
      <c r="I326" s="18" t="str">
        <f>IF(OR(A326="",B326=""),"",IFERROR(LOOKUP(2,1/(单次交易!$A$2:$A$201=A326),单次交易!$H$2:$H$201),0)+SUMIFS($G$2:$G$1001,$A$2:$A$1001,A326,$B$2:$B$1001,"&lt;"&amp;B326))</f>
        <v/>
      </c>
      <c r="J326" s="17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17" t="str">
        <f t="shared" si="41"/>
        <v/>
      </c>
      <c r="L326" s="18" t="str">
        <f t="shared" si="42"/>
        <v/>
      </c>
      <c r="M326" s="18" t="str">
        <f t="shared" si="43"/>
        <v/>
      </c>
      <c r="N326" s="18" t="str">
        <f t="shared" si="44"/>
        <v/>
      </c>
      <c r="O326" s="18" t="str">
        <f t="shared" si="45"/>
        <v/>
      </c>
      <c r="P326" s="17" t="str">
        <f t="shared" si="46"/>
        <v/>
      </c>
      <c r="Q326" s="17" t="str">
        <f t="shared" si="47"/>
        <v/>
      </c>
      <c r="R326" s="19" t="str">
        <f ca="1">IF(A326="","",IF(COUNTIF(_TradeIds,A326)=0,"违规：交易编号不存在",IF(OR(B326="",B326&lt;1,B326&gt;5,B326&lt;&gt;INT(B326)),"违规：加仓序号须为1到5的整数",IF(COUNTIFS($A$2:$A$1001,A326,$B$2:$B$1001,B326)&gt;1,"违规：同一交易的加仓序号重复",IF(OR(D326="",E326="",F326=""),"计划不完整：请填写加仓价、新止损价和风险预算",IF(OR(D326&lt;=0,E326&lt;=0,F326&lt;=0,D326&lt;=E326),"违规：加仓价必须高于新止损价，金额须大于0",IF(AND(B326&gt;1,COUNTIFS($A$2:$A$1001,A326,$B$2:$B$1001,B326-1,$G$2:$G$1001,"&gt;0")=0),"违规：须先完成上一次加仓",IF(AND(B326&gt;1,E326&lt;SUMIFS($E$2:$E$1001,$A$2:$A$1001,A326,$B$2:$B$1001,B326-1)),"违规：新止损价不得低于上一次",IF(AND(B326&gt;1,F326&gt;SUMIFS($F$2:$F$1001,$A$2:$A$1001,A326,$B$2:$B$1001,B326-1)),"违规：风险预算须逐次不增加",IF(OR(_LockStatus="已锁仓",_LockStatus="解锁信息不完整"),"违规：锁仓期间禁止加仓",IF(G326="","计划可执行：建议股数见N列",IF(OR(G326&lt;=0,G326&lt;&gt;INT(G326),MOD(G326,100)&lt;&gt;0),"违规：实际股数须为100股整数倍",IF(G326&gt;N326,"违规：实际股数超过风险或金字塔上限",IF(AND(B326&gt;1,G326&gt;SUMIFS($G$2:$G$1001,$A$2:$A$1001,A326,$B$2:$B$1001,B326-1)),"违规：加仓股数须逐次不增加",IF(Q326&gt;F326,"违规：止损风险超过本次预算","通过")))))))))))))))</f>
        <v/>
      </c>
    </row>
    <row r="327" ht="17" spans="1:18">
      <c r="A327" s="13"/>
      <c r="B327" s="14"/>
      <c r="C327" s="15"/>
      <c r="D327" s="16"/>
      <c r="E327" s="16"/>
      <c r="F327" s="16"/>
      <c r="G327" s="14"/>
      <c r="H327" s="17" t="str">
        <f t="shared" si="40"/>
        <v/>
      </c>
      <c r="I327" s="18" t="str">
        <f>IF(OR(A327="",B327=""),"",IFERROR(LOOKUP(2,1/(单次交易!$A$2:$A$201=A327),单次交易!$H$2:$H$201),0)+SUMIFS($G$2:$G$1001,$A$2:$A$1001,A327,$B$2:$B$1001,"&lt;"&amp;B327))</f>
        <v/>
      </c>
      <c r="J327" s="17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17" t="str">
        <f t="shared" si="41"/>
        <v/>
      </c>
      <c r="L327" s="18" t="str">
        <f t="shared" si="42"/>
        <v/>
      </c>
      <c r="M327" s="18" t="str">
        <f t="shared" si="43"/>
        <v/>
      </c>
      <c r="N327" s="18" t="str">
        <f t="shared" si="44"/>
        <v/>
      </c>
      <c r="O327" s="18" t="str">
        <f t="shared" si="45"/>
        <v/>
      </c>
      <c r="P327" s="17" t="str">
        <f t="shared" si="46"/>
        <v/>
      </c>
      <c r="Q327" s="17" t="str">
        <f t="shared" si="47"/>
        <v/>
      </c>
      <c r="R327" s="19" t="str">
        <f ca="1">IF(A327="","",IF(COUNTIF(_TradeIds,A327)=0,"违规：交易编号不存在",IF(OR(B327="",B327&lt;1,B327&gt;5,B327&lt;&gt;INT(B327)),"违规：加仓序号须为1到5的整数",IF(COUNTIFS($A$2:$A$1001,A327,$B$2:$B$1001,B327)&gt;1,"违规：同一交易的加仓序号重复",IF(OR(D327="",E327="",F327=""),"计划不完整：请填写加仓价、新止损价和风险预算",IF(OR(D327&lt;=0,E327&lt;=0,F327&lt;=0,D327&lt;=E327),"违规：加仓价必须高于新止损价，金额须大于0",IF(AND(B327&gt;1,COUNTIFS($A$2:$A$1001,A327,$B$2:$B$1001,B327-1,$G$2:$G$1001,"&gt;0")=0),"违规：须先完成上一次加仓",IF(AND(B327&gt;1,E327&lt;SUMIFS($E$2:$E$1001,$A$2:$A$1001,A327,$B$2:$B$1001,B327-1)),"违规：新止损价不得低于上一次",IF(AND(B327&gt;1,F327&gt;SUMIFS($F$2:$F$1001,$A$2:$A$1001,A327,$B$2:$B$1001,B327-1)),"违规：风险预算须逐次不增加",IF(OR(_LockStatus="已锁仓",_LockStatus="解锁信息不完整"),"违规：锁仓期间禁止加仓",IF(G327="","计划可执行：建议股数见N列",IF(OR(G327&lt;=0,G327&lt;&gt;INT(G327),MOD(G327,100)&lt;&gt;0),"违规：实际股数须为100股整数倍",IF(G327&gt;N327,"违规：实际股数超过风险或金字塔上限",IF(AND(B327&gt;1,G327&gt;SUMIFS($G$2:$G$1001,$A$2:$A$1001,A327,$B$2:$B$1001,B327-1)),"违规：加仓股数须逐次不增加",IF(Q327&gt;F327,"违规：止损风险超过本次预算","通过")))))))))))))))</f>
        <v/>
      </c>
    </row>
    <row r="328" ht="17" spans="1:18">
      <c r="A328" s="13"/>
      <c r="B328" s="14"/>
      <c r="C328" s="15"/>
      <c r="D328" s="16"/>
      <c r="E328" s="16"/>
      <c r="F328" s="16"/>
      <c r="G328" s="14"/>
      <c r="H328" s="17" t="str">
        <f t="shared" si="40"/>
        <v/>
      </c>
      <c r="I328" s="18" t="str">
        <f>IF(OR(A328="",B328=""),"",IFERROR(LOOKUP(2,1/(单次交易!$A$2:$A$201=A328),单次交易!$H$2:$H$201),0)+SUMIFS($G$2:$G$1001,$A$2:$A$1001,A328,$B$2:$B$1001,"&lt;"&amp;B328))</f>
        <v/>
      </c>
      <c r="J328" s="17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17" t="str">
        <f t="shared" si="41"/>
        <v/>
      </c>
      <c r="L328" s="18" t="str">
        <f t="shared" si="42"/>
        <v/>
      </c>
      <c r="M328" s="18" t="str">
        <f t="shared" si="43"/>
        <v/>
      </c>
      <c r="N328" s="18" t="str">
        <f t="shared" si="44"/>
        <v/>
      </c>
      <c r="O328" s="18" t="str">
        <f t="shared" si="45"/>
        <v/>
      </c>
      <c r="P328" s="17" t="str">
        <f t="shared" si="46"/>
        <v/>
      </c>
      <c r="Q328" s="17" t="str">
        <f t="shared" si="47"/>
        <v/>
      </c>
      <c r="R328" s="19" t="str">
        <f ca="1">IF(A328="","",IF(COUNTIF(_TradeIds,A328)=0,"违规：交易编号不存在",IF(OR(B328="",B328&lt;1,B328&gt;5,B328&lt;&gt;INT(B328)),"违规：加仓序号须为1到5的整数",IF(COUNTIFS($A$2:$A$1001,A328,$B$2:$B$1001,B328)&gt;1,"违规：同一交易的加仓序号重复",IF(OR(D328="",E328="",F328=""),"计划不完整：请填写加仓价、新止损价和风险预算",IF(OR(D328&lt;=0,E328&lt;=0,F328&lt;=0,D328&lt;=E328),"违规：加仓价必须高于新止损价，金额须大于0",IF(AND(B328&gt;1,COUNTIFS($A$2:$A$1001,A328,$B$2:$B$1001,B328-1,$G$2:$G$1001,"&gt;0")=0),"违规：须先完成上一次加仓",IF(AND(B328&gt;1,E328&lt;SUMIFS($E$2:$E$1001,$A$2:$A$1001,A328,$B$2:$B$1001,B328-1)),"违规：新止损价不得低于上一次",IF(AND(B328&gt;1,F328&gt;SUMIFS($F$2:$F$1001,$A$2:$A$1001,A328,$B$2:$B$1001,B328-1)),"违规：风险预算须逐次不增加",IF(OR(_LockStatus="已锁仓",_LockStatus="解锁信息不完整"),"违规：锁仓期间禁止加仓",IF(G328="","计划可执行：建议股数见N列",IF(OR(G328&lt;=0,G328&lt;&gt;INT(G328),MOD(G328,100)&lt;&gt;0),"违规：实际股数须为100股整数倍",IF(G328&gt;N328,"违规：实际股数超过风险或金字塔上限",IF(AND(B328&gt;1,G328&gt;SUMIFS($G$2:$G$1001,$A$2:$A$1001,A328,$B$2:$B$1001,B328-1)),"违规：加仓股数须逐次不增加",IF(Q328&gt;F328,"违规：止损风险超过本次预算","通过")))))))))))))))</f>
        <v/>
      </c>
    </row>
    <row r="329" ht="17" spans="1:18">
      <c r="A329" s="13"/>
      <c r="B329" s="14"/>
      <c r="C329" s="15"/>
      <c r="D329" s="16"/>
      <c r="E329" s="16"/>
      <c r="F329" s="16"/>
      <c r="G329" s="14"/>
      <c r="H329" s="17" t="str">
        <f t="shared" si="40"/>
        <v/>
      </c>
      <c r="I329" s="18" t="str">
        <f>IF(OR(A329="",B329=""),"",IFERROR(LOOKUP(2,1/(单次交易!$A$2:$A$201=A329),单次交易!$H$2:$H$201),0)+SUMIFS($G$2:$G$1001,$A$2:$A$1001,A329,$B$2:$B$1001,"&lt;"&amp;B329))</f>
        <v/>
      </c>
      <c r="J329" s="17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17" t="str">
        <f t="shared" si="41"/>
        <v/>
      </c>
      <c r="L329" s="18" t="str">
        <f t="shared" si="42"/>
        <v/>
      </c>
      <c r="M329" s="18" t="str">
        <f t="shared" si="43"/>
        <v/>
      </c>
      <c r="N329" s="18" t="str">
        <f t="shared" si="44"/>
        <v/>
      </c>
      <c r="O329" s="18" t="str">
        <f t="shared" si="45"/>
        <v/>
      </c>
      <c r="P329" s="17" t="str">
        <f t="shared" si="46"/>
        <v/>
      </c>
      <c r="Q329" s="17" t="str">
        <f t="shared" si="47"/>
        <v/>
      </c>
      <c r="R329" s="19" t="str">
        <f ca="1">IF(A329="","",IF(COUNTIF(_TradeIds,A329)=0,"违规：交易编号不存在",IF(OR(B329="",B329&lt;1,B329&gt;5,B329&lt;&gt;INT(B329)),"违规：加仓序号须为1到5的整数",IF(COUNTIFS($A$2:$A$1001,A329,$B$2:$B$1001,B329)&gt;1,"违规：同一交易的加仓序号重复",IF(OR(D329="",E329="",F329=""),"计划不完整：请填写加仓价、新止损价和风险预算",IF(OR(D329&lt;=0,E329&lt;=0,F329&lt;=0,D329&lt;=E329),"违规：加仓价必须高于新止损价，金额须大于0",IF(AND(B329&gt;1,COUNTIFS($A$2:$A$1001,A329,$B$2:$B$1001,B329-1,$G$2:$G$1001,"&gt;0")=0),"违规：须先完成上一次加仓",IF(AND(B329&gt;1,E329&lt;SUMIFS($E$2:$E$1001,$A$2:$A$1001,A329,$B$2:$B$1001,B329-1)),"违规：新止损价不得低于上一次",IF(AND(B329&gt;1,F329&gt;SUMIFS($F$2:$F$1001,$A$2:$A$1001,A329,$B$2:$B$1001,B329-1)),"违规：风险预算须逐次不增加",IF(OR(_LockStatus="已锁仓",_LockStatus="解锁信息不完整"),"违规：锁仓期间禁止加仓",IF(G329="","计划可执行：建议股数见N列",IF(OR(G329&lt;=0,G329&lt;&gt;INT(G329),MOD(G329,100)&lt;&gt;0),"违规：实际股数须为100股整数倍",IF(G329&gt;N329,"违规：实际股数超过风险或金字塔上限",IF(AND(B329&gt;1,G329&gt;SUMIFS($G$2:$G$1001,$A$2:$A$1001,A329,$B$2:$B$1001,B329-1)),"违规：加仓股数须逐次不增加",IF(Q329&gt;F329,"违规：止损风险超过本次预算","通过")))))))))))))))</f>
        <v/>
      </c>
    </row>
    <row r="330" ht="17" spans="1:18">
      <c r="A330" s="13"/>
      <c r="B330" s="14"/>
      <c r="C330" s="15"/>
      <c r="D330" s="16"/>
      <c r="E330" s="16"/>
      <c r="F330" s="16"/>
      <c r="G330" s="14"/>
      <c r="H330" s="17" t="str">
        <f t="shared" si="40"/>
        <v/>
      </c>
      <c r="I330" s="18" t="str">
        <f>IF(OR(A330="",B330=""),"",IFERROR(LOOKUP(2,1/(单次交易!$A$2:$A$201=A330),单次交易!$H$2:$H$201),0)+SUMIFS($G$2:$G$1001,$A$2:$A$1001,A330,$B$2:$B$1001,"&lt;"&amp;B330))</f>
        <v/>
      </c>
      <c r="J330" s="17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17" t="str">
        <f t="shared" si="41"/>
        <v/>
      </c>
      <c r="L330" s="18" t="str">
        <f t="shared" si="42"/>
        <v/>
      </c>
      <c r="M330" s="18" t="str">
        <f t="shared" si="43"/>
        <v/>
      </c>
      <c r="N330" s="18" t="str">
        <f t="shared" si="44"/>
        <v/>
      </c>
      <c r="O330" s="18" t="str">
        <f t="shared" si="45"/>
        <v/>
      </c>
      <c r="P330" s="17" t="str">
        <f t="shared" si="46"/>
        <v/>
      </c>
      <c r="Q330" s="17" t="str">
        <f t="shared" si="47"/>
        <v/>
      </c>
      <c r="R330" s="19" t="str">
        <f ca="1">IF(A330="","",IF(COUNTIF(_TradeIds,A330)=0,"违规：交易编号不存在",IF(OR(B330="",B330&lt;1,B330&gt;5,B330&lt;&gt;INT(B330)),"违规：加仓序号须为1到5的整数",IF(COUNTIFS($A$2:$A$1001,A330,$B$2:$B$1001,B330)&gt;1,"违规：同一交易的加仓序号重复",IF(OR(D330="",E330="",F330=""),"计划不完整：请填写加仓价、新止损价和风险预算",IF(OR(D330&lt;=0,E330&lt;=0,F330&lt;=0,D330&lt;=E330),"违规：加仓价必须高于新止损价，金额须大于0",IF(AND(B330&gt;1,COUNTIFS($A$2:$A$1001,A330,$B$2:$B$1001,B330-1,$G$2:$G$1001,"&gt;0")=0),"违规：须先完成上一次加仓",IF(AND(B330&gt;1,E330&lt;SUMIFS($E$2:$E$1001,$A$2:$A$1001,A330,$B$2:$B$1001,B330-1)),"违规：新止损价不得低于上一次",IF(AND(B330&gt;1,F330&gt;SUMIFS($F$2:$F$1001,$A$2:$A$1001,A330,$B$2:$B$1001,B330-1)),"违规：风险预算须逐次不增加",IF(OR(_LockStatus="已锁仓",_LockStatus="解锁信息不完整"),"违规：锁仓期间禁止加仓",IF(G330="","计划可执行：建议股数见N列",IF(OR(G330&lt;=0,G330&lt;&gt;INT(G330),MOD(G330,100)&lt;&gt;0),"违规：实际股数须为100股整数倍",IF(G330&gt;N330,"违规：实际股数超过风险或金字塔上限",IF(AND(B330&gt;1,G330&gt;SUMIFS($G$2:$G$1001,$A$2:$A$1001,A330,$B$2:$B$1001,B330-1)),"违规：加仓股数须逐次不增加",IF(Q330&gt;F330,"违规：止损风险超过本次预算","通过")))))))))))))))</f>
        <v/>
      </c>
    </row>
    <row r="331" ht="17" spans="1:18">
      <c r="A331" s="13"/>
      <c r="B331" s="14"/>
      <c r="C331" s="15"/>
      <c r="D331" s="16"/>
      <c r="E331" s="16"/>
      <c r="F331" s="16"/>
      <c r="G331" s="14"/>
      <c r="H331" s="17" t="str">
        <f t="shared" si="40"/>
        <v/>
      </c>
      <c r="I331" s="18" t="str">
        <f>IF(OR(A331="",B331=""),"",IFERROR(LOOKUP(2,1/(单次交易!$A$2:$A$201=A331),单次交易!$H$2:$H$201),0)+SUMIFS($G$2:$G$1001,$A$2:$A$1001,A331,$B$2:$B$1001,"&lt;"&amp;B331))</f>
        <v/>
      </c>
      <c r="J331" s="17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17" t="str">
        <f t="shared" si="41"/>
        <v/>
      </c>
      <c r="L331" s="18" t="str">
        <f t="shared" si="42"/>
        <v/>
      </c>
      <c r="M331" s="18" t="str">
        <f t="shared" si="43"/>
        <v/>
      </c>
      <c r="N331" s="18" t="str">
        <f t="shared" si="44"/>
        <v/>
      </c>
      <c r="O331" s="18" t="str">
        <f t="shared" si="45"/>
        <v/>
      </c>
      <c r="P331" s="17" t="str">
        <f t="shared" si="46"/>
        <v/>
      </c>
      <c r="Q331" s="17" t="str">
        <f t="shared" si="47"/>
        <v/>
      </c>
      <c r="R331" s="19" t="str">
        <f ca="1">IF(A331="","",IF(COUNTIF(_TradeIds,A331)=0,"违规：交易编号不存在",IF(OR(B331="",B331&lt;1,B331&gt;5,B331&lt;&gt;INT(B331)),"违规：加仓序号须为1到5的整数",IF(COUNTIFS($A$2:$A$1001,A331,$B$2:$B$1001,B331)&gt;1,"违规：同一交易的加仓序号重复",IF(OR(D331="",E331="",F331=""),"计划不完整：请填写加仓价、新止损价和风险预算",IF(OR(D331&lt;=0,E331&lt;=0,F331&lt;=0,D331&lt;=E331),"违规：加仓价必须高于新止损价，金额须大于0",IF(AND(B331&gt;1,COUNTIFS($A$2:$A$1001,A331,$B$2:$B$1001,B331-1,$G$2:$G$1001,"&gt;0")=0),"违规：须先完成上一次加仓",IF(AND(B331&gt;1,E331&lt;SUMIFS($E$2:$E$1001,$A$2:$A$1001,A331,$B$2:$B$1001,B331-1)),"违规：新止损价不得低于上一次",IF(AND(B331&gt;1,F331&gt;SUMIFS($F$2:$F$1001,$A$2:$A$1001,A331,$B$2:$B$1001,B331-1)),"违规：风险预算须逐次不增加",IF(OR(_LockStatus="已锁仓",_LockStatus="解锁信息不完整"),"违规：锁仓期间禁止加仓",IF(G331="","计划可执行：建议股数见N列",IF(OR(G331&lt;=0,G331&lt;&gt;INT(G331),MOD(G331,100)&lt;&gt;0),"违规：实际股数须为100股整数倍",IF(G331&gt;N331,"违规：实际股数超过风险或金字塔上限",IF(AND(B331&gt;1,G331&gt;SUMIFS($G$2:$G$1001,$A$2:$A$1001,A331,$B$2:$B$1001,B331-1)),"违规：加仓股数须逐次不增加",IF(Q331&gt;F331,"违规：止损风险超过本次预算","通过")))))))))))))))</f>
        <v/>
      </c>
    </row>
    <row r="332" ht="17" spans="1:18">
      <c r="A332" s="13"/>
      <c r="B332" s="14"/>
      <c r="C332" s="15"/>
      <c r="D332" s="16"/>
      <c r="E332" s="16"/>
      <c r="F332" s="16"/>
      <c r="G332" s="14"/>
      <c r="H332" s="17" t="str">
        <f t="shared" si="40"/>
        <v/>
      </c>
      <c r="I332" s="18" t="str">
        <f>IF(OR(A332="",B332=""),"",IFERROR(LOOKUP(2,1/(单次交易!$A$2:$A$201=A332),单次交易!$H$2:$H$201),0)+SUMIFS($G$2:$G$1001,$A$2:$A$1001,A332,$B$2:$B$1001,"&lt;"&amp;B332))</f>
        <v/>
      </c>
      <c r="J332" s="17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17" t="str">
        <f t="shared" si="41"/>
        <v/>
      </c>
      <c r="L332" s="18" t="str">
        <f t="shared" si="42"/>
        <v/>
      </c>
      <c r="M332" s="18" t="str">
        <f t="shared" si="43"/>
        <v/>
      </c>
      <c r="N332" s="18" t="str">
        <f t="shared" si="44"/>
        <v/>
      </c>
      <c r="O332" s="18" t="str">
        <f t="shared" si="45"/>
        <v/>
      </c>
      <c r="P332" s="17" t="str">
        <f t="shared" si="46"/>
        <v/>
      </c>
      <c r="Q332" s="17" t="str">
        <f t="shared" si="47"/>
        <v/>
      </c>
      <c r="R332" s="19" t="str">
        <f ca="1">IF(A332="","",IF(COUNTIF(_TradeIds,A332)=0,"违规：交易编号不存在",IF(OR(B332="",B332&lt;1,B332&gt;5,B332&lt;&gt;INT(B332)),"违规：加仓序号须为1到5的整数",IF(COUNTIFS($A$2:$A$1001,A332,$B$2:$B$1001,B332)&gt;1,"违规：同一交易的加仓序号重复",IF(OR(D332="",E332="",F332=""),"计划不完整：请填写加仓价、新止损价和风险预算",IF(OR(D332&lt;=0,E332&lt;=0,F332&lt;=0,D332&lt;=E332),"违规：加仓价必须高于新止损价，金额须大于0",IF(AND(B332&gt;1,COUNTIFS($A$2:$A$1001,A332,$B$2:$B$1001,B332-1,$G$2:$G$1001,"&gt;0")=0),"违规：须先完成上一次加仓",IF(AND(B332&gt;1,E332&lt;SUMIFS($E$2:$E$1001,$A$2:$A$1001,A332,$B$2:$B$1001,B332-1)),"违规：新止损价不得低于上一次",IF(AND(B332&gt;1,F332&gt;SUMIFS($F$2:$F$1001,$A$2:$A$1001,A332,$B$2:$B$1001,B332-1)),"违规：风险预算须逐次不增加",IF(OR(_LockStatus="已锁仓",_LockStatus="解锁信息不完整"),"违规：锁仓期间禁止加仓",IF(G332="","计划可执行：建议股数见N列",IF(OR(G332&lt;=0,G332&lt;&gt;INT(G332),MOD(G332,100)&lt;&gt;0),"违规：实际股数须为100股整数倍",IF(G332&gt;N332,"违规：实际股数超过风险或金字塔上限",IF(AND(B332&gt;1,G332&gt;SUMIFS($G$2:$G$1001,$A$2:$A$1001,A332,$B$2:$B$1001,B332-1)),"违规：加仓股数须逐次不增加",IF(Q332&gt;F332,"违规：止损风险超过本次预算","通过")))))))))))))))</f>
        <v/>
      </c>
    </row>
    <row r="333" ht="17" spans="1:18">
      <c r="A333" s="13"/>
      <c r="B333" s="14"/>
      <c r="C333" s="15"/>
      <c r="D333" s="16"/>
      <c r="E333" s="16"/>
      <c r="F333" s="16"/>
      <c r="G333" s="14"/>
      <c r="H333" s="17" t="str">
        <f t="shared" si="40"/>
        <v/>
      </c>
      <c r="I333" s="18" t="str">
        <f>IF(OR(A333="",B333=""),"",IFERROR(LOOKUP(2,1/(单次交易!$A$2:$A$201=A333),单次交易!$H$2:$H$201),0)+SUMIFS($G$2:$G$1001,$A$2:$A$1001,A333,$B$2:$B$1001,"&lt;"&amp;B333))</f>
        <v/>
      </c>
      <c r="J333" s="17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17" t="str">
        <f t="shared" si="41"/>
        <v/>
      </c>
      <c r="L333" s="18" t="str">
        <f t="shared" si="42"/>
        <v/>
      </c>
      <c r="M333" s="18" t="str">
        <f t="shared" si="43"/>
        <v/>
      </c>
      <c r="N333" s="18" t="str">
        <f t="shared" si="44"/>
        <v/>
      </c>
      <c r="O333" s="18" t="str">
        <f t="shared" si="45"/>
        <v/>
      </c>
      <c r="P333" s="17" t="str">
        <f t="shared" si="46"/>
        <v/>
      </c>
      <c r="Q333" s="17" t="str">
        <f t="shared" si="47"/>
        <v/>
      </c>
      <c r="R333" s="19" t="str">
        <f ca="1">IF(A333="","",IF(COUNTIF(_TradeIds,A333)=0,"违规：交易编号不存在",IF(OR(B333="",B333&lt;1,B333&gt;5,B333&lt;&gt;INT(B333)),"违规：加仓序号须为1到5的整数",IF(COUNTIFS($A$2:$A$1001,A333,$B$2:$B$1001,B333)&gt;1,"违规：同一交易的加仓序号重复",IF(OR(D333="",E333="",F333=""),"计划不完整：请填写加仓价、新止损价和风险预算",IF(OR(D333&lt;=0,E333&lt;=0,F333&lt;=0,D333&lt;=E333),"违规：加仓价必须高于新止损价，金额须大于0",IF(AND(B333&gt;1,COUNTIFS($A$2:$A$1001,A333,$B$2:$B$1001,B333-1,$G$2:$G$1001,"&gt;0")=0),"违规：须先完成上一次加仓",IF(AND(B333&gt;1,E333&lt;SUMIFS($E$2:$E$1001,$A$2:$A$1001,A333,$B$2:$B$1001,B333-1)),"违规：新止损价不得低于上一次",IF(AND(B333&gt;1,F333&gt;SUMIFS($F$2:$F$1001,$A$2:$A$1001,A333,$B$2:$B$1001,B333-1)),"违规：风险预算须逐次不增加",IF(OR(_LockStatus="已锁仓",_LockStatus="解锁信息不完整"),"违规：锁仓期间禁止加仓",IF(G333="","计划可执行：建议股数见N列",IF(OR(G333&lt;=0,G333&lt;&gt;INT(G333),MOD(G333,100)&lt;&gt;0),"违规：实际股数须为100股整数倍",IF(G333&gt;N333,"违规：实际股数超过风险或金字塔上限",IF(AND(B333&gt;1,G333&gt;SUMIFS($G$2:$G$1001,$A$2:$A$1001,A333,$B$2:$B$1001,B333-1)),"违规：加仓股数须逐次不增加",IF(Q333&gt;F333,"违规：止损风险超过本次预算","通过")))))))))))))))</f>
        <v/>
      </c>
    </row>
    <row r="334" ht="17" spans="1:18">
      <c r="A334" s="13"/>
      <c r="B334" s="14"/>
      <c r="C334" s="15"/>
      <c r="D334" s="16"/>
      <c r="E334" s="16"/>
      <c r="F334" s="16"/>
      <c r="G334" s="14"/>
      <c r="H334" s="17" t="str">
        <f t="shared" si="40"/>
        <v/>
      </c>
      <c r="I334" s="18" t="str">
        <f>IF(OR(A334="",B334=""),"",IFERROR(LOOKUP(2,1/(单次交易!$A$2:$A$201=A334),单次交易!$H$2:$H$201),0)+SUMIFS($G$2:$G$1001,$A$2:$A$1001,A334,$B$2:$B$1001,"&lt;"&amp;B334))</f>
        <v/>
      </c>
      <c r="J334" s="17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17" t="str">
        <f t="shared" si="41"/>
        <v/>
      </c>
      <c r="L334" s="18" t="str">
        <f t="shared" si="42"/>
        <v/>
      </c>
      <c r="M334" s="18" t="str">
        <f t="shared" si="43"/>
        <v/>
      </c>
      <c r="N334" s="18" t="str">
        <f t="shared" si="44"/>
        <v/>
      </c>
      <c r="O334" s="18" t="str">
        <f t="shared" si="45"/>
        <v/>
      </c>
      <c r="P334" s="17" t="str">
        <f t="shared" si="46"/>
        <v/>
      </c>
      <c r="Q334" s="17" t="str">
        <f t="shared" si="47"/>
        <v/>
      </c>
      <c r="R334" s="19" t="str">
        <f ca="1">IF(A334="","",IF(COUNTIF(_TradeIds,A334)=0,"违规：交易编号不存在",IF(OR(B334="",B334&lt;1,B334&gt;5,B334&lt;&gt;INT(B334)),"违规：加仓序号须为1到5的整数",IF(COUNTIFS($A$2:$A$1001,A334,$B$2:$B$1001,B334)&gt;1,"违规：同一交易的加仓序号重复",IF(OR(D334="",E334="",F334=""),"计划不完整：请填写加仓价、新止损价和风险预算",IF(OR(D334&lt;=0,E334&lt;=0,F334&lt;=0,D334&lt;=E334),"违规：加仓价必须高于新止损价，金额须大于0",IF(AND(B334&gt;1,COUNTIFS($A$2:$A$1001,A334,$B$2:$B$1001,B334-1,$G$2:$G$1001,"&gt;0")=0),"违规：须先完成上一次加仓",IF(AND(B334&gt;1,E334&lt;SUMIFS($E$2:$E$1001,$A$2:$A$1001,A334,$B$2:$B$1001,B334-1)),"违规：新止损价不得低于上一次",IF(AND(B334&gt;1,F334&gt;SUMIFS($F$2:$F$1001,$A$2:$A$1001,A334,$B$2:$B$1001,B334-1)),"违规：风险预算须逐次不增加",IF(OR(_LockStatus="已锁仓",_LockStatus="解锁信息不完整"),"违规：锁仓期间禁止加仓",IF(G334="","计划可执行：建议股数见N列",IF(OR(G334&lt;=0,G334&lt;&gt;INT(G334),MOD(G334,100)&lt;&gt;0),"违规：实际股数须为100股整数倍",IF(G334&gt;N334,"违规：实际股数超过风险或金字塔上限",IF(AND(B334&gt;1,G334&gt;SUMIFS($G$2:$G$1001,$A$2:$A$1001,A334,$B$2:$B$1001,B334-1)),"违规：加仓股数须逐次不增加",IF(Q334&gt;F334,"违规：止损风险超过本次预算","通过")))))))))))))))</f>
        <v/>
      </c>
    </row>
    <row r="335" ht="17" spans="1:18">
      <c r="A335" s="13"/>
      <c r="B335" s="14"/>
      <c r="C335" s="15"/>
      <c r="D335" s="16"/>
      <c r="E335" s="16"/>
      <c r="F335" s="16"/>
      <c r="G335" s="14"/>
      <c r="H335" s="17" t="str">
        <f t="shared" si="40"/>
        <v/>
      </c>
      <c r="I335" s="18" t="str">
        <f>IF(OR(A335="",B335=""),"",IFERROR(LOOKUP(2,1/(单次交易!$A$2:$A$201=A335),单次交易!$H$2:$H$201),0)+SUMIFS($G$2:$G$1001,$A$2:$A$1001,A335,$B$2:$B$1001,"&lt;"&amp;B335))</f>
        <v/>
      </c>
      <c r="J335" s="17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17" t="str">
        <f t="shared" si="41"/>
        <v/>
      </c>
      <c r="L335" s="18" t="str">
        <f t="shared" si="42"/>
        <v/>
      </c>
      <c r="M335" s="18" t="str">
        <f t="shared" si="43"/>
        <v/>
      </c>
      <c r="N335" s="18" t="str">
        <f t="shared" si="44"/>
        <v/>
      </c>
      <c r="O335" s="18" t="str">
        <f t="shared" si="45"/>
        <v/>
      </c>
      <c r="P335" s="17" t="str">
        <f t="shared" si="46"/>
        <v/>
      </c>
      <c r="Q335" s="17" t="str">
        <f t="shared" si="47"/>
        <v/>
      </c>
      <c r="R335" s="19" t="str">
        <f ca="1">IF(A335="","",IF(COUNTIF(_TradeIds,A335)=0,"违规：交易编号不存在",IF(OR(B335="",B335&lt;1,B335&gt;5,B335&lt;&gt;INT(B335)),"违规：加仓序号须为1到5的整数",IF(COUNTIFS($A$2:$A$1001,A335,$B$2:$B$1001,B335)&gt;1,"违规：同一交易的加仓序号重复",IF(OR(D335="",E335="",F335=""),"计划不完整：请填写加仓价、新止损价和风险预算",IF(OR(D335&lt;=0,E335&lt;=0,F335&lt;=0,D335&lt;=E335),"违规：加仓价必须高于新止损价，金额须大于0",IF(AND(B335&gt;1,COUNTIFS($A$2:$A$1001,A335,$B$2:$B$1001,B335-1,$G$2:$G$1001,"&gt;0")=0),"违规：须先完成上一次加仓",IF(AND(B335&gt;1,E335&lt;SUMIFS($E$2:$E$1001,$A$2:$A$1001,A335,$B$2:$B$1001,B335-1)),"违规：新止损价不得低于上一次",IF(AND(B335&gt;1,F335&gt;SUMIFS($F$2:$F$1001,$A$2:$A$1001,A335,$B$2:$B$1001,B335-1)),"违规：风险预算须逐次不增加",IF(OR(_LockStatus="已锁仓",_LockStatus="解锁信息不完整"),"违规：锁仓期间禁止加仓",IF(G335="","计划可执行：建议股数见N列",IF(OR(G335&lt;=0,G335&lt;&gt;INT(G335),MOD(G335,100)&lt;&gt;0),"违规：实际股数须为100股整数倍",IF(G335&gt;N335,"违规：实际股数超过风险或金字塔上限",IF(AND(B335&gt;1,G335&gt;SUMIFS($G$2:$G$1001,$A$2:$A$1001,A335,$B$2:$B$1001,B335-1)),"违规：加仓股数须逐次不增加",IF(Q335&gt;F335,"违规：止损风险超过本次预算","通过")))))))))))))))</f>
        <v/>
      </c>
    </row>
    <row r="336" ht="17" spans="1:18">
      <c r="A336" s="13"/>
      <c r="B336" s="14"/>
      <c r="C336" s="15"/>
      <c r="D336" s="16"/>
      <c r="E336" s="16"/>
      <c r="F336" s="16"/>
      <c r="G336" s="14"/>
      <c r="H336" s="17" t="str">
        <f t="shared" si="40"/>
        <v/>
      </c>
      <c r="I336" s="18" t="str">
        <f>IF(OR(A336="",B336=""),"",IFERROR(LOOKUP(2,1/(单次交易!$A$2:$A$201=A336),单次交易!$H$2:$H$201),0)+SUMIFS($G$2:$G$1001,$A$2:$A$1001,A336,$B$2:$B$1001,"&lt;"&amp;B336))</f>
        <v/>
      </c>
      <c r="J336" s="17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17" t="str">
        <f t="shared" si="41"/>
        <v/>
      </c>
      <c r="L336" s="18" t="str">
        <f t="shared" si="42"/>
        <v/>
      </c>
      <c r="M336" s="18" t="str">
        <f t="shared" si="43"/>
        <v/>
      </c>
      <c r="N336" s="18" t="str">
        <f t="shared" si="44"/>
        <v/>
      </c>
      <c r="O336" s="18" t="str">
        <f t="shared" si="45"/>
        <v/>
      </c>
      <c r="P336" s="17" t="str">
        <f t="shared" si="46"/>
        <v/>
      </c>
      <c r="Q336" s="17" t="str">
        <f t="shared" si="47"/>
        <v/>
      </c>
      <c r="R336" s="19" t="str">
        <f ca="1">IF(A336="","",IF(COUNTIF(_TradeIds,A336)=0,"违规：交易编号不存在",IF(OR(B336="",B336&lt;1,B336&gt;5,B336&lt;&gt;INT(B336)),"违规：加仓序号须为1到5的整数",IF(COUNTIFS($A$2:$A$1001,A336,$B$2:$B$1001,B336)&gt;1,"违规：同一交易的加仓序号重复",IF(OR(D336="",E336="",F336=""),"计划不完整：请填写加仓价、新止损价和风险预算",IF(OR(D336&lt;=0,E336&lt;=0,F336&lt;=0,D336&lt;=E336),"违规：加仓价必须高于新止损价，金额须大于0",IF(AND(B336&gt;1,COUNTIFS($A$2:$A$1001,A336,$B$2:$B$1001,B336-1,$G$2:$G$1001,"&gt;0")=0),"违规：须先完成上一次加仓",IF(AND(B336&gt;1,E336&lt;SUMIFS($E$2:$E$1001,$A$2:$A$1001,A336,$B$2:$B$1001,B336-1)),"违规：新止损价不得低于上一次",IF(AND(B336&gt;1,F336&gt;SUMIFS($F$2:$F$1001,$A$2:$A$1001,A336,$B$2:$B$1001,B336-1)),"违规：风险预算须逐次不增加",IF(OR(_LockStatus="已锁仓",_LockStatus="解锁信息不完整"),"违规：锁仓期间禁止加仓",IF(G336="","计划可执行：建议股数见N列",IF(OR(G336&lt;=0,G336&lt;&gt;INT(G336),MOD(G336,100)&lt;&gt;0),"违规：实际股数须为100股整数倍",IF(G336&gt;N336,"违规：实际股数超过风险或金字塔上限",IF(AND(B336&gt;1,G336&gt;SUMIFS($G$2:$G$1001,$A$2:$A$1001,A336,$B$2:$B$1001,B336-1)),"违规：加仓股数须逐次不增加",IF(Q336&gt;F336,"违规：止损风险超过本次预算","通过")))))))))))))))</f>
        <v/>
      </c>
    </row>
    <row r="337" ht="17" spans="1:18">
      <c r="A337" s="13"/>
      <c r="B337" s="14"/>
      <c r="C337" s="15"/>
      <c r="D337" s="16"/>
      <c r="E337" s="16"/>
      <c r="F337" s="16"/>
      <c r="G337" s="14"/>
      <c r="H337" s="17" t="str">
        <f t="shared" si="40"/>
        <v/>
      </c>
      <c r="I337" s="18" t="str">
        <f>IF(OR(A337="",B337=""),"",IFERROR(LOOKUP(2,1/(单次交易!$A$2:$A$201=A337),单次交易!$H$2:$H$201),0)+SUMIFS($G$2:$G$1001,$A$2:$A$1001,A337,$B$2:$B$1001,"&lt;"&amp;B337))</f>
        <v/>
      </c>
      <c r="J337" s="17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17" t="str">
        <f t="shared" si="41"/>
        <v/>
      </c>
      <c r="L337" s="18" t="str">
        <f t="shared" si="42"/>
        <v/>
      </c>
      <c r="M337" s="18" t="str">
        <f t="shared" si="43"/>
        <v/>
      </c>
      <c r="N337" s="18" t="str">
        <f t="shared" si="44"/>
        <v/>
      </c>
      <c r="O337" s="18" t="str">
        <f t="shared" si="45"/>
        <v/>
      </c>
      <c r="P337" s="17" t="str">
        <f t="shared" si="46"/>
        <v/>
      </c>
      <c r="Q337" s="17" t="str">
        <f t="shared" si="47"/>
        <v/>
      </c>
      <c r="R337" s="19" t="str">
        <f ca="1">IF(A337="","",IF(COUNTIF(_TradeIds,A337)=0,"违规：交易编号不存在",IF(OR(B337="",B337&lt;1,B337&gt;5,B337&lt;&gt;INT(B337)),"违规：加仓序号须为1到5的整数",IF(COUNTIFS($A$2:$A$1001,A337,$B$2:$B$1001,B337)&gt;1,"违规：同一交易的加仓序号重复",IF(OR(D337="",E337="",F337=""),"计划不完整：请填写加仓价、新止损价和风险预算",IF(OR(D337&lt;=0,E337&lt;=0,F337&lt;=0,D337&lt;=E337),"违规：加仓价必须高于新止损价，金额须大于0",IF(AND(B337&gt;1,COUNTIFS($A$2:$A$1001,A337,$B$2:$B$1001,B337-1,$G$2:$G$1001,"&gt;0")=0),"违规：须先完成上一次加仓",IF(AND(B337&gt;1,E337&lt;SUMIFS($E$2:$E$1001,$A$2:$A$1001,A337,$B$2:$B$1001,B337-1)),"违规：新止损价不得低于上一次",IF(AND(B337&gt;1,F337&gt;SUMIFS($F$2:$F$1001,$A$2:$A$1001,A337,$B$2:$B$1001,B337-1)),"违规：风险预算须逐次不增加",IF(OR(_LockStatus="已锁仓",_LockStatus="解锁信息不完整"),"违规：锁仓期间禁止加仓",IF(G337="","计划可执行：建议股数见N列",IF(OR(G337&lt;=0,G337&lt;&gt;INT(G337),MOD(G337,100)&lt;&gt;0),"违规：实际股数须为100股整数倍",IF(G337&gt;N337,"违规：实际股数超过风险或金字塔上限",IF(AND(B337&gt;1,G337&gt;SUMIFS($G$2:$G$1001,$A$2:$A$1001,A337,$B$2:$B$1001,B337-1)),"违规：加仓股数须逐次不增加",IF(Q337&gt;F337,"违规：止损风险超过本次预算","通过")))))))))))))))</f>
        <v/>
      </c>
    </row>
    <row r="338" ht="17" spans="1:18">
      <c r="A338" s="13"/>
      <c r="B338" s="14"/>
      <c r="C338" s="15"/>
      <c r="D338" s="16"/>
      <c r="E338" s="16"/>
      <c r="F338" s="16"/>
      <c r="G338" s="14"/>
      <c r="H338" s="17" t="str">
        <f t="shared" si="40"/>
        <v/>
      </c>
      <c r="I338" s="18" t="str">
        <f>IF(OR(A338="",B338=""),"",IFERROR(LOOKUP(2,1/(单次交易!$A$2:$A$201=A338),单次交易!$H$2:$H$201),0)+SUMIFS($G$2:$G$1001,$A$2:$A$1001,A338,$B$2:$B$1001,"&lt;"&amp;B338))</f>
        <v/>
      </c>
      <c r="J338" s="17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17" t="str">
        <f t="shared" si="41"/>
        <v/>
      </c>
      <c r="L338" s="18" t="str">
        <f t="shared" si="42"/>
        <v/>
      </c>
      <c r="M338" s="18" t="str">
        <f t="shared" si="43"/>
        <v/>
      </c>
      <c r="N338" s="18" t="str">
        <f t="shared" si="44"/>
        <v/>
      </c>
      <c r="O338" s="18" t="str">
        <f t="shared" si="45"/>
        <v/>
      </c>
      <c r="P338" s="17" t="str">
        <f t="shared" si="46"/>
        <v/>
      </c>
      <c r="Q338" s="17" t="str">
        <f t="shared" si="47"/>
        <v/>
      </c>
      <c r="R338" s="19" t="str">
        <f ca="1">IF(A338="","",IF(COUNTIF(_TradeIds,A338)=0,"违规：交易编号不存在",IF(OR(B338="",B338&lt;1,B338&gt;5,B338&lt;&gt;INT(B338)),"违规：加仓序号须为1到5的整数",IF(COUNTIFS($A$2:$A$1001,A338,$B$2:$B$1001,B338)&gt;1,"违规：同一交易的加仓序号重复",IF(OR(D338="",E338="",F338=""),"计划不完整：请填写加仓价、新止损价和风险预算",IF(OR(D338&lt;=0,E338&lt;=0,F338&lt;=0,D338&lt;=E338),"违规：加仓价必须高于新止损价，金额须大于0",IF(AND(B338&gt;1,COUNTIFS($A$2:$A$1001,A338,$B$2:$B$1001,B338-1,$G$2:$G$1001,"&gt;0")=0),"违规：须先完成上一次加仓",IF(AND(B338&gt;1,E338&lt;SUMIFS($E$2:$E$1001,$A$2:$A$1001,A338,$B$2:$B$1001,B338-1)),"违规：新止损价不得低于上一次",IF(AND(B338&gt;1,F338&gt;SUMIFS($F$2:$F$1001,$A$2:$A$1001,A338,$B$2:$B$1001,B338-1)),"违规：风险预算须逐次不增加",IF(OR(_LockStatus="已锁仓",_LockStatus="解锁信息不完整"),"违规：锁仓期间禁止加仓",IF(G338="","计划可执行：建议股数见N列",IF(OR(G338&lt;=0,G338&lt;&gt;INT(G338),MOD(G338,100)&lt;&gt;0),"违规：实际股数须为100股整数倍",IF(G338&gt;N338,"违规：实际股数超过风险或金字塔上限",IF(AND(B338&gt;1,G338&gt;SUMIFS($G$2:$G$1001,$A$2:$A$1001,A338,$B$2:$B$1001,B338-1)),"违规：加仓股数须逐次不增加",IF(Q338&gt;F338,"违规：止损风险超过本次预算","通过")))))))))))))))</f>
        <v/>
      </c>
    </row>
    <row r="339" ht="17" spans="1:18">
      <c r="A339" s="13"/>
      <c r="B339" s="14"/>
      <c r="C339" s="15"/>
      <c r="D339" s="16"/>
      <c r="E339" s="16"/>
      <c r="F339" s="16"/>
      <c r="G339" s="14"/>
      <c r="H339" s="17" t="str">
        <f t="shared" si="40"/>
        <v/>
      </c>
      <c r="I339" s="18" t="str">
        <f>IF(OR(A339="",B339=""),"",IFERROR(LOOKUP(2,1/(单次交易!$A$2:$A$201=A339),单次交易!$H$2:$H$201),0)+SUMIFS($G$2:$G$1001,$A$2:$A$1001,A339,$B$2:$B$1001,"&lt;"&amp;B339))</f>
        <v/>
      </c>
      <c r="J339" s="17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17" t="str">
        <f t="shared" si="41"/>
        <v/>
      </c>
      <c r="L339" s="18" t="str">
        <f t="shared" si="42"/>
        <v/>
      </c>
      <c r="M339" s="18" t="str">
        <f t="shared" si="43"/>
        <v/>
      </c>
      <c r="N339" s="18" t="str">
        <f t="shared" si="44"/>
        <v/>
      </c>
      <c r="O339" s="18" t="str">
        <f t="shared" si="45"/>
        <v/>
      </c>
      <c r="P339" s="17" t="str">
        <f t="shared" si="46"/>
        <v/>
      </c>
      <c r="Q339" s="17" t="str">
        <f t="shared" si="47"/>
        <v/>
      </c>
      <c r="R339" s="19" t="str">
        <f ca="1">IF(A339="","",IF(COUNTIF(_TradeIds,A339)=0,"违规：交易编号不存在",IF(OR(B339="",B339&lt;1,B339&gt;5,B339&lt;&gt;INT(B339)),"违规：加仓序号须为1到5的整数",IF(COUNTIFS($A$2:$A$1001,A339,$B$2:$B$1001,B339)&gt;1,"违规：同一交易的加仓序号重复",IF(OR(D339="",E339="",F339=""),"计划不完整：请填写加仓价、新止损价和风险预算",IF(OR(D339&lt;=0,E339&lt;=0,F339&lt;=0,D339&lt;=E339),"违规：加仓价必须高于新止损价，金额须大于0",IF(AND(B339&gt;1,COUNTIFS($A$2:$A$1001,A339,$B$2:$B$1001,B339-1,$G$2:$G$1001,"&gt;0")=0),"违规：须先完成上一次加仓",IF(AND(B339&gt;1,E339&lt;SUMIFS($E$2:$E$1001,$A$2:$A$1001,A339,$B$2:$B$1001,B339-1)),"违规：新止损价不得低于上一次",IF(AND(B339&gt;1,F339&gt;SUMIFS($F$2:$F$1001,$A$2:$A$1001,A339,$B$2:$B$1001,B339-1)),"违规：风险预算须逐次不增加",IF(OR(_LockStatus="已锁仓",_LockStatus="解锁信息不完整"),"违规：锁仓期间禁止加仓",IF(G339="","计划可执行：建议股数见N列",IF(OR(G339&lt;=0,G339&lt;&gt;INT(G339),MOD(G339,100)&lt;&gt;0),"违规：实际股数须为100股整数倍",IF(G339&gt;N339,"违规：实际股数超过风险或金字塔上限",IF(AND(B339&gt;1,G339&gt;SUMIFS($G$2:$G$1001,$A$2:$A$1001,A339,$B$2:$B$1001,B339-1)),"违规：加仓股数须逐次不增加",IF(Q339&gt;F339,"违规：止损风险超过本次预算","通过")))))))))))))))</f>
        <v/>
      </c>
    </row>
    <row r="340" ht="17" spans="1:18">
      <c r="A340" s="13"/>
      <c r="B340" s="14"/>
      <c r="C340" s="15"/>
      <c r="D340" s="16"/>
      <c r="E340" s="16"/>
      <c r="F340" s="16"/>
      <c r="G340" s="14"/>
      <c r="H340" s="17" t="str">
        <f t="shared" si="40"/>
        <v/>
      </c>
      <c r="I340" s="18" t="str">
        <f>IF(OR(A340="",B340=""),"",IFERROR(LOOKUP(2,1/(单次交易!$A$2:$A$201=A340),单次交易!$H$2:$H$201),0)+SUMIFS($G$2:$G$1001,$A$2:$A$1001,A340,$B$2:$B$1001,"&lt;"&amp;B340))</f>
        <v/>
      </c>
      <c r="J340" s="17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17" t="str">
        <f t="shared" si="41"/>
        <v/>
      </c>
      <c r="L340" s="18" t="str">
        <f t="shared" si="42"/>
        <v/>
      </c>
      <c r="M340" s="18" t="str">
        <f t="shared" si="43"/>
        <v/>
      </c>
      <c r="N340" s="18" t="str">
        <f t="shared" si="44"/>
        <v/>
      </c>
      <c r="O340" s="18" t="str">
        <f t="shared" si="45"/>
        <v/>
      </c>
      <c r="P340" s="17" t="str">
        <f t="shared" si="46"/>
        <v/>
      </c>
      <c r="Q340" s="17" t="str">
        <f t="shared" si="47"/>
        <v/>
      </c>
      <c r="R340" s="19" t="str">
        <f ca="1">IF(A340="","",IF(COUNTIF(_TradeIds,A340)=0,"违规：交易编号不存在",IF(OR(B340="",B340&lt;1,B340&gt;5,B340&lt;&gt;INT(B340)),"违规：加仓序号须为1到5的整数",IF(COUNTIFS($A$2:$A$1001,A340,$B$2:$B$1001,B340)&gt;1,"违规：同一交易的加仓序号重复",IF(OR(D340="",E340="",F340=""),"计划不完整：请填写加仓价、新止损价和风险预算",IF(OR(D340&lt;=0,E340&lt;=0,F340&lt;=0,D340&lt;=E340),"违规：加仓价必须高于新止损价，金额须大于0",IF(AND(B340&gt;1,COUNTIFS($A$2:$A$1001,A340,$B$2:$B$1001,B340-1,$G$2:$G$1001,"&gt;0")=0),"违规：须先完成上一次加仓",IF(AND(B340&gt;1,E340&lt;SUMIFS($E$2:$E$1001,$A$2:$A$1001,A340,$B$2:$B$1001,B340-1)),"违规：新止损价不得低于上一次",IF(AND(B340&gt;1,F340&gt;SUMIFS($F$2:$F$1001,$A$2:$A$1001,A340,$B$2:$B$1001,B340-1)),"违规：风险预算须逐次不增加",IF(OR(_LockStatus="已锁仓",_LockStatus="解锁信息不完整"),"违规：锁仓期间禁止加仓",IF(G340="","计划可执行：建议股数见N列",IF(OR(G340&lt;=0,G340&lt;&gt;INT(G340),MOD(G340,100)&lt;&gt;0),"违规：实际股数须为100股整数倍",IF(G340&gt;N340,"违规：实际股数超过风险或金字塔上限",IF(AND(B340&gt;1,G340&gt;SUMIFS($G$2:$G$1001,$A$2:$A$1001,A340,$B$2:$B$1001,B340-1)),"违规：加仓股数须逐次不增加",IF(Q340&gt;F340,"违规：止损风险超过本次预算","通过")))))))))))))))</f>
        <v/>
      </c>
    </row>
    <row r="341" ht="17" spans="1:18">
      <c r="A341" s="13"/>
      <c r="B341" s="14"/>
      <c r="C341" s="15"/>
      <c r="D341" s="16"/>
      <c r="E341" s="16"/>
      <c r="F341" s="16"/>
      <c r="G341" s="14"/>
      <c r="H341" s="17" t="str">
        <f t="shared" si="40"/>
        <v/>
      </c>
      <c r="I341" s="18" t="str">
        <f>IF(OR(A341="",B341=""),"",IFERROR(LOOKUP(2,1/(单次交易!$A$2:$A$201=A341),单次交易!$H$2:$H$201),0)+SUMIFS($G$2:$G$1001,$A$2:$A$1001,A341,$B$2:$B$1001,"&lt;"&amp;B341))</f>
        <v/>
      </c>
      <c r="J341" s="17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17" t="str">
        <f t="shared" si="41"/>
        <v/>
      </c>
      <c r="L341" s="18" t="str">
        <f t="shared" si="42"/>
        <v/>
      </c>
      <c r="M341" s="18" t="str">
        <f t="shared" si="43"/>
        <v/>
      </c>
      <c r="N341" s="18" t="str">
        <f t="shared" si="44"/>
        <v/>
      </c>
      <c r="O341" s="18" t="str">
        <f t="shared" si="45"/>
        <v/>
      </c>
      <c r="P341" s="17" t="str">
        <f t="shared" si="46"/>
        <v/>
      </c>
      <c r="Q341" s="17" t="str">
        <f t="shared" si="47"/>
        <v/>
      </c>
      <c r="R341" s="19" t="str">
        <f ca="1">IF(A341="","",IF(COUNTIF(_TradeIds,A341)=0,"违规：交易编号不存在",IF(OR(B341="",B341&lt;1,B341&gt;5,B341&lt;&gt;INT(B341)),"违规：加仓序号须为1到5的整数",IF(COUNTIFS($A$2:$A$1001,A341,$B$2:$B$1001,B341)&gt;1,"违规：同一交易的加仓序号重复",IF(OR(D341="",E341="",F341=""),"计划不完整：请填写加仓价、新止损价和风险预算",IF(OR(D341&lt;=0,E341&lt;=0,F341&lt;=0,D341&lt;=E341),"违规：加仓价必须高于新止损价，金额须大于0",IF(AND(B341&gt;1,COUNTIFS($A$2:$A$1001,A341,$B$2:$B$1001,B341-1,$G$2:$G$1001,"&gt;0")=0),"违规：须先完成上一次加仓",IF(AND(B341&gt;1,E341&lt;SUMIFS($E$2:$E$1001,$A$2:$A$1001,A341,$B$2:$B$1001,B341-1)),"违规：新止损价不得低于上一次",IF(AND(B341&gt;1,F341&gt;SUMIFS($F$2:$F$1001,$A$2:$A$1001,A341,$B$2:$B$1001,B341-1)),"违规：风险预算须逐次不增加",IF(OR(_LockStatus="已锁仓",_LockStatus="解锁信息不完整"),"违规：锁仓期间禁止加仓",IF(G341="","计划可执行：建议股数见N列",IF(OR(G341&lt;=0,G341&lt;&gt;INT(G341),MOD(G341,100)&lt;&gt;0),"违规：实际股数须为100股整数倍",IF(G341&gt;N341,"违规：实际股数超过风险或金字塔上限",IF(AND(B341&gt;1,G341&gt;SUMIFS($G$2:$G$1001,$A$2:$A$1001,A341,$B$2:$B$1001,B341-1)),"违规：加仓股数须逐次不增加",IF(Q341&gt;F341,"违规：止损风险超过本次预算","通过")))))))))))))))</f>
        <v/>
      </c>
    </row>
    <row r="342" ht="17" spans="1:18">
      <c r="A342" s="13"/>
      <c r="B342" s="14"/>
      <c r="C342" s="15"/>
      <c r="D342" s="16"/>
      <c r="E342" s="16"/>
      <c r="F342" s="16"/>
      <c r="G342" s="14"/>
      <c r="H342" s="17" t="str">
        <f t="shared" si="40"/>
        <v/>
      </c>
      <c r="I342" s="18" t="str">
        <f>IF(OR(A342="",B342=""),"",IFERROR(LOOKUP(2,1/(单次交易!$A$2:$A$201=A342),单次交易!$H$2:$H$201),0)+SUMIFS($G$2:$G$1001,$A$2:$A$1001,A342,$B$2:$B$1001,"&lt;"&amp;B342))</f>
        <v/>
      </c>
      <c r="J342" s="17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17" t="str">
        <f t="shared" si="41"/>
        <v/>
      </c>
      <c r="L342" s="18" t="str">
        <f t="shared" si="42"/>
        <v/>
      </c>
      <c r="M342" s="18" t="str">
        <f t="shared" si="43"/>
        <v/>
      </c>
      <c r="N342" s="18" t="str">
        <f t="shared" si="44"/>
        <v/>
      </c>
      <c r="O342" s="18" t="str">
        <f t="shared" si="45"/>
        <v/>
      </c>
      <c r="P342" s="17" t="str">
        <f t="shared" si="46"/>
        <v/>
      </c>
      <c r="Q342" s="17" t="str">
        <f t="shared" si="47"/>
        <v/>
      </c>
      <c r="R342" s="19" t="str">
        <f ca="1">IF(A342="","",IF(COUNTIF(_TradeIds,A342)=0,"违规：交易编号不存在",IF(OR(B342="",B342&lt;1,B342&gt;5,B342&lt;&gt;INT(B342)),"违规：加仓序号须为1到5的整数",IF(COUNTIFS($A$2:$A$1001,A342,$B$2:$B$1001,B342)&gt;1,"违规：同一交易的加仓序号重复",IF(OR(D342="",E342="",F342=""),"计划不完整：请填写加仓价、新止损价和风险预算",IF(OR(D342&lt;=0,E342&lt;=0,F342&lt;=0,D342&lt;=E342),"违规：加仓价必须高于新止损价，金额须大于0",IF(AND(B342&gt;1,COUNTIFS($A$2:$A$1001,A342,$B$2:$B$1001,B342-1,$G$2:$G$1001,"&gt;0")=0),"违规：须先完成上一次加仓",IF(AND(B342&gt;1,E342&lt;SUMIFS($E$2:$E$1001,$A$2:$A$1001,A342,$B$2:$B$1001,B342-1)),"违规：新止损价不得低于上一次",IF(AND(B342&gt;1,F342&gt;SUMIFS($F$2:$F$1001,$A$2:$A$1001,A342,$B$2:$B$1001,B342-1)),"违规：风险预算须逐次不增加",IF(OR(_LockStatus="已锁仓",_LockStatus="解锁信息不完整"),"违规：锁仓期间禁止加仓",IF(G342="","计划可执行：建议股数见N列",IF(OR(G342&lt;=0,G342&lt;&gt;INT(G342),MOD(G342,100)&lt;&gt;0),"违规：实际股数须为100股整数倍",IF(G342&gt;N342,"违规：实际股数超过风险或金字塔上限",IF(AND(B342&gt;1,G342&gt;SUMIFS($G$2:$G$1001,$A$2:$A$1001,A342,$B$2:$B$1001,B342-1)),"违规：加仓股数须逐次不增加",IF(Q342&gt;F342,"违规：止损风险超过本次预算","通过")))))))))))))))</f>
        <v/>
      </c>
    </row>
    <row r="343" ht="17" spans="1:18">
      <c r="A343" s="13"/>
      <c r="B343" s="14"/>
      <c r="C343" s="15"/>
      <c r="D343" s="16"/>
      <c r="E343" s="16"/>
      <c r="F343" s="16"/>
      <c r="G343" s="14"/>
      <c r="H343" s="17" t="str">
        <f t="shared" si="40"/>
        <v/>
      </c>
      <c r="I343" s="18" t="str">
        <f>IF(OR(A343="",B343=""),"",IFERROR(LOOKUP(2,1/(单次交易!$A$2:$A$201=A343),单次交易!$H$2:$H$201),0)+SUMIFS($G$2:$G$1001,$A$2:$A$1001,A343,$B$2:$B$1001,"&lt;"&amp;B343))</f>
        <v/>
      </c>
      <c r="J343" s="17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17" t="str">
        <f t="shared" si="41"/>
        <v/>
      </c>
      <c r="L343" s="18" t="str">
        <f t="shared" si="42"/>
        <v/>
      </c>
      <c r="M343" s="18" t="str">
        <f t="shared" si="43"/>
        <v/>
      </c>
      <c r="N343" s="18" t="str">
        <f t="shared" si="44"/>
        <v/>
      </c>
      <c r="O343" s="18" t="str">
        <f t="shared" si="45"/>
        <v/>
      </c>
      <c r="P343" s="17" t="str">
        <f t="shared" si="46"/>
        <v/>
      </c>
      <c r="Q343" s="17" t="str">
        <f t="shared" si="47"/>
        <v/>
      </c>
      <c r="R343" s="19" t="str">
        <f ca="1">IF(A343="","",IF(COUNTIF(_TradeIds,A343)=0,"违规：交易编号不存在",IF(OR(B343="",B343&lt;1,B343&gt;5,B343&lt;&gt;INT(B343)),"违规：加仓序号须为1到5的整数",IF(COUNTIFS($A$2:$A$1001,A343,$B$2:$B$1001,B343)&gt;1,"违规：同一交易的加仓序号重复",IF(OR(D343="",E343="",F343=""),"计划不完整：请填写加仓价、新止损价和风险预算",IF(OR(D343&lt;=0,E343&lt;=0,F343&lt;=0,D343&lt;=E343),"违规：加仓价必须高于新止损价，金额须大于0",IF(AND(B343&gt;1,COUNTIFS($A$2:$A$1001,A343,$B$2:$B$1001,B343-1,$G$2:$G$1001,"&gt;0")=0),"违规：须先完成上一次加仓",IF(AND(B343&gt;1,E343&lt;SUMIFS($E$2:$E$1001,$A$2:$A$1001,A343,$B$2:$B$1001,B343-1)),"违规：新止损价不得低于上一次",IF(AND(B343&gt;1,F343&gt;SUMIFS($F$2:$F$1001,$A$2:$A$1001,A343,$B$2:$B$1001,B343-1)),"违规：风险预算须逐次不增加",IF(OR(_LockStatus="已锁仓",_LockStatus="解锁信息不完整"),"违规：锁仓期间禁止加仓",IF(G343="","计划可执行：建议股数见N列",IF(OR(G343&lt;=0,G343&lt;&gt;INT(G343),MOD(G343,100)&lt;&gt;0),"违规：实际股数须为100股整数倍",IF(G343&gt;N343,"违规：实际股数超过风险或金字塔上限",IF(AND(B343&gt;1,G343&gt;SUMIFS($G$2:$G$1001,$A$2:$A$1001,A343,$B$2:$B$1001,B343-1)),"违规：加仓股数须逐次不增加",IF(Q343&gt;F343,"违规：止损风险超过本次预算","通过")))))))))))))))</f>
        <v/>
      </c>
    </row>
    <row r="344" ht="17" spans="1:18">
      <c r="A344" s="13"/>
      <c r="B344" s="14"/>
      <c r="C344" s="15"/>
      <c r="D344" s="16"/>
      <c r="E344" s="16"/>
      <c r="F344" s="16"/>
      <c r="G344" s="14"/>
      <c r="H344" s="17" t="str">
        <f t="shared" si="40"/>
        <v/>
      </c>
      <c r="I344" s="18" t="str">
        <f>IF(OR(A344="",B344=""),"",IFERROR(LOOKUP(2,1/(单次交易!$A$2:$A$201=A344),单次交易!$H$2:$H$201),0)+SUMIFS($G$2:$G$1001,$A$2:$A$1001,A344,$B$2:$B$1001,"&lt;"&amp;B344))</f>
        <v/>
      </c>
      <c r="J344" s="17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17" t="str">
        <f t="shared" si="41"/>
        <v/>
      </c>
      <c r="L344" s="18" t="str">
        <f t="shared" si="42"/>
        <v/>
      </c>
      <c r="M344" s="18" t="str">
        <f t="shared" si="43"/>
        <v/>
      </c>
      <c r="N344" s="18" t="str">
        <f t="shared" si="44"/>
        <v/>
      </c>
      <c r="O344" s="18" t="str">
        <f t="shared" si="45"/>
        <v/>
      </c>
      <c r="P344" s="17" t="str">
        <f t="shared" si="46"/>
        <v/>
      </c>
      <c r="Q344" s="17" t="str">
        <f t="shared" si="47"/>
        <v/>
      </c>
      <c r="R344" s="19" t="str">
        <f ca="1">IF(A344="","",IF(COUNTIF(_TradeIds,A344)=0,"违规：交易编号不存在",IF(OR(B344="",B344&lt;1,B344&gt;5,B344&lt;&gt;INT(B344)),"违规：加仓序号须为1到5的整数",IF(COUNTIFS($A$2:$A$1001,A344,$B$2:$B$1001,B344)&gt;1,"违规：同一交易的加仓序号重复",IF(OR(D344="",E344="",F344=""),"计划不完整：请填写加仓价、新止损价和风险预算",IF(OR(D344&lt;=0,E344&lt;=0,F344&lt;=0,D344&lt;=E344),"违规：加仓价必须高于新止损价，金额须大于0",IF(AND(B344&gt;1,COUNTIFS($A$2:$A$1001,A344,$B$2:$B$1001,B344-1,$G$2:$G$1001,"&gt;0")=0),"违规：须先完成上一次加仓",IF(AND(B344&gt;1,E344&lt;SUMIFS($E$2:$E$1001,$A$2:$A$1001,A344,$B$2:$B$1001,B344-1)),"违规：新止损价不得低于上一次",IF(AND(B344&gt;1,F344&gt;SUMIFS($F$2:$F$1001,$A$2:$A$1001,A344,$B$2:$B$1001,B344-1)),"违规：风险预算须逐次不增加",IF(OR(_LockStatus="已锁仓",_LockStatus="解锁信息不完整"),"违规：锁仓期间禁止加仓",IF(G344="","计划可执行：建议股数见N列",IF(OR(G344&lt;=0,G344&lt;&gt;INT(G344),MOD(G344,100)&lt;&gt;0),"违规：实际股数须为100股整数倍",IF(G344&gt;N344,"违规：实际股数超过风险或金字塔上限",IF(AND(B344&gt;1,G344&gt;SUMIFS($G$2:$G$1001,$A$2:$A$1001,A344,$B$2:$B$1001,B344-1)),"违规：加仓股数须逐次不增加",IF(Q344&gt;F344,"违规：止损风险超过本次预算","通过")))))))))))))))</f>
        <v/>
      </c>
    </row>
    <row r="345" ht="17" spans="1:18">
      <c r="A345" s="13"/>
      <c r="B345" s="14"/>
      <c r="C345" s="15"/>
      <c r="D345" s="16"/>
      <c r="E345" s="16"/>
      <c r="F345" s="16"/>
      <c r="G345" s="14"/>
      <c r="H345" s="17" t="str">
        <f t="shared" si="40"/>
        <v/>
      </c>
      <c r="I345" s="18" t="str">
        <f>IF(OR(A345="",B345=""),"",IFERROR(LOOKUP(2,1/(单次交易!$A$2:$A$201=A345),单次交易!$H$2:$H$201),0)+SUMIFS($G$2:$G$1001,$A$2:$A$1001,A345,$B$2:$B$1001,"&lt;"&amp;B345))</f>
        <v/>
      </c>
      <c r="J345" s="17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17" t="str">
        <f t="shared" si="41"/>
        <v/>
      </c>
      <c r="L345" s="18" t="str">
        <f t="shared" si="42"/>
        <v/>
      </c>
      <c r="M345" s="18" t="str">
        <f t="shared" si="43"/>
        <v/>
      </c>
      <c r="N345" s="18" t="str">
        <f t="shared" si="44"/>
        <v/>
      </c>
      <c r="O345" s="18" t="str">
        <f t="shared" si="45"/>
        <v/>
      </c>
      <c r="P345" s="17" t="str">
        <f t="shared" si="46"/>
        <v/>
      </c>
      <c r="Q345" s="17" t="str">
        <f t="shared" si="47"/>
        <v/>
      </c>
      <c r="R345" s="19" t="str">
        <f ca="1">IF(A345="","",IF(COUNTIF(_TradeIds,A345)=0,"违规：交易编号不存在",IF(OR(B345="",B345&lt;1,B345&gt;5,B345&lt;&gt;INT(B345)),"违规：加仓序号须为1到5的整数",IF(COUNTIFS($A$2:$A$1001,A345,$B$2:$B$1001,B345)&gt;1,"违规：同一交易的加仓序号重复",IF(OR(D345="",E345="",F345=""),"计划不完整：请填写加仓价、新止损价和风险预算",IF(OR(D345&lt;=0,E345&lt;=0,F345&lt;=0,D345&lt;=E345),"违规：加仓价必须高于新止损价，金额须大于0",IF(AND(B345&gt;1,COUNTIFS($A$2:$A$1001,A345,$B$2:$B$1001,B345-1,$G$2:$G$1001,"&gt;0")=0),"违规：须先完成上一次加仓",IF(AND(B345&gt;1,E345&lt;SUMIFS($E$2:$E$1001,$A$2:$A$1001,A345,$B$2:$B$1001,B345-1)),"违规：新止损价不得低于上一次",IF(AND(B345&gt;1,F345&gt;SUMIFS($F$2:$F$1001,$A$2:$A$1001,A345,$B$2:$B$1001,B345-1)),"违规：风险预算须逐次不增加",IF(OR(_LockStatus="已锁仓",_LockStatus="解锁信息不完整"),"违规：锁仓期间禁止加仓",IF(G345="","计划可执行：建议股数见N列",IF(OR(G345&lt;=0,G345&lt;&gt;INT(G345),MOD(G345,100)&lt;&gt;0),"违规：实际股数须为100股整数倍",IF(G345&gt;N345,"违规：实际股数超过风险或金字塔上限",IF(AND(B345&gt;1,G345&gt;SUMIFS($G$2:$G$1001,$A$2:$A$1001,A345,$B$2:$B$1001,B345-1)),"违规：加仓股数须逐次不增加",IF(Q345&gt;F345,"违规：止损风险超过本次预算","通过")))))))))))))))</f>
        <v/>
      </c>
    </row>
    <row r="346" ht="17" spans="1:18">
      <c r="A346" s="13"/>
      <c r="B346" s="14"/>
      <c r="C346" s="15"/>
      <c r="D346" s="16"/>
      <c r="E346" s="16"/>
      <c r="F346" s="16"/>
      <c r="G346" s="14"/>
      <c r="H346" s="17" t="str">
        <f t="shared" si="40"/>
        <v/>
      </c>
      <c r="I346" s="18" t="str">
        <f>IF(OR(A346="",B346=""),"",IFERROR(LOOKUP(2,1/(单次交易!$A$2:$A$201=A346),单次交易!$H$2:$H$201),0)+SUMIFS($G$2:$G$1001,$A$2:$A$1001,A346,$B$2:$B$1001,"&lt;"&amp;B346))</f>
        <v/>
      </c>
      <c r="J346" s="17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17" t="str">
        <f t="shared" si="41"/>
        <v/>
      </c>
      <c r="L346" s="18" t="str">
        <f t="shared" si="42"/>
        <v/>
      </c>
      <c r="M346" s="18" t="str">
        <f t="shared" si="43"/>
        <v/>
      </c>
      <c r="N346" s="18" t="str">
        <f t="shared" si="44"/>
        <v/>
      </c>
      <c r="O346" s="18" t="str">
        <f t="shared" si="45"/>
        <v/>
      </c>
      <c r="P346" s="17" t="str">
        <f t="shared" si="46"/>
        <v/>
      </c>
      <c r="Q346" s="17" t="str">
        <f t="shared" si="47"/>
        <v/>
      </c>
      <c r="R346" s="19" t="str">
        <f ca="1">IF(A346="","",IF(COUNTIF(_TradeIds,A346)=0,"违规：交易编号不存在",IF(OR(B346="",B346&lt;1,B346&gt;5,B346&lt;&gt;INT(B346)),"违规：加仓序号须为1到5的整数",IF(COUNTIFS($A$2:$A$1001,A346,$B$2:$B$1001,B346)&gt;1,"违规：同一交易的加仓序号重复",IF(OR(D346="",E346="",F346=""),"计划不完整：请填写加仓价、新止损价和风险预算",IF(OR(D346&lt;=0,E346&lt;=0,F346&lt;=0,D346&lt;=E346),"违规：加仓价必须高于新止损价，金额须大于0",IF(AND(B346&gt;1,COUNTIFS($A$2:$A$1001,A346,$B$2:$B$1001,B346-1,$G$2:$G$1001,"&gt;0")=0),"违规：须先完成上一次加仓",IF(AND(B346&gt;1,E346&lt;SUMIFS($E$2:$E$1001,$A$2:$A$1001,A346,$B$2:$B$1001,B346-1)),"违规：新止损价不得低于上一次",IF(AND(B346&gt;1,F346&gt;SUMIFS($F$2:$F$1001,$A$2:$A$1001,A346,$B$2:$B$1001,B346-1)),"违规：风险预算须逐次不增加",IF(OR(_LockStatus="已锁仓",_LockStatus="解锁信息不完整"),"违规：锁仓期间禁止加仓",IF(G346="","计划可执行：建议股数见N列",IF(OR(G346&lt;=0,G346&lt;&gt;INT(G346),MOD(G346,100)&lt;&gt;0),"违规：实际股数须为100股整数倍",IF(G346&gt;N346,"违规：实际股数超过风险或金字塔上限",IF(AND(B346&gt;1,G346&gt;SUMIFS($G$2:$G$1001,$A$2:$A$1001,A346,$B$2:$B$1001,B346-1)),"违规：加仓股数须逐次不增加",IF(Q346&gt;F346,"违规：止损风险超过本次预算","通过")))))))))))))))</f>
        <v/>
      </c>
    </row>
    <row r="347" ht="17" spans="1:18">
      <c r="A347" s="13"/>
      <c r="B347" s="14"/>
      <c r="C347" s="15"/>
      <c r="D347" s="16"/>
      <c r="E347" s="16"/>
      <c r="F347" s="16"/>
      <c r="G347" s="14"/>
      <c r="H347" s="17" t="str">
        <f t="shared" si="40"/>
        <v/>
      </c>
      <c r="I347" s="18" t="str">
        <f>IF(OR(A347="",B347=""),"",IFERROR(LOOKUP(2,1/(单次交易!$A$2:$A$201=A347),单次交易!$H$2:$H$201),0)+SUMIFS($G$2:$G$1001,$A$2:$A$1001,A347,$B$2:$B$1001,"&lt;"&amp;B347))</f>
        <v/>
      </c>
      <c r="J347" s="17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17" t="str">
        <f t="shared" si="41"/>
        <v/>
      </c>
      <c r="L347" s="18" t="str">
        <f t="shared" si="42"/>
        <v/>
      </c>
      <c r="M347" s="18" t="str">
        <f t="shared" si="43"/>
        <v/>
      </c>
      <c r="N347" s="18" t="str">
        <f t="shared" si="44"/>
        <v/>
      </c>
      <c r="O347" s="18" t="str">
        <f t="shared" si="45"/>
        <v/>
      </c>
      <c r="P347" s="17" t="str">
        <f t="shared" si="46"/>
        <v/>
      </c>
      <c r="Q347" s="17" t="str">
        <f t="shared" si="47"/>
        <v/>
      </c>
      <c r="R347" s="19" t="str">
        <f ca="1">IF(A347="","",IF(COUNTIF(_TradeIds,A347)=0,"违规：交易编号不存在",IF(OR(B347="",B347&lt;1,B347&gt;5,B347&lt;&gt;INT(B347)),"违规：加仓序号须为1到5的整数",IF(COUNTIFS($A$2:$A$1001,A347,$B$2:$B$1001,B347)&gt;1,"违规：同一交易的加仓序号重复",IF(OR(D347="",E347="",F347=""),"计划不完整：请填写加仓价、新止损价和风险预算",IF(OR(D347&lt;=0,E347&lt;=0,F347&lt;=0,D347&lt;=E347),"违规：加仓价必须高于新止损价，金额须大于0",IF(AND(B347&gt;1,COUNTIFS($A$2:$A$1001,A347,$B$2:$B$1001,B347-1,$G$2:$G$1001,"&gt;0")=0),"违规：须先完成上一次加仓",IF(AND(B347&gt;1,E347&lt;SUMIFS($E$2:$E$1001,$A$2:$A$1001,A347,$B$2:$B$1001,B347-1)),"违规：新止损价不得低于上一次",IF(AND(B347&gt;1,F347&gt;SUMIFS($F$2:$F$1001,$A$2:$A$1001,A347,$B$2:$B$1001,B347-1)),"违规：风险预算须逐次不增加",IF(OR(_LockStatus="已锁仓",_LockStatus="解锁信息不完整"),"违规：锁仓期间禁止加仓",IF(G347="","计划可执行：建议股数见N列",IF(OR(G347&lt;=0,G347&lt;&gt;INT(G347),MOD(G347,100)&lt;&gt;0),"违规：实际股数须为100股整数倍",IF(G347&gt;N347,"违规：实际股数超过风险或金字塔上限",IF(AND(B347&gt;1,G347&gt;SUMIFS($G$2:$G$1001,$A$2:$A$1001,A347,$B$2:$B$1001,B347-1)),"违规：加仓股数须逐次不增加",IF(Q347&gt;F347,"违规：止损风险超过本次预算","通过")))))))))))))))</f>
        <v/>
      </c>
    </row>
    <row r="348" ht="17" spans="1:18">
      <c r="A348" s="13"/>
      <c r="B348" s="14"/>
      <c r="C348" s="15"/>
      <c r="D348" s="16"/>
      <c r="E348" s="16"/>
      <c r="F348" s="16"/>
      <c r="G348" s="14"/>
      <c r="H348" s="17" t="str">
        <f t="shared" si="40"/>
        <v/>
      </c>
      <c r="I348" s="18" t="str">
        <f>IF(OR(A348="",B348=""),"",IFERROR(LOOKUP(2,1/(单次交易!$A$2:$A$201=A348),单次交易!$H$2:$H$201),0)+SUMIFS($G$2:$G$1001,$A$2:$A$1001,A348,$B$2:$B$1001,"&lt;"&amp;B348))</f>
        <v/>
      </c>
      <c r="J348" s="17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17" t="str">
        <f t="shared" si="41"/>
        <v/>
      </c>
      <c r="L348" s="18" t="str">
        <f t="shared" si="42"/>
        <v/>
      </c>
      <c r="M348" s="18" t="str">
        <f t="shared" si="43"/>
        <v/>
      </c>
      <c r="N348" s="18" t="str">
        <f t="shared" si="44"/>
        <v/>
      </c>
      <c r="O348" s="18" t="str">
        <f t="shared" si="45"/>
        <v/>
      </c>
      <c r="P348" s="17" t="str">
        <f t="shared" si="46"/>
        <v/>
      </c>
      <c r="Q348" s="17" t="str">
        <f t="shared" si="47"/>
        <v/>
      </c>
      <c r="R348" s="19" t="str">
        <f ca="1">IF(A348="","",IF(COUNTIF(_TradeIds,A348)=0,"违规：交易编号不存在",IF(OR(B348="",B348&lt;1,B348&gt;5,B348&lt;&gt;INT(B348)),"违规：加仓序号须为1到5的整数",IF(COUNTIFS($A$2:$A$1001,A348,$B$2:$B$1001,B348)&gt;1,"违规：同一交易的加仓序号重复",IF(OR(D348="",E348="",F348=""),"计划不完整：请填写加仓价、新止损价和风险预算",IF(OR(D348&lt;=0,E348&lt;=0,F348&lt;=0,D348&lt;=E348),"违规：加仓价必须高于新止损价，金额须大于0",IF(AND(B348&gt;1,COUNTIFS($A$2:$A$1001,A348,$B$2:$B$1001,B348-1,$G$2:$G$1001,"&gt;0")=0),"违规：须先完成上一次加仓",IF(AND(B348&gt;1,E348&lt;SUMIFS($E$2:$E$1001,$A$2:$A$1001,A348,$B$2:$B$1001,B348-1)),"违规：新止损价不得低于上一次",IF(AND(B348&gt;1,F348&gt;SUMIFS($F$2:$F$1001,$A$2:$A$1001,A348,$B$2:$B$1001,B348-1)),"违规：风险预算须逐次不增加",IF(OR(_LockStatus="已锁仓",_LockStatus="解锁信息不完整"),"违规：锁仓期间禁止加仓",IF(G348="","计划可执行：建议股数见N列",IF(OR(G348&lt;=0,G348&lt;&gt;INT(G348),MOD(G348,100)&lt;&gt;0),"违规：实际股数须为100股整数倍",IF(G348&gt;N348,"违规：实际股数超过风险或金字塔上限",IF(AND(B348&gt;1,G348&gt;SUMIFS($G$2:$G$1001,$A$2:$A$1001,A348,$B$2:$B$1001,B348-1)),"违规：加仓股数须逐次不增加",IF(Q348&gt;F348,"违规：止损风险超过本次预算","通过")))))))))))))))</f>
        <v/>
      </c>
    </row>
    <row r="349" ht="17" spans="1:18">
      <c r="A349" s="13"/>
      <c r="B349" s="14"/>
      <c r="C349" s="15"/>
      <c r="D349" s="16"/>
      <c r="E349" s="16"/>
      <c r="F349" s="16"/>
      <c r="G349" s="14"/>
      <c r="H349" s="17" t="str">
        <f t="shared" si="40"/>
        <v/>
      </c>
      <c r="I349" s="18" t="str">
        <f>IF(OR(A349="",B349=""),"",IFERROR(LOOKUP(2,1/(单次交易!$A$2:$A$201=A349),单次交易!$H$2:$H$201),0)+SUMIFS($G$2:$G$1001,$A$2:$A$1001,A349,$B$2:$B$1001,"&lt;"&amp;B349))</f>
        <v/>
      </c>
      <c r="J349" s="17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17" t="str">
        <f t="shared" si="41"/>
        <v/>
      </c>
      <c r="L349" s="18" t="str">
        <f t="shared" si="42"/>
        <v/>
      </c>
      <c r="M349" s="18" t="str">
        <f t="shared" si="43"/>
        <v/>
      </c>
      <c r="N349" s="18" t="str">
        <f t="shared" si="44"/>
        <v/>
      </c>
      <c r="O349" s="18" t="str">
        <f t="shared" si="45"/>
        <v/>
      </c>
      <c r="P349" s="17" t="str">
        <f t="shared" si="46"/>
        <v/>
      </c>
      <c r="Q349" s="17" t="str">
        <f t="shared" si="47"/>
        <v/>
      </c>
      <c r="R349" s="19" t="str">
        <f ca="1">IF(A349="","",IF(COUNTIF(_TradeIds,A349)=0,"违规：交易编号不存在",IF(OR(B349="",B349&lt;1,B349&gt;5,B349&lt;&gt;INT(B349)),"违规：加仓序号须为1到5的整数",IF(COUNTIFS($A$2:$A$1001,A349,$B$2:$B$1001,B349)&gt;1,"违规：同一交易的加仓序号重复",IF(OR(D349="",E349="",F349=""),"计划不完整：请填写加仓价、新止损价和风险预算",IF(OR(D349&lt;=0,E349&lt;=0,F349&lt;=0,D349&lt;=E349),"违规：加仓价必须高于新止损价，金额须大于0",IF(AND(B349&gt;1,COUNTIFS($A$2:$A$1001,A349,$B$2:$B$1001,B349-1,$G$2:$G$1001,"&gt;0")=0),"违规：须先完成上一次加仓",IF(AND(B349&gt;1,E349&lt;SUMIFS($E$2:$E$1001,$A$2:$A$1001,A349,$B$2:$B$1001,B349-1)),"违规：新止损价不得低于上一次",IF(AND(B349&gt;1,F349&gt;SUMIFS($F$2:$F$1001,$A$2:$A$1001,A349,$B$2:$B$1001,B349-1)),"违规：风险预算须逐次不增加",IF(OR(_LockStatus="已锁仓",_LockStatus="解锁信息不完整"),"违规：锁仓期间禁止加仓",IF(G349="","计划可执行：建议股数见N列",IF(OR(G349&lt;=0,G349&lt;&gt;INT(G349),MOD(G349,100)&lt;&gt;0),"违规：实际股数须为100股整数倍",IF(G349&gt;N349,"违规：实际股数超过风险或金字塔上限",IF(AND(B349&gt;1,G349&gt;SUMIFS($G$2:$G$1001,$A$2:$A$1001,A349,$B$2:$B$1001,B349-1)),"违规：加仓股数须逐次不增加",IF(Q349&gt;F349,"违规：止损风险超过本次预算","通过")))))))))))))))</f>
        <v/>
      </c>
    </row>
    <row r="350" ht="17" spans="1:18">
      <c r="A350" s="13"/>
      <c r="B350" s="14"/>
      <c r="C350" s="15"/>
      <c r="D350" s="16"/>
      <c r="E350" s="16"/>
      <c r="F350" s="16"/>
      <c r="G350" s="14"/>
      <c r="H350" s="17" t="str">
        <f t="shared" si="40"/>
        <v/>
      </c>
      <c r="I350" s="18" t="str">
        <f>IF(OR(A350="",B350=""),"",IFERROR(LOOKUP(2,1/(单次交易!$A$2:$A$201=A350),单次交易!$H$2:$H$201),0)+SUMIFS($G$2:$G$1001,$A$2:$A$1001,A350,$B$2:$B$1001,"&lt;"&amp;B350))</f>
        <v/>
      </c>
      <c r="J350" s="17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17" t="str">
        <f t="shared" si="41"/>
        <v/>
      </c>
      <c r="L350" s="18" t="str">
        <f t="shared" si="42"/>
        <v/>
      </c>
      <c r="M350" s="18" t="str">
        <f t="shared" si="43"/>
        <v/>
      </c>
      <c r="N350" s="18" t="str">
        <f t="shared" si="44"/>
        <v/>
      </c>
      <c r="O350" s="18" t="str">
        <f t="shared" si="45"/>
        <v/>
      </c>
      <c r="P350" s="17" t="str">
        <f t="shared" si="46"/>
        <v/>
      </c>
      <c r="Q350" s="17" t="str">
        <f t="shared" si="47"/>
        <v/>
      </c>
      <c r="R350" s="19" t="str">
        <f ca="1">IF(A350="","",IF(COUNTIF(_TradeIds,A350)=0,"违规：交易编号不存在",IF(OR(B350="",B350&lt;1,B350&gt;5,B350&lt;&gt;INT(B350)),"违规：加仓序号须为1到5的整数",IF(COUNTIFS($A$2:$A$1001,A350,$B$2:$B$1001,B350)&gt;1,"违规：同一交易的加仓序号重复",IF(OR(D350="",E350="",F350=""),"计划不完整：请填写加仓价、新止损价和风险预算",IF(OR(D350&lt;=0,E350&lt;=0,F350&lt;=0,D350&lt;=E350),"违规：加仓价必须高于新止损价，金额须大于0",IF(AND(B350&gt;1,COUNTIFS($A$2:$A$1001,A350,$B$2:$B$1001,B350-1,$G$2:$G$1001,"&gt;0")=0),"违规：须先完成上一次加仓",IF(AND(B350&gt;1,E350&lt;SUMIFS($E$2:$E$1001,$A$2:$A$1001,A350,$B$2:$B$1001,B350-1)),"违规：新止损价不得低于上一次",IF(AND(B350&gt;1,F350&gt;SUMIFS($F$2:$F$1001,$A$2:$A$1001,A350,$B$2:$B$1001,B350-1)),"违规：风险预算须逐次不增加",IF(OR(_LockStatus="已锁仓",_LockStatus="解锁信息不完整"),"违规：锁仓期间禁止加仓",IF(G350="","计划可执行：建议股数见N列",IF(OR(G350&lt;=0,G350&lt;&gt;INT(G350),MOD(G350,100)&lt;&gt;0),"违规：实际股数须为100股整数倍",IF(G350&gt;N350,"违规：实际股数超过风险或金字塔上限",IF(AND(B350&gt;1,G350&gt;SUMIFS($G$2:$G$1001,$A$2:$A$1001,A350,$B$2:$B$1001,B350-1)),"违规：加仓股数须逐次不增加",IF(Q350&gt;F350,"违规：止损风险超过本次预算","通过")))))))))))))))</f>
        <v/>
      </c>
    </row>
    <row r="351" ht="17" spans="1:18">
      <c r="A351" s="13"/>
      <c r="B351" s="14"/>
      <c r="C351" s="15"/>
      <c r="D351" s="16"/>
      <c r="E351" s="16"/>
      <c r="F351" s="16"/>
      <c r="G351" s="14"/>
      <c r="H351" s="17" t="str">
        <f t="shared" si="40"/>
        <v/>
      </c>
      <c r="I351" s="18" t="str">
        <f>IF(OR(A351="",B351=""),"",IFERROR(LOOKUP(2,1/(单次交易!$A$2:$A$201=A351),单次交易!$H$2:$H$201),0)+SUMIFS($G$2:$G$1001,$A$2:$A$1001,A351,$B$2:$B$1001,"&lt;"&amp;B351))</f>
        <v/>
      </c>
      <c r="J351" s="17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17" t="str">
        <f t="shared" si="41"/>
        <v/>
      </c>
      <c r="L351" s="18" t="str">
        <f t="shared" si="42"/>
        <v/>
      </c>
      <c r="M351" s="18" t="str">
        <f t="shared" si="43"/>
        <v/>
      </c>
      <c r="N351" s="18" t="str">
        <f t="shared" si="44"/>
        <v/>
      </c>
      <c r="O351" s="18" t="str">
        <f t="shared" si="45"/>
        <v/>
      </c>
      <c r="P351" s="17" t="str">
        <f t="shared" si="46"/>
        <v/>
      </c>
      <c r="Q351" s="17" t="str">
        <f t="shared" si="47"/>
        <v/>
      </c>
      <c r="R351" s="19" t="str">
        <f ca="1">IF(A351="","",IF(COUNTIF(_TradeIds,A351)=0,"违规：交易编号不存在",IF(OR(B351="",B351&lt;1,B351&gt;5,B351&lt;&gt;INT(B351)),"违规：加仓序号须为1到5的整数",IF(COUNTIFS($A$2:$A$1001,A351,$B$2:$B$1001,B351)&gt;1,"违规：同一交易的加仓序号重复",IF(OR(D351="",E351="",F351=""),"计划不完整：请填写加仓价、新止损价和风险预算",IF(OR(D351&lt;=0,E351&lt;=0,F351&lt;=0,D351&lt;=E351),"违规：加仓价必须高于新止损价，金额须大于0",IF(AND(B351&gt;1,COUNTIFS($A$2:$A$1001,A351,$B$2:$B$1001,B351-1,$G$2:$G$1001,"&gt;0")=0),"违规：须先完成上一次加仓",IF(AND(B351&gt;1,E351&lt;SUMIFS($E$2:$E$1001,$A$2:$A$1001,A351,$B$2:$B$1001,B351-1)),"违规：新止损价不得低于上一次",IF(AND(B351&gt;1,F351&gt;SUMIFS($F$2:$F$1001,$A$2:$A$1001,A351,$B$2:$B$1001,B351-1)),"违规：风险预算须逐次不增加",IF(OR(_LockStatus="已锁仓",_LockStatus="解锁信息不完整"),"违规：锁仓期间禁止加仓",IF(G351="","计划可执行：建议股数见N列",IF(OR(G351&lt;=0,G351&lt;&gt;INT(G351),MOD(G351,100)&lt;&gt;0),"违规：实际股数须为100股整数倍",IF(G351&gt;N351,"违规：实际股数超过风险或金字塔上限",IF(AND(B351&gt;1,G351&gt;SUMIFS($G$2:$G$1001,$A$2:$A$1001,A351,$B$2:$B$1001,B351-1)),"违规：加仓股数须逐次不增加",IF(Q351&gt;F351,"违规：止损风险超过本次预算","通过")))))))))))))))</f>
        <v/>
      </c>
    </row>
    <row r="352" ht="17" spans="1:18">
      <c r="A352" s="13"/>
      <c r="B352" s="14"/>
      <c r="C352" s="15"/>
      <c r="D352" s="16"/>
      <c r="E352" s="16"/>
      <c r="F352" s="16"/>
      <c r="G352" s="14"/>
      <c r="H352" s="17" t="str">
        <f t="shared" si="40"/>
        <v/>
      </c>
      <c r="I352" s="18" t="str">
        <f>IF(OR(A352="",B352=""),"",IFERROR(LOOKUP(2,1/(单次交易!$A$2:$A$201=A352),单次交易!$H$2:$H$201),0)+SUMIFS($G$2:$G$1001,$A$2:$A$1001,A352,$B$2:$B$1001,"&lt;"&amp;B352))</f>
        <v/>
      </c>
      <c r="J352" s="17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17" t="str">
        <f t="shared" si="41"/>
        <v/>
      </c>
      <c r="L352" s="18" t="str">
        <f t="shared" si="42"/>
        <v/>
      </c>
      <c r="M352" s="18" t="str">
        <f t="shared" si="43"/>
        <v/>
      </c>
      <c r="N352" s="18" t="str">
        <f t="shared" si="44"/>
        <v/>
      </c>
      <c r="O352" s="18" t="str">
        <f t="shared" si="45"/>
        <v/>
      </c>
      <c r="P352" s="17" t="str">
        <f t="shared" si="46"/>
        <v/>
      </c>
      <c r="Q352" s="17" t="str">
        <f t="shared" si="47"/>
        <v/>
      </c>
      <c r="R352" s="19" t="str">
        <f ca="1">IF(A352="","",IF(COUNTIF(_TradeIds,A352)=0,"违规：交易编号不存在",IF(OR(B352="",B352&lt;1,B352&gt;5,B352&lt;&gt;INT(B352)),"违规：加仓序号须为1到5的整数",IF(COUNTIFS($A$2:$A$1001,A352,$B$2:$B$1001,B352)&gt;1,"违规：同一交易的加仓序号重复",IF(OR(D352="",E352="",F352=""),"计划不完整：请填写加仓价、新止损价和风险预算",IF(OR(D352&lt;=0,E352&lt;=0,F352&lt;=0,D352&lt;=E352),"违规：加仓价必须高于新止损价，金额须大于0",IF(AND(B352&gt;1,COUNTIFS($A$2:$A$1001,A352,$B$2:$B$1001,B352-1,$G$2:$G$1001,"&gt;0")=0),"违规：须先完成上一次加仓",IF(AND(B352&gt;1,E352&lt;SUMIFS($E$2:$E$1001,$A$2:$A$1001,A352,$B$2:$B$1001,B352-1)),"违规：新止损价不得低于上一次",IF(AND(B352&gt;1,F352&gt;SUMIFS($F$2:$F$1001,$A$2:$A$1001,A352,$B$2:$B$1001,B352-1)),"违规：风险预算须逐次不增加",IF(OR(_LockStatus="已锁仓",_LockStatus="解锁信息不完整"),"违规：锁仓期间禁止加仓",IF(G352="","计划可执行：建议股数见N列",IF(OR(G352&lt;=0,G352&lt;&gt;INT(G352),MOD(G352,100)&lt;&gt;0),"违规：实际股数须为100股整数倍",IF(G352&gt;N352,"违规：实际股数超过风险或金字塔上限",IF(AND(B352&gt;1,G352&gt;SUMIFS($G$2:$G$1001,$A$2:$A$1001,A352,$B$2:$B$1001,B352-1)),"违规：加仓股数须逐次不增加",IF(Q352&gt;F352,"违规：止损风险超过本次预算","通过")))))))))))))))</f>
        <v/>
      </c>
    </row>
    <row r="353" ht="17" spans="1:18">
      <c r="A353" s="13"/>
      <c r="B353" s="14"/>
      <c r="C353" s="15"/>
      <c r="D353" s="16"/>
      <c r="E353" s="16"/>
      <c r="F353" s="16"/>
      <c r="G353" s="14"/>
      <c r="H353" s="17" t="str">
        <f t="shared" si="40"/>
        <v/>
      </c>
      <c r="I353" s="18" t="str">
        <f>IF(OR(A353="",B353=""),"",IFERROR(LOOKUP(2,1/(单次交易!$A$2:$A$201=A353),单次交易!$H$2:$H$201),0)+SUMIFS($G$2:$G$1001,$A$2:$A$1001,A353,$B$2:$B$1001,"&lt;"&amp;B353))</f>
        <v/>
      </c>
      <c r="J353" s="17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17" t="str">
        <f t="shared" si="41"/>
        <v/>
      </c>
      <c r="L353" s="18" t="str">
        <f t="shared" si="42"/>
        <v/>
      </c>
      <c r="M353" s="18" t="str">
        <f t="shared" si="43"/>
        <v/>
      </c>
      <c r="N353" s="18" t="str">
        <f t="shared" si="44"/>
        <v/>
      </c>
      <c r="O353" s="18" t="str">
        <f t="shared" si="45"/>
        <v/>
      </c>
      <c r="P353" s="17" t="str">
        <f t="shared" si="46"/>
        <v/>
      </c>
      <c r="Q353" s="17" t="str">
        <f t="shared" si="47"/>
        <v/>
      </c>
      <c r="R353" s="19" t="str">
        <f ca="1">IF(A353="","",IF(COUNTIF(_TradeIds,A353)=0,"违规：交易编号不存在",IF(OR(B353="",B353&lt;1,B353&gt;5,B353&lt;&gt;INT(B353)),"违规：加仓序号须为1到5的整数",IF(COUNTIFS($A$2:$A$1001,A353,$B$2:$B$1001,B353)&gt;1,"违规：同一交易的加仓序号重复",IF(OR(D353="",E353="",F353=""),"计划不完整：请填写加仓价、新止损价和风险预算",IF(OR(D353&lt;=0,E353&lt;=0,F353&lt;=0,D353&lt;=E353),"违规：加仓价必须高于新止损价，金额须大于0",IF(AND(B353&gt;1,COUNTIFS($A$2:$A$1001,A353,$B$2:$B$1001,B353-1,$G$2:$G$1001,"&gt;0")=0),"违规：须先完成上一次加仓",IF(AND(B353&gt;1,E353&lt;SUMIFS($E$2:$E$1001,$A$2:$A$1001,A353,$B$2:$B$1001,B353-1)),"违规：新止损价不得低于上一次",IF(AND(B353&gt;1,F353&gt;SUMIFS($F$2:$F$1001,$A$2:$A$1001,A353,$B$2:$B$1001,B353-1)),"违规：风险预算须逐次不增加",IF(OR(_LockStatus="已锁仓",_LockStatus="解锁信息不完整"),"违规：锁仓期间禁止加仓",IF(G353="","计划可执行：建议股数见N列",IF(OR(G353&lt;=0,G353&lt;&gt;INT(G353),MOD(G353,100)&lt;&gt;0),"违规：实际股数须为100股整数倍",IF(G353&gt;N353,"违规：实际股数超过风险或金字塔上限",IF(AND(B353&gt;1,G353&gt;SUMIFS($G$2:$G$1001,$A$2:$A$1001,A353,$B$2:$B$1001,B353-1)),"违规：加仓股数须逐次不增加",IF(Q353&gt;F353,"违规：止损风险超过本次预算","通过")))))))))))))))</f>
        <v/>
      </c>
    </row>
    <row r="354" ht="17" spans="1:18">
      <c r="A354" s="13"/>
      <c r="B354" s="14"/>
      <c r="C354" s="15"/>
      <c r="D354" s="16"/>
      <c r="E354" s="16"/>
      <c r="F354" s="16"/>
      <c r="G354" s="14"/>
      <c r="H354" s="17" t="str">
        <f t="shared" si="40"/>
        <v/>
      </c>
      <c r="I354" s="18" t="str">
        <f>IF(OR(A354="",B354=""),"",IFERROR(LOOKUP(2,1/(单次交易!$A$2:$A$201=A354),单次交易!$H$2:$H$201),0)+SUMIFS($G$2:$G$1001,$A$2:$A$1001,A354,$B$2:$B$1001,"&lt;"&amp;B354))</f>
        <v/>
      </c>
      <c r="J354" s="17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17" t="str">
        <f t="shared" si="41"/>
        <v/>
      </c>
      <c r="L354" s="18" t="str">
        <f t="shared" si="42"/>
        <v/>
      </c>
      <c r="M354" s="18" t="str">
        <f t="shared" si="43"/>
        <v/>
      </c>
      <c r="N354" s="18" t="str">
        <f t="shared" si="44"/>
        <v/>
      </c>
      <c r="O354" s="18" t="str">
        <f t="shared" si="45"/>
        <v/>
      </c>
      <c r="P354" s="17" t="str">
        <f t="shared" si="46"/>
        <v/>
      </c>
      <c r="Q354" s="17" t="str">
        <f t="shared" si="47"/>
        <v/>
      </c>
      <c r="R354" s="19" t="str">
        <f ca="1">IF(A354="","",IF(COUNTIF(_TradeIds,A354)=0,"违规：交易编号不存在",IF(OR(B354="",B354&lt;1,B354&gt;5,B354&lt;&gt;INT(B354)),"违规：加仓序号须为1到5的整数",IF(COUNTIFS($A$2:$A$1001,A354,$B$2:$B$1001,B354)&gt;1,"违规：同一交易的加仓序号重复",IF(OR(D354="",E354="",F354=""),"计划不完整：请填写加仓价、新止损价和风险预算",IF(OR(D354&lt;=0,E354&lt;=0,F354&lt;=0,D354&lt;=E354),"违规：加仓价必须高于新止损价，金额须大于0",IF(AND(B354&gt;1,COUNTIFS($A$2:$A$1001,A354,$B$2:$B$1001,B354-1,$G$2:$G$1001,"&gt;0")=0),"违规：须先完成上一次加仓",IF(AND(B354&gt;1,E354&lt;SUMIFS($E$2:$E$1001,$A$2:$A$1001,A354,$B$2:$B$1001,B354-1)),"违规：新止损价不得低于上一次",IF(AND(B354&gt;1,F354&gt;SUMIFS($F$2:$F$1001,$A$2:$A$1001,A354,$B$2:$B$1001,B354-1)),"违规：风险预算须逐次不增加",IF(OR(_LockStatus="已锁仓",_LockStatus="解锁信息不完整"),"违规：锁仓期间禁止加仓",IF(G354="","计划可执行：建议股数见N列",IF(OR(G354&lt;=0,G354&lt;&gt;INT(G354),MOD(G354,100)&lt;&gt;0),"违规：实际股数须为100股整数倍",IF(G354&gt;N354,"违规：实际股数超过风险或金字塔上限",IF(AND(B354&gt;1,G354&gt;SUMIFS($G$2:$G$1001,$A$2:$A$1001,A354,$B$2:$B$1001,B354-1)),"违规：加仓股数须逐次不增加",IF(Q354&gt;F354,"违规：止损风险超过本次预算","通过")))))))))))))))</f>
        <v/>
      </c>
    </row>
    <row r="355" ht="17" spans="1:18">
      <c r="A355" s="13"/>
      <c r="B355" s="14"/>
      <c r="C355" s="15"/>
      <c r="D355" s="16"/>
      <c r="E355" s="16"/>
      <c r="F355" s="16"/>
      <c r="G355" s="14"/>
      <c r="H355" s="17" t="str">
        <f t="shared" si="40"/>
        <v/>
      </c>
      <c r="I355" s="18" t="str">
        <f>IF(OR(A355="",B355=""),"",IFERROR(LOOKUP(2,1/(单次交易!$A$2:$A$201=A355),单次交易!$H$2:$H$201),0)+SUMIFS($G$2:$G$1001,$A$2:$A$1001,A355,$B$2:$B$1001,"&lt;"&amp;B355))</f>
        <v/>
      </c>
      <c r="J355" s="17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17" t="str">
        <f t="shared" si="41"/>
        <v/>
      </c>
      <c r="L355" s="18" t="str">
        <f t="shared" si="42"/>
        <v/>
      </c>
      <c r="M355" s="18" t="str">
        <f t="shared" si="43"/>
        <v/>
      </c>
      <c r="N355" s="18" t="str">
        <f t="shared" si="44"/>
        <v/>
      </c>
      <c r="O355" s="18" t="str">
        <f t="shared" si="45"/>
        <v/>
      </c>
      <c r="P355" s="17" t="str">
        <f t="shared" si="46"/>
        <v/>
      </c>
      <c r="Q355" s="17" t="str">
        <f t="shared" si="47"/>
        <v/>
      </c>
      <c r="R355" s="19" t="str">
        <f ca="1">IF(A355="","",IF(COUNTIF(_TradeIds,A355)=0,"违规：交易编号不存在",IF(OR(B355="",B355&lt;1,B355&gt;5,B355&lt;&gt;INT(B355)),"违规：加仓序号须为1到5的整数",IF(COUNTIFS($A$2:$A$1001,A355,$B$2:$B$1001,B355)&gt;1,"违规：同一交易的加仓序号重复",IF(OR(D355="",E355="",F355=""),"计划不完整：请填写加仓价、新止损价和风险预算",IF(OR(D355&lt;=0,E355&lt;=0,F355&lt;=0,D355&lt;=E355),"违规：加仓价必须高于新止损价，金额须大于0",IF(AND(B355&gt;1,COUNTIFS($A$2:$A$1001,A355,$B$2:$B$1001,B355-1,$G$2:$G$1001,"&gt;0")=0),"违规：须先完成上一次加仓",IF(AND(B355&gt;1,E355&lt;SUMIFS($E$2:$E$1001,$A$2:$A$1001,A355,$B$2:$B$1001,B355-1)),"违规：新止损价不得低于上一次",IF(AND(B355&gt;1,F355&gt;SUMIFS($F$2:$F$1001,$A$2:$A$1001,A355,$B$2:$B$1001,B355-1)),"违规：风险预算须逐次不增加",IF(OR(_LockStatus="已锁仓",_LockStatus="解锁信息不完整"),"违规：锁仓期间禁止加仓",IF(G355="","计划可执行：建议股数见N列",IF(OR(G355&lt;=0,G355&lt;&gt;INT(G355),MOD(G355,100)&lt;&gt;0),"违规：实际股数须为100股整数倍",IF(G355&gt;N355,"违规：实际股数超过风险或金字塔上限",IF(AND(B355&gt;1,G355&gt;SUMIFS($G$2:$G$1001,$A$2:$A$1001,A355,$B$2:$B$1001,B355-1)),"违规：加仓股数须逐次不增加",IF(Q355&gt;F355,"违规：止损风险超过本次预算","通过")))))))))))))))</f>
        <v/>
      </c>
    </row>
    <row r="356" ht="17" spans="1:18">
      <c r="A356" s="13"/>
      <c r="B356" s="14"/>
      <c r="C356" s="15"/>
      <c r="D356" s="16"/>
      <c r="E356" s="16"/>
      <c r="F356" s="16"/>
      <c r="G356" s="14"/>
      <c r="H356" s="17" t="str">
        <f t="shared" si="40"/>
        <v/>
      </c>
      <c r="I356" s="18" t="str">
        <f>IF(OR(A356="",B356=""),"",IFERROR(LOOKUP(2,1/(单次交易!$A$2:$A$201=A356),单次交易!$H$2:$H$201),0)+SUMIFS($G$2:$G$1001,$A$2:$A$1001,A356,$B$2:$B$1001,"&lt;"&amp;B356))</f>
        <v/>
      </c>
      <c r="J356" s="17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17" t="str">
        <f t="shared" si="41"/>
        <v/>
      </c>
      <c r="L356" s="18" t="str">
        <f t="shared" si="42"/>
        <v/>
      </c>
      <c r="M356" s="18" t="str">
        <f t="shared" si="43"/>
        <v/>
      </c>
      <c r="N356" s="18" t="str">
        <f t="shared" si="44"/>
        <v/>
      </c>
      <c r="O356" s="18" t="str">
        <f t="shared" si="45"/>
        <v/>
      </c>
      <c r="P356" s="17" t="str">
        <f t="shared" si="46"/>
        <v/>
      </c>
      <c r="Q356" s="17" t="str">
        <f t="shared" si="47"/>
        <v/>
      </c>
      <c r="R356" s="19" t="str">
        <f ca="1">IF(A356="","",IF(COUNTIF(_TradeIds,A356)=0,"违规：交易编号不存在",IF(OR(B356="",B356&lt;1,B356&gt;5,B356&lt;&gt;INT(B356)),"违规：加仓序号须为1到5的整数",IF(COUNTIFS($A$2:$A$1001,A356,$B$2:$B$1001,B356)&gt;1,"违规：同一交易的加仓序号重复",IF(OR(D356="",E356="",F356=""),"计划不完整：请填写加仓价、新止损价和风险预算",IF(OR(D356&lt;=0,E356&lt;=0,F356&lt;=0,D356&lt;=E356),"违规：加仓价必须高于新止损价，金额须大于0",IF(AND(B356&gt;1,COUNTIFS($A$2:$A$1001,A356,$B$2:$B$1001,B356-1,$G$2:$G$1001,"&gt;0")=0),"违规：须先完成上一次加仓",IF(AND(B356&gt;1,E356&lt;SUMIFS($E$2:$E$1001,$A$2:$A$1001,A356,$B$2:$B$1001,B356-1)),"违规：新止损价不得低于上一次",IF(AND(B356&gt;1,F356&gt;SUMIFS($F$2:$F$1001,$A$2:$A$1001,A356,$B$2:$B$1001,B356-1)),"违规：风险预算须逐次不增加",IF(OR(_LockStatus="已锁仓",_LockStatus="解锁信息不完整"),"违规：锁仓期间禁止加仓",IF(G356="","计划可执行：建议股数见N列",IF(OR(G356&lt;=0,G356&lt;&gt;INT(G356),MOD(G356,100)&lt;&gt;0),"违规：实际股数须为100股整数倍",IF(G356&gt;N356,"违规：实际股数超过风险或金字塔上限",IF(AND(B356&gt;1,G356&gt;SUMIFS($G$2:$G$1001,$A$2:$A$1001,A356,$B$2:$B$1001,B356-1)),"违规：加仓股数须逐次不增加",IF(Q356&gt;F356,"违规：止损风险超过本次预算","通过")))))))))))))))</f>
        <v/>
      </c>
    </row>
    <row r="357" ht="17" spans="1:18">
      <c r="A357" s="13"/>
      <c r="B357" s="14"/>
      <c r="C357" s="15"/>
      <c r="D357" s="16"/>
      <c r="E357" s="16"/>
      <c r="F357" s="16"/>
      <c r="G357" s="14"/>
      <c r="H357" s="17" t="str">
        <f t="shared" si="40"/>
        <v/>
      </c>
      <c r="I357" s="18" t="str">
        <f>IF(OR(A357="",B357=""),"",IFERROR(LOOKUP(2,1/(单次交易!$A$2:$A$201=A357),单次交易!$H$2:$H$201),0)+SUMIFS($G$2:$G$1001,$A$2:$A$1001,A357,$B$2:$B$1001,"&lt;"&amp;B357))</f>
        <v/>
      </c>
      <c r="J357" s="17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17" t="str">
        <f t="shared" si="41"/>
        <v/>
      </c>
      <c r="L357" s="18" t="str">
        <f t="shared" si="42"/>
        <v/>
      </c>
      <c r="M357" s="18" t="str">
        <f t="shared" si="43"/>
        <v/>
      </c>
      <c r="N357" s="18" t="str">
        <f t="shared" si="44"/>
        <v/>
      </c>
      <c r="O357" s="18" t="str">
        <f t="shared" si="45"/>
        <v/>
      </c>
      <c r="P357" s="17" t="str">
        <f t="shared" si="46"/>
        <v/>
      </c>
      <c r="Q357" s="17" t="str">
        <f t="shared" si="47"/>
        <v/>
      </c>
      <c r="R357" s="19" t="str">
        <f ca="1">IF(A357="","",IF(COUNTIF(_TradeIds,A357)=0,"违规：交易编号不存在",IF(OR(B357="",B357&lt;1,B357&gt;5,B357&lt;&gt;INT(B357)),"违规：加仓序号须为1到5的整数",IF(COUNTIFS($A$2:$A$1001,A357,$B$2:$B$1001,B357)&gt;1,"违规：同一交易的加仓序号重复",IF(OR(D357="",E357="",F357=""),"计划不完整：请填写加仓价、新止损价和风险预算",IF(OR(D357&lt;=0,E357&lt;=0,F357&lt;=0,D357&lt;=E357),"违规：加仓价必须高于新止损价，金额须大于0",IF(AND(B357&gt;1,COUNTIFS($A$2:$A$1001,A357,$B$2:$B$1001,B357-1,$G$2:$G$1001,"&gt;0")=0),"违规：须先完成上一次加仓",IF(AND(B357&gt;1,E357&lt;SUMIFS($E$2:$E$1001,$A$2:$A$1001,A357,$B$2:$B$1001,B357-1)),"违规：新止损价不得低于上一次",IF(AND(B357&gt;1,F357&gt;SUMIFS($F$2:$F$1001,$A$2:$A$1001,A357,$B$2:$B$1001,B357-1)),"违规：风险预算须逐次不增加",IF(OR(_LockStatus="已锁仓",_LockStatus="解锁信息不完整"),"违规：锁仓期间禁止加仓",IF(G357="","计划可执行：建议股数见N列",IF(OR(G357&lt;=0,G357&lt;&gt;INT(G357),MOD(G357,100)&lt;&gt;0),"违规：实际股数须为100股整数倍",IF(G357&gt;N357,"违规：实际股数超过风险或金字塔上限",IF(AND(B357&gt;1,G357&gt;SUMIFS($G$2:$G$1001,$A$2:$A$1001,A357,$B$2:$B$1001,B357-1)),"违规：加仓股数须逐次不增加",IF(Q357&gt;F357,"违规：止损风险超过本次预算","通过")))))))))))))))</f>
        <v/>
      </c>
    </row>
    <row r="358" ht="17" spans="1:18">
      <c r="A358" s="13"/>
      <c r="B358" s="14"/>
      <c r="C358" s="15"/>
      <c r="D358" s="16"/>
      <c r="E358" s="16"/>
      <c r="F358" s="16"/>
      <c r="G358" s="14"/>
      <c r="H358" s="17" t="str">
        <f t="shared" si="40"/>
        <v/>
      </c>
      <c r="I358" s="18" t="str">
        <f>IF(OR(A358="",B358=""),"",IFERROR(LOOKUP(2,1/(单次交易!$A$2:$A$201=A358),单次交易!$H$2:$H$201),0)+SUMIFS($G$2:$G$1001,$A$2:$A$1001,A358,$B$2:$B$1001,"&lt;"&amp;B358))</f>
        <v/>
      </c>
      <c r="J358" s="17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17" t="str">
        <f t="shared" si="41"/>
        <v/>
      </c>
      <c r="L358" s="18" t="str">
        <f t="shared" si="42"/>
        <v/>
      </c>
      <c r="M358" s="18" t="str">
        <f t="shared" si="43"/>
        <v/>
      </c>
      <c r="N358" s="18" t="str">
        <f t="shared" si="44"/>
        <v/>
      </c>
      <c r="O358" s="18" t="str">
        <f t="shared" si="45"/>
        <v/>
      </c>
      <c r="P358" s="17" t="str">
        <f t="shared" si="46"/>
        <v/>
      </c>
      <c r="Q358" s="17" t="str">
        <f t="shared" si="47"/>
        <v/>
      </c>
      <c r="R358" s="19" t="str">
        <f ca="1">IF(A358="","",IF(COUNTIF(_TradeIds,A358)=0,"违规：交易编号不存在",IF(OR(B358="",B358&lt;1,B358&gt;5,B358&lt;&gt;INT(B358)),"违规：加仓序号须为1到5的整数",IF(COUNTIFS($A$2:$A$1001,A358,$B$2:$B$1001,B358)&gt;1,"违规：同一交易的加仓序号重复",IF(OR(D358="",E358="",F358=""),"计划不完整：请填写加仓价、新止损价和风险预算",IF(OR(D358&lt;=0,E358&lt;=0,F358&lt;=0,D358&lt;=E358),"违规：加仓价必须高于新止损价，金额须大于0",IF(AND(B358&gt;1,COUNTIFS($A$2:$A$1001,A358,$B$2:$B$1001,B358-1,$G$2:$G$1001,"&gt;0")=0),"违规：须先完成上一次加仓",IF(AND(B358&gt;1,E358&lt;SUMIFS($E$2:$E$1001,$A$2:$A$1001,A358,$B$2:$B$1001,B358-1)),"违规：新止损价不得低于上一次",IF(AND(B358&gt;1,F358&gt;SUMIFS($F$2:$F$1001,$A$2:$A$1001,A358,$B$2:$B$1001,B358-1)),"违规：风险预算须逐次不增加",IF(OR(_LockStatus="已锁仓",_LockStatus="解锁信息不完整"),"违规：锁仓期间禁止加仓",IF(G358="","计划可执行：建议股数见N列",IF(OR(G358&lt;=0,G358&lt;&gt;INT(G358),MOD(G358,100)&lt;&gt;0),"违规：实际股数须为100股整数倍",IF(G358&gt;N358,"违规：实际股数超过风险或金字塔上限",IF(AND(B358&gt;1,G358&gt;SUMIFS($G$2:$G$1001,$A$2:$A$1001,A358,$B$2:$B$1001,B358-1)),"违规：加仓股数须逐次不增加",IF(Q358&gt;F358,"违规：止损风险超过本次预算","通过")))))))))))))))</f>
        <v/>
      </c>
    </row>
    <row r="359" ht="17" spans="1:18">
      <c r="A359" s="13"/>
      <c r="B359" s="14"/>
      <c r="C359" s="15"/>
      <c r="D359" s="16"/>
      <c r="E359" s="16"/>
      <c r="F359" s="16"/>
      <c r="G359" s="14"/>
      <c r="H359" s="17" t="str">
        <f t="shared" si="40"/>
        <v/>
      </c>
      <c r="I359" s="18" t="str">
        <f>IF(OR(A359="",B359=""),"",IFERROR(LOOKUP(2,1/(单次交易!$A$2:$A$201=A359),单次交易!$H$2:$H$201),0)+SUMIFS($G$2:$G$1001,$A$2:$A$1001,A359,$B$2:$B$1001,"&lt;"&amp;B359))</f>
        <v/>
      </c>
      <c r="J359" s="17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17" t="str">
        <f t="shared" si="41"/>
        <v/>
      </c>
      <c r="L359" s="18" t="str">
        <f t="shared" si="42"/>
        <v/>
      </c>
      <c r="M359" s="18" t="str">
        <f t="shared" si="43"/>
        <v/>
      </c>
      <c r="N359" s="18" t="str">
        <f t="shared" si="44"/>
        <v/>
      </c>
      <c r="O359" s="18" t="str">
        <f t="shared" si="45"/>
        <v/>
      </c>
      <c r="P359" s="17" t="str">
        <f t="shared" si="46"/>
        <v/>
      </c>
      <c r="Q359" s="17" t="str">
        <f t="shared" si="47"/>
        <v/>
      </c>
      <c r="R359" s="19" t="str">
        <f ca="1">IF(A359="","",IF(COUNTIF(_TradeIds,A359)=0,"违规：交易编号不存在",IF(OR(B359="",B359&lt;1,B359&gt;5,B359&lt;&gt;INT(B359)),"违规：加仓序号须为1到5的整数",IF(COUNTIFS($A$2:$A$1001,A359,$B$2:$B$1001,B359)&gt;1,"违规：同一交易的加仓序号重复",IF(OR(D359="",E359="",F359=""),"计划不完整：请填写加仓价、新止损价和风险预算",IF(OR(D359&lt;=0,E359&lt;=0,F359&lt;=0,D359&lt;=E359),"违规：加仓价必须高于新止损价，金额须大于0",IF(AND(B359&gt;1,COUNTIFS($A$2:$A$1001,A359,$B$2:$B$1001,B359-1,$G$2:$G$1001,"&gt;0")=0),"违规：须先完成上一次加仓",IF(AND(B359&gt;1,E359&lt;SUMIFS($E$2:$E$1001,$A$2:$A$1001,A359,$B$2:$B$1001,B359-1)),"违规：新止损价不得低于上一次",IF(AND(B359&gt;1,F359&gt;SUMIFS($F$2:$F$1001,$A$2:$A$1001,A359,$B$2:$B$1001,B359-1)),"违规：风险预算须逐次不增加",IF(OR(_LockStatus="已锁仓",_LockStatus="解锁信息不完整"),"违规：锁仓期间禁止加仓",IF(G359="","计划可执行：建议股数见N列",IF(OR(G359&lt;=0,G359&lt;&gt;INT(G359),MOD(G359,100)&lt;&gt;0),"违规：实际股数须为100股整数倍",IF(G359&gt;N359,"违规：实际股数超过风险或金字塔上限",IF(AND(B359&gt;1,G359&gt;SUMIFS($G$2:$G$1001,$A$2:$A$1001,A359,$B$2:$B$1001,B359-1)),"违规：加仓股数须逐次不增加",IF(Q359&gt;F359,"违规：止损风险超过本次预算","通过")))))))))))))))</f>
        <v/>
      </c>
    </row>
    <row r="360" ht="17" spans="1:18">
      <c r="A360" s="13"/>
      <c r="B360" s="14"/>
      <c r="C360" s="15"/>
      <c r="D360" s="16"/>
      <c r="E360" s="16"/>
      <c r="F360" s="16"/>
      <c r="G360" s="14"/>
      <c r="H360" s="17" t="str">
        <f t="shared" si="40"/>
        <v/>
      </c>
      <c r="I360" s="18" t="str">
        <f>IF(OR(A360="",B360=""),"",IFERROR(LOOKUP(2,1/(单次交易!$A$2:$A$201=A360),单次交易!$H$2:$H$201),0)+SUMIFS($G$2:$G$1001,$A$2:$A$1001,A360,$B$2:$B$1001,"&lt;"&amp;B360))</f>
        <v/>
      </c>
      <c r="J360" s="17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17" t="str">
        <f t="shared" si="41"/>
        <v/>
      </c>
      <c r="L360" s="18" t="str">
        <f t="shared" si="42"/>
        <v/>
      </c>
      <c r="M360" s="18" t="str">
        <f t="shared" si="43"/>
        <v/>
      </c>
      <c r="N360" s="18" t="str">
        <f t="shared" si="44"/>
        <v/>
      </c>
      <c r="O360" s="18" t="str">
        <f t="shared" si="45"/>
        <v/>
      </c>
      <c r="P360" s="17" t="str">
        <f t="shared" si="46"/>
        <v/>
      </c>
      <c r="Q360" s="17" t="str">
        <f t="shared" si="47"/>
        <v/>
      </c>
      <c r="R360" s="19" t="str">
        <f ca="1">IF(A360="","",IF(COUNTIF(_TradeIds,A360)=0,"违规：交易编号不存在",IF(OR(B360="",B360&lt;1,B360&gt;5,B360&lt;&gt;INT(B360)),"违规：加仓序号须为1到5的整数",IF(COUNTIFS($A$2:$A$1001,A360,$B$2:$B$1001,B360)&gt;1,"违规：同一交易的加仓序号重复",IF(OR(D360="",E360="",F360=""),"计划不完整：请填写加仓价、新止损价和风险预算",IF(OR(D360&lt;=0,E360&lt;=0,F360&lt;=0,D360&lt;=E360),"违规：加仓价必须高于新止损价，金额须大于0",IF(AND(B360&gt;1,COUNTIFS($A$2:$A$1001,A360,$B$2:$B$1001,B360-1,$G$2:$G$1001,"&gt;0")=0),"违规：须先完成上一次加仓",IF(AND(B360&gt;1,E360&lt;SUMIFS($E$2:$E$1001,$A$2:$A$1001,A360,$B$2:$B$1001,B360-1)),"违规：新止损价不得低于上一次",IF(AND(B360&gt;1,F360&gt;SUMIFS($F$2:$F$1001,$A$2:$A$1001,A360,$B$2:$B$1001,B360-1)),"违规：风险预算须逐次不增加",IF(OR(_LockStatus="已锁仓",_LockStatus="解锁信息不完整"),"违规：锁仓期间禁止加仓",IF(G360="","计划可执行：建议股数见N列",IF(OR(G360&lt;=0,G360&lt;&gt;INT(G360),MOD(G360,100)&lt;&gt;0),"违规：实际股数须为100股整数倍",IF(G360&gt;N360,"违规：实际股数超过风险或金字塔上限",IF(AND(B360&gt;1,G360&gt;SUMIFS($G$2:$G$1001,$A$2:$A$1001,A360,$B$2:$B$1001,B360-1)),"违规：加仓股数须逐次不增加",IF(Q360&gt;F360,"违规：止损风险超过本次预算","通过")))))))))))))))</f>
        <v/>
      </c>
    </row>
    <row r="361" ht="17" spans="1:18">
      <c r="A361" s="13"/>
      <c r="B361" s="14"/>
      <c r="C361" s="15"/>
      <c r="D361" s="16"/>
      <c r="E361" s="16"/>
      <c r="F361" s="16"/>
      <c r="G361" s="14"/>
      <c r="H361" s="17" t="str">
        <f t="shared" si="40"/>
        <v/>
      </c>
      <c r="I361" s="18" t="str">
        <f>IF(OR(A361="",B361=""),"",IFERROR(LOOKUP(2,1/(单次交易!$A$2:$A$201=A361),单次交易!$H$2:$H$201),0)+SUMIFS($G$2:$G$1001,$A$2:$A$1001,A361,$B$2:$B$1001,"&lt;"&amp;B361))</f>
        <v/>
      </c>
      <c r="J361" s="17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17" t="str">
        <f t="shared" si="41"/>
        <v/>
      </c>
      <c r="L361" s="18" t="str">
        <f t="shared" si="42"/>
        <v/>
      </c>
      <c r="M361" s="18" t="str">
        <f t="shared" si="43"/>
        <v/>
      </c>
      <c r="N361" s="18" t="str">
        <f t="shared" si="44"/>
        <v/>
      </c>
      <c r="O361" s="18" t="str">
        <f t="shared" si="45"/>
        <v/>
      </c>
      <c r="P361" s="17" t="str">
        <f t="shared" si="46"/>
        <v/>
      </c>
      <c r="Q361" s="17" t="str">
        <f t="shared" si="47"/>
        <v/>
      </c>
      <c r="R361" s="19" t="str">
        <f ca="1">IF(A361="","",IF(COUNTIF(_TradeIds,A361)=0,"违规：交易编号不存在",IF(OR(B361="",B361&lt;1,B361&gt;5,B361&lt;&gt;INT(B361)),"违规：加仓序号须为1到5的整数",IF(COUNTIFS($A$2:$A$1001,A361,$B$2:$B$1001,B361)&gt;1,"违规：同一交易的加仓序号重复",IF(OR(D361="",E361="",F361=""),"计划不完整：请填写加仓价、新止损价和风险预算",IF(OR(D361&lt;=0,E361&lt;=0,F361&lt;=0,D361&lt;=E361),"违规：加仓价必须高于新止损价，金额须大于0",IF(AND(B361&gt;1,COUNTIFS($A$2:$A$1001,A361,$B$2:$B$1001,B361-1,$G$2:$G$1001,"&gt;0")=0),"违规：须先完成上一次加仓",IF(AND(B361&gt;1,E361&lt;SUMIFS($E$2:$E$1001,$A$2:$A$1001,A361,$B$2:$B$1001,B361-1)),"违规：新止损价不得低于上一次",IF(AND(B361&gt;1,F361&gt;SUMIFS($F$2:$F$1001,$A$2:$A$1001,A361,$B$2:$B$1001,B361-1)),"违规：风险预算须逐次不增加",IF(OR(_LockStatus="已锁仓",_LockStatus="解锁信息不完整"),"违规：锁仓期间禁止加仓",IF(G361="","计划可执行：建议股数见N列",IF(OR(G361&lt;=0,G361&lt;&gt;INT(G361),MOD(G361,100)&lt;&gt;0),"违规：实际股数须为100股整数倍",IF(G361&gt;N361,"违规：实际股数超过风险或金字塔上限",IF(AND(B361&gt;1,G361&gt;SUMIFS($G$2:$G$1001,$A$2:$A$1001,A361,$B$2:$B$1001,B361-1)),"违规：加仓股数须逐次不增加",IF(Q361&gt;F361,"违规：止损风险超过本次预算","通过")))))))))))))))</f>
        <v/>
      </c>
    </row>
    <row r="362" ht="17" spans="1:18">
      <c r="A362" s="13"/>
      <c r="B362" s="14"/>
      <c r="C362" s="15"/>
      <c r="D362" s="16"/>
      <c r="E362" s="16"/>
      <c r="F362" s="16"/>
      <c r="G362" s="14"/>
      <c r="H362" s="17" t="str">
        <f t="shared" si="40"/>
        <v/>
      </c>
      <c r="I362" s="18" t="str">
        <f>IF(OR(A362="",B362=""),"",IFERROR(LOOKUP(2,1/(单次交易!$A$2:$A$201=A362),单次交易!$H$2:$H$201),0)+SUMIFS($G$2:$G$1001,$A$2:$A$1001,A362,$B$2:$B$1001,"&lt;"&amp;B362))</f>
        <v/>
      </c>
      <c r="J362" s="17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17" t="str">
        <f t="shared" si="41"/>
        <v/>
      </c>
      <c r="L362" s="18" t="str">
        <f t="shared" si="42"/>
        <v/>
      </c>
      <c r="M362" s="18" t="str">
        <f t="shared" si="43"/>
        <v/>
      </c>
      <c r="N362" s="18" t="str">
        <f t="shared" si="44"/>
        <v/>
      </c>
      <c r="O362" s="18" t="str">
        <f t="shared" si="45"/>
        <v/>
      </c>
      <c r="P362" s="17" t="str">
        <f t="shared" si="46"/>
        <v/>
      </c>
      <c r="Q362" s="17" t="str">
        <f t="shared" si="47"/>
        <v/>
      </c>
      <c r="R362" s="19" t="str">
        <f ca="1">IF(A362="","",IF(COUNTIF(_TradeIds,A362)=0,"违规：交易编号不存在",IF(OR(B362="",B362&lt;1,B362&gt;5,B362&lt;&gt;INT(B362)),"违规：加仓序号须为1到5的整数",IF(COUNTIFS($A$2:$A$1001,A362,$B$2:$B$1001,B362)&gt;1,"违规：同一交易的加仓序号重复",IF(OR(D362="",E362="",F362=""),"计划不完整：请填写加仓价、新止损价和风险预算",IF(OR(D362&lt;=0,E362&lt;=0,F362&lt;=0,D362&lt;=E362),"违规：加仓价必须高于新止损价，金额须大于0",IF(AND(B362&gt;1,COUNTIFS($A$2:$A$1001,A362,$B$2:$B$1001,B362-1,$G$2:$G$1001,"&gt;0")=0),"违规：须先完成上一次加仓",IF(AND(B362&gt;1,E362&lt;SUMIFS($E$2:$E$1001,$A$2:$A$1001,A362,$B$2:$B$1001,B362-1)),"违规：新止损价不得低于上一次",IF(AND(B362&gt;1,F362&gt;SUMIFS($F$2:$F$1001,$A$2:$A$1001,A362,$B$2:$B$1001,B362-1)),"违规：风险预算须逐次不增加",IF(OR(_LockStatus="已锁仓",_LockStatus="解锁信息不完整"),"违规：锁仓期间禁止加仓",IF(G362="","计划可执行：建议股数见N列",IF(OR(G362&lt;=0,G362&lt;&gt;INT(G362),MOD(G362,100)&lt;&gt;0),"违规：实际股数须为100股整数倍",IF(G362&gt;N362,"违规：实际股数超过风险或金字塔上限",IF(AND(B362&gt;1,G362&gt;SUMIFS($G$2:$G$1001,$A$2:$A$1001,A362,$B$2:$B$1001,B362-1)),"违规：加仓股数须逐次不增加",IF(Q362&gt;F362,"违规：止损风险超过本次预算","通过")))))))))))))))</f>
        <v/>
      </c>
    </row>
    <row r="363" ht="17" spans="1:18">
      <c r="A363" s="13"/>
      <c r="B363" s="14"/>
      <c r="C363" s="15"/>
      <c r="D363" s="16"/>
      <c r="E363" s="16"/>
      <c r="F363" s="16"/>
      <c r="G363" s="14"/>
      <c r="H363" s="17" t="str">
        <f t="shared" si="40"/>
        <v/>
      </c>
      <c r="I363" s="18" t="str">
        <f>IF(OR(A363="",B363=""),"",IFERROR(LOOKUP(2,1/(单次交易!$A$2:$A$201=A363),单次交易!$H$2:$H$201),0)+SUMIFS($G$2:$G$1001,$A$2:$A$1001,A363,$B$2:$B$1001,"&lt;"&amp;B363))</f>
        <v/>
      </c>
      <c r="J363" s="17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17" t="str">
        <f t="shared" si="41"/>
        <v/>
      </c>
      <c r="L363" s="18" t="str">
        <f t="shared" si="42"/>
        <v/>
      </c>
      <c r="M363" s="18" t="str">
        <f t="shared" si="43"/>
        <v/>
      </c>
      <c r="N363" s="18" t="str">
        <f t="shared" si="44"/>
        <v/>
      </c>
      <c r="O363" s="18" t="str">
        <f t="shared" si="45"/>
        <v/>
      </c>
      <c r="P363" s="17" t="str">
        <f t="shared" si="46"/>
        <v/>
      </c>
      <c r="Q363" s="17" t="str">
        <f t="shared" si="47"/>
        <v/>
      </c>
      <c r="R363" s="19" t="str">
        <f ca="1">IF(A363="","",IF(COUNTIF(_TradeIds,A363)=0,"违规：交易编号不存在",IF(OR(B363="",B363&lt;1,B363&gt;5,B363&lt;&gt;INT(B363)),"违规：加仓序号须为1到5的整数",IF(COUNTIFS($A$2:$A$1001,A363,$B$2:$B$1001,B363)&gt;1,"违规：同一交易的加仓序号重复",IF(OR(D363="",E363="",F363=""),"计划不完整：请填写加仓价、新止损价和风险预算",IF(OR(D363&lt;=0,E363&lt;=0,F363&lt;=0,D363&lt;=E363),"违规：加仓价必须高于新止损价，金额须大于0",IF(AND(B363&gt;1,COUNTIFS($A$2:$A$1001,A363,$B$2:$B$1001,B363-1,$G$2:$G$1001,"&gt;0")=0),"违规：须先完成上一次加仓",IF(AND(B363&gt;1,E363&lt;SUMIFS($E$2:$E$1001,$A$2:$A$1001,A363,$B$2:$B$1001,B363-1)),"违规：新止损价不得低于上一次",IF(AND(B363&gt;1,F363&gt;SUMIFS($F$2:$F$1001,$A$2:$A$1001,A363,$B$2:$B$1001,B363-1)),"违规：风险预算须逐次不增加",IF(OR(_LockStatus="已锁仓",_LockStatus="解锁信息不完整"),"违规：锁仓期间禁止加仓",IF(G363="","计划可执行：建议股数见N列",IF(OR(G363&lt;=0,G363&lt;&gt;INT(G363),MOD(G363,100)&lt;&gt;0),"违规：实际股数须为100股整数倍",IF(G363&gt;N363,"违规：实际股数超过风险或金字塔上限",IF(AND(B363&gt;1,G363&gt;SUMIFS($G$2:$G$1001,$A$2:$A$1001,A363,$B$2:$B$1001,B363-1)),"违规：加仓股数须逐次不增加",IF(Q363&gt;F363,"违规：止损风险超过本次预算","通过")))))))))))))))</f>
        <v/>
      </c>
    </row>
    <row r="364" ht="17" spans="1:18">
      <c r="A364" s="13"/>
      <c r="B364" s="14"/>
      <c r="C364" s="15"/>
      <c r="D364" s="16"/>
      <c r="E364" s="16"/>
      <c r="F364" s="16"/>
      <c r="G364" s="14"/>
      <c r="H364" s="17" t="str">
        <f t="shared" si="40"/>
        <v/>
      </c>
      <c r="I364" s="18" t="str">
        <f>IF(OR(A364="",B364=""),"",IFERROR(LOOKUP(2,1/(单次交易!$A$2:$A$201=A364),单次交易!$H$2:$H$201),0)+SUMIFS($G$2:$G$1001,$A$2:$A$1001,A364,$B$2:$B$1001,"&lt;"&amp;B364))</f>
        <v/>
      </c>
      <c r="J364" s="17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17" t="str">
        <f t="shared" si="41"/>
        <v/>
      </c>
      <c r="L364" s="18" t="str">
        <f t="shared" si="42"/>
        <v/>
      </c>
      <c r="M364" s="18" t="str">
        <f t="shared" si="43"/>
        <v/>
      </c>
      <c r="N364" s="18" t="str">
        <f t="shared" si="44"/>
        <v/>
      </c>
      <c r="O364" s="18" t="str">
        <f t="shared" si="45"/>
        <v/>
      </c>
      <c r="P364" s="17" t="str">
        <f t="shared" si="46"/>
        <v/>
      </c>
      <c r="Q364" s="17" t="str">
        <f t="shared" si="47"/>
        <v/>
      </c>
      <c r="R364" s="19" t="str">
        <f ca="1">IF(A364="","",IF(COUNTIF(_TradeIds,A364)=0,"违规：交易编号不存在",IF(OR(B364="",B364&lt;1,B364&gt;5,B364&lt;&gt;INT(B364)),"违规：加仓序号须为1到5的整数",IF(COUNTIFS($A$2:$A$1001,A364,$B$2:$B$1001,B364)&gt;1,"违规：同一交易的加仓序号重复",IF(OR(D364="",E364="",F364=""),"计划不完整：请填写加仓价、新止损价和风险预算",IF(OR(D364&lt;=0,E364&lt;=0,F364&lt;=0,D364&lt;=E364),"违规：加仓价必须高于新止损价，金额须大于0",IF(AND(B364&gt;1,COUNTIFS($A$2:$A$1001,A364,$B$2:$B$1001,B364-1,$G$2:$G$1001,"&gt;0")=0),"违规：须先完成上一次加仓",IF(AND(B364&gt;1,E364&lt;SUMIFS($E$2:$E$1001,$A$2:$A$1001,A364,$B$2:$B$1001,B364-1)),"违规：新止损价不得低于上一次",IF(AND(B364&gt;1,F364&gt;SUMIFS($F$2:$F$1001,$A$2:$A$1001,A364,$B$2:$B$1001,B364-1)),"违规：风险预算须逐次不增加",IF(OR(_LockStatus="已锁仓",_LockStatus="解锁信息不完整"),"违规：锁仓期间禁止加仓",IF(G364="","计划可执行：建议股数见N列",IF(OR(G364&lt;=0,G364&lt;&gt;INT(G364),MOD(G364,100)&lt;&gt;0),"违规：实际股数须为100股整数倍",IF(G364&gt;N364,"违规：实际股数超过风险或金字塔上限",IF(AND(B364&gt;1,G364&gt;SUMIFS($G$2:$G$1001,$A$2:$A$1001,A364,$B$2:$B$1001,B364-1)),"违规：加仓股数须逐次不增加",IF(Q364&gt;F364,"违规：止损风险超过本次预算","通过")))))))))))))))</f>
        <v/>
      </c>
    </row>
    <row r="365" ht="17" spans="1:18">
      <c r="A365" s="13"/>
      <c r="B365" s="14"/>
      <c r="C365" s="15"/>
      <c r="D365" s="16"/>
      <c r="E365" s="16"/>
      <c r="F365" s="16"/>
      <c r="G365" s="14"/>
      <c r="H365" s="17" t="str">
        <f t="shared" si="40"/>
        <v/>
      </c>
      <c r="I365" s="18" t="str">
        <f>IF(OR(A365="",B365=""),"",IFERROR(LOOKUP(2,1/(单次交易!$A$2:$A$201=A365),单次交易!$H$2:$H$201),0)+SUMIFS($G$2:$G$1001,$A$2:$A$1001,A365,$B$2:$B$1001,"&lt;"&amp;B365))</f>
        <v/>
      </c>
      <c r="J365" s="17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17" t="str">
        <f t="shared" si="41"/>
        <v/>
      </c>
      <c r="L365" s="18" t="str">
        <f t="shared" si="42"/>
        <v/>
      </c>
      <c r="M365" s="18" t="str">
        <f t="shared" si="43"/>
        <v/>
      </c>
      <c r="N365" s="18" t="str">
        <f t="shared" si="44"/>
        <v/>
      </c>
      <c r="O365" s="18" t="str">
        <f t="shared" si="45"/>
        <v/>
      </c>
      <c r="P365" s="17" t="str">
        <f t="shared" si="46"/>
        <v/>
      </c>
      <c r="Q365" s="17" t="str">
        <f t="shared" si="47"/>
        <v/>
      </c>
      <c r="R365" s="19" t="str">
        <f ca="1">IF(A365="","",IF(COUNTIF(_TradeIds,A365)=0,"违规：交易编号不存在",IF(OR(B365="",B365&lt;1,B365&gt;5,B365&lt;&gt;INT(B365)),"违规：加仓序号须为1到5的整数",IF(COUNTIFS($A$2:$A$1001,A365,$B$2:$B$1001,B365)&gt;1,"违规：同一交易的加仓序号重复",IF(OR(D365="",E365="",F365=""),"计划不完整：请填写加仓价、新止损价和风险预算",IF(OR(D365&lt;=0,E365&lt;=0,F365&lt;=0,D365&lt;=E365),"违规：加仓价必须高于新止损价，金额须大于0",IF(AND(B365&gt;1,COUNTIFS($A$2:$A$1001,A365,$B$2:$B$1001,B365-1,$G$2:$G$1001,"&gt;0")=0),"违规：须先完成上一次加仓",IF(AND(B365&gt;1,E365&lt;SUMIFS($E$2:$E$1001,$A$2:$A$1001,A365,$B$2:$B$1001,B365-1)),"违规：新止损价不得低于上一次",IF(AND(B365&gt;1,F365&gt;SUMIFS($F$2:$F$1001,$A$2:$A$1001,A365,$B$2:$B$1001,B365-1)),"违规：风险预算须逐次不增加",IF(OR(_LockStatus="已锁仓",_LockStatus="解锁信息不完整"),"违规：锁仓期间禁止加仓",IF(G365="","计划可执行：建议股数见N列",IF(OR(G365&lt;=0,G365&lt;&gt;INT(G365),MOD(G365,100)&lt;&gt;0),"违规：实际股数须为100股整数倍",IF(G365&gt;N365,"违规：实际股数超过风险或金字塔上限",IF(AND(B365&gt;1,G365&gt;SUMIFS($G$2:$G$1001,$A$2:$A$1001,A365,$B$2:$B$1001,B365-1)),"违规：加仓股数须逐次不增加",IF(Q365&gt;F365,"违规：止损风险超过本次预算","通过")))))))))))))))</f>
        <v/>
      </c>
    </row>
    <row r="366" ht="17" spans="1:18">
      <c r="A366" s="13"/>
      <c r="B366" s="14"/>
      <c r="C366" s="15"/>
      <c r="D366" s="16"/>
      <c r="E366" s="16"/>
      <c r="F366" s="16"/>
      <c r="G366" s="14"/>
      <c r="H366" s="17" t="str">
        <f t="shared" si="40"/>
        <v/>
      </c>
      <c r="I366" s="18" t="str">
        <f>IF(OR(A366="",B366=""),"",IFERROR(LOOKUP(2,1/(单次交易!$A$2:$A$201=A366),单次交易!$H$2:$H$201),0)+SUMIFS($G$2:$G$1001,$A$2:$A$1001,A366,$B$2:$B$1001,"&lt;"&amp;B366))</f>
        <v/>
      </c>
      <c r="J366" s="17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17" t="str">
        <f t="shared" si="41"/>
        <v/>
      </c>
      <c r="L366" s="18" t="str">
        <f t="shared" si="42"/>
        <v/>
      </c>
      <c r="M366" s="18" t="str">
        <f t="shared" si="43"/>
        <v/>
      </c>
      <c r="N366" s="18" t="str">
        <f t="shared" si="44"/>
        <v/>
      </c>
      <c r="O366" s="18" t="str">
        <f t="shared" si="45"/>
        <v/>
      </c>
      <c r="P366" s="17" t="str">
        <f t="shared" si="46"/>
        <v/>
      </c>
      <c r="Q366" s="17" t="str">
        <f t="shared" si="47"/>
        <v/>
      </c>
      <c r="R366" s="19" t="str">
        <f ca="1">IF(A366="","",IF(COUNTIF(_TradeIds,A366)=0,"违规：交易编号不存在",IF(OR(B366="",B366&lt;1,B366&gt;5,B366&lt;&gt;INT(B366)),"违规：加仓序号须为1到5的整数",IF(COUNTIFS($A$2:$A$1001,A366,$B$2:$B$1001,B366)&gt;1,"违规：同一交易的加仓序号重复",IF(OR(D366="",E366="",F366=""),"计划不完整：请填写加仓价、新止损价和风险预算",IF(OR(D366&lt;=0,E366&lt;=0,F366&lt;=0,D366&lt;=E366),"违规：加仓价必须高于新止损价，金额须大于0",IF(AND(B366&gt;1,COUNTIFS($A$2:$A$1001,A366,$B$2:$B$1001,B366-1,$G$2:$G$1001,"&gt;0")=0),"违规：须先完成上一次加仓",IF(AND(B366&gt;1,E366&lt;SUMIFS($E$2:$E$1001,$A$2:$A$1001,A366,$B$2:$B$1001,B366-1)),"违规：新止损价不得低于上一次",IF(AND(B366&gt;1,F366&gt;SUMIFS($F$2:$F$1001,$A$2:$A$1001,A366,$B$2:$B$1001,B366-1)),"违规：风险预算须逐次不增加",IF(OR(_LockStatus="已锁仓",_LockStatus="解锁信息不完整"),"违规：锁仓期间禁止加仓",IF(G366="","计划可执行：建议股数见N列",IF(OR(G366&lt;=0,G366&lt;&gt;INT(G366),MOD(G366,100)&lt;&gt;0),"违规：实际股数须为100股整数倍",IF(G366&gt;N366,"违规：实际股数超过风险或金字塔上限",IF(AND(B366&gt;1,G366&gt;SUMIFS($G$2:$G$1001,$A$2:$A$1001,A366,$B$2:$B$1001,B366-1)),"违规：加仓股数须逐次不增加",IF(Q366&gt;F366,"违规：止损风险超过本次预算","通过")))))))))))))))</f>
        <v/>
      </c>
    </row>
    <row r="367" ht="17" spans="1:18">
      <c r="A367" s="13"/>
      <c r="B367" s="14"/>
      <c r="C367" s="15"/>
      <c r="D367" s="16"/>
      <c r="E367" s="16"/>
      <c r="F367" s="16"/>
      <c r="G367" s="14"/>
      <c r="H367" s="17" t="str">
        <f t="shared" si="40"/>
        <v/>
      </c>
      <c r="I367" s="18" t="str">
        <f>IF(OR(A367="",B367=""),"",IFERROR(LOOKUP(2,1/(单次交易!$A$2:$A$201=A367),单次交易!$H$2:$H$201),0)+SUMIFS($G$2:$G$1001,$A$2:$A$1001,A367,$B$2:$B$1001,"&lt;"&amp;B367))</f>
        <v/>
      </c>
      <c r="J367" s="17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17" t="str">
        <f t="shared" si="41"/>
        <v/>
      </c>
      <c r="L367" s="18" t="str">
        <f t="shared" si="42"/>
        <v/>
      </c>
      <c r="M367" s="18" t="str">
        <f t="shared" si="43"/>
        <v/>
      </c>
      <c r="N367" s="18" t="str">
        <f t="shared" si="44"/>
        <v/>
      </c>
      <c r="O367" s="18" t="str">
        <f t="shared" si="45"/>
        <v/>
      </c>
      <c r="P367" s="17" t="str">
        <f t="shared" si="46"/>
        <v/>
      </c>
      <c r="Q367" s="17" t="str">
        <f t="shared" si="47"/>
        <v/>
      </c>
      <c r="R367" s="19" t="str">
        <f ca="1">IF(A367="","",IF(COUNTIF(_TradeIds,A367)=0,"违规：交易编号不存在",IF(OR(B367="",B367&lt;1,B367&gt;5,B367&lt;&gt;INT(B367)),"违规：加仓序号须为1到5的整数",IF(COUNTIFS($A$2:$A$1001,A367,$B$2:$B$1001,B367)&gt;1,"违规：同一交易的加仓序号重复",IF(OR(D367="",E367="",F367=""),"计划不完整：请填写加仓价、新止损价和风险预算",IF(OR(D367&lt;=0,E367&lt;=0,F367&lt;=0,D367&lt;=E367),"违规：加仓价必须高于新止损价，金额须大于0",IF(AND(B367&gt;1,COUNTIFS($A$2:$A$1001,A367,$B$2:$B$1001,B367-1,$G$2:$G$1001,"&gt;0")=0),"违规：须先完成上一次加仓",IF(AND(B367&gt;1,E367&lt;SUMIFS($E$2:$E$1001,$A$2:$A$1001,A367,$B$2:$B$1001,B367-1)),"违规：新止损价不得低于上一次",IF(AND(B367&gt;1,F367&gt;SUMIFS($F$2:$F$1001,$A$2:$A$1001,A367,$B$2:$B$1001,B367-1)),"违规：风险预算须逐次不增加",IF(OR(_LockStatus="已锁仓",_LockStatus="解锁信息不完整"),"违规：锁仓期间禁止加仓",IF(G367="","计划可执行：建议股数见N列",IF(OR(G367&lt;=0,G367&lt;&gt;INT(G367),MOD(G367,100)&lt;&gt;0),"违规：实际股数须为100股整数倍",IF(G367&gt;N367,"违规：实际股数超过风险或金字塔上限",IF(AND(B367&gt;1,G367&gt;SUMIFS($G$2:$G$1001,$A$2:$A$1001,A367,$B$2:$B$1001,B367-1)),"违规：加仓股数须逐次不增加",IF(Q367&gt;F367,"违规：止损风险超过本次预算","通过")))))))))))))))</f>
        <v/>
      </c>
    </row>
    <row r="368" ht="17" spans="1:18">
      <c r="A368" s="13"/>
      <c r="B368" s="14"/>
      <c r="C368" s="15"/>
      <c r="D368" s="16"/>
      <c r="E368" s="16"/>
      <c r="F368" s="16"/>
      <c r="G368" s="14"/>
      <c r="H368" s="17" t="str">
        <f t="shared" si="40"/>
        <v/>
      </c>
      <c r="I368" s="18" t="str">
        <f>IF(OR(A368="",B368=""),"",IFERROR(LOOKUP(2,1/(单次交易!$A$2:$A$201=A368),单次交易!$H$2:$H$201),0)+SUMIFS($G$2:$G$1001,$A$2:$A$1001,A368,$B$2:$B$1001,"&lt;"&amp;B368))</f>
        <v/>
      </c>
      <c r="J368" s="17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17" t="str">
        <f t="shared" si="41"/>
        <v/>
      </c>
      <c r="L368" s="18" t="str">
        <f t="shared" si="42"/>
        <v/>
      </c>
      <c r="M368" s="18" t="str">
        <f t="shared" si="43"/>
        <v/>
      </c>
      <c r="N368" s="18" t="str">
        <f t="shared" si="44"/>
        <v/>
      </c>
      <c r="O368" s="18" t="str">
        <f t="shared" si="45"/>
        <v/>
      </c>
      <c r="P368" s="17" t="str">
        <f t="shared" si="46"/>
        <v/>
      </c>
      <c r="Q368" s="17" t="str">
        <f t="shared" si="47"/>
        <v/>
      </c>
      <c r="R368" s="19" t="str">
        <f ca="1">IF(A368="","",IF(COUNTIF(_TradeIds,A368)=0,"违规：交易编号不存在",IF(OR(B368="",B368&lt;1,B368&gt;5,B368&lt;&gt;INT(B368)),"违规：加仓序号须为1到5的整数",IF(COUNTIFS($A$2:$A$1001,A368,$B$2:$B$1001,B368)&gt;1,"违规：同一交易的加仓序号重复",IF(OR(D368="",E368="",F368=""),"计划不完整：请填写加仓价、新止损价和风险预算",IF(OR(D368&lt;=0,E368&lt;=0,F368&lt;=0,D368&lt;=E368),"违规：加仓价必须高于新止损价，金额须大于0",IF(AND(B368&gt;1,COUNTIFS($A$2:$A$1001,A368,$B$2:$B$1001,B368-1,$G$2:$G$1001,"&gt;0")=0),"违规：须先完成上一次加仓",IF(AND(B368&gt;1,E368&lt;SUMIFS($E$2:$E$1001,$A$2:$A$1001,A368,$B$2:$B$1001,B368-1)),"违规：新止损价不得低于上一次",IF(AND(B368&gt;1,F368&gt;SUMIFS($F$2:$F$1001,$A$2:$A$1001,A368,$B$2:$B$1001,B368-1)),"违规：风险预算须逐次不增加",IF(OR(_LockStatus="已锁仓",_LockStatus="解锁信息不完整"),"违规：锁仓期间禁止加仓",IF(G368="","计划可执行：建议股数见N列",IF(OR(G368&lt;=0,G368&lt;&gt;INT(G368),MOD(G368,100)&lt;&gt;0),"违规：实际股数须为100股整数倍",IF(G368&gt;N368,"违规：实际股数超过风险或金字塔上限",IF(AND(B368&gt;1,G368&gt;SUMIFS($G$2:$G$1001,$A$2:$A$1001,A368,$B$2:$B$1001,B368-1)),"违规：加仓股数须逐次不增加",IF(Q368&gt;F368,"违规：止损风险超过本次预算","通过")))))))))))))))</f>
        <v/>
      </c>
    </row>
    <row r="369" ht="17" spans="1:18">
      <c r="A369" s="13"/>
      <c r="B369" s="14"/>
      <c r="C369" s="15"/>
      <c r="D369" s="16"/>
      <c r="E369" s="16"/>
      <c r="F369" s="16"/>
      <c r="G369" s="14"/>
      <c r="H369" s="17" t="str">
        <f t="shared" si="40"/>
        <v/>
      </c>
      <c r="I369" s="18" t="str">
        <f>IF(OR(A369="",B369=""),"",IFERROR(LOOKUP(2,1/(单次交易!$A$2:$A$201=A369),单次交易!$H$2:$H$201),0)+SUMIFS($G$2:$G$1001,$A$2:$A$1001,A369,$B$2:$B$1001,"&lt;"&amp;B369))</f>
        <v/>
      </c>
      <c r="J369" s="17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17" t="str">
        <f t="shared" si="41"/>
        <v/>
      </c>
      <c r="L369" s="18" t="str">
        <f t="shared" si="42"/>
        <v/>
      </c>
      <c r="M369" s="18" t="str">
        <f t="shared" si="43"/>
        <v/>
      </c>
      <c r="N369" s="18" t="str">
        <f t="shared" si="44"/>
        <v/>
      </c>
      <c r="O369" s="18" t="str">
        <f t="shared" si="45"/>
        <v/>
      </c>
      <c r="P369" s="17" t="str">
        <f t="shared" si="46"/>
        <v/>
      </c>
      <c r="Q369" s="17" t="str">
        <f t="shared" si="47"/>
        <v/>
      </c>
      <c r="R369" s="19" t="str">
        <f ca="1">IF(A369="","",IF(COUNTIF(_TradeIds,A369)=0,"违规：交易编号不存在",IF(OR(B369="",B369&lt;1,B369&gt;5,B369&lt;&gt;INT(B369)),"违规：加仓序号须为1到5的整数",IF(COUNTIFS($A$2:$A$1001,A369,$B$2:$B$1001,B369)&gt;1,"违规：同一交易的加仓序号重复",IF(OR(D369="",E369="",F369=""),"计划不完整：请填写加仓价、新止损价和风险预算",IF(OR(D369&lt;=0,E369&lt;=0,F369&lt;=0,D369&lt;=E369),"违规：加仓价必须高于新止损价，金额须大于0",IF(AND(B369&gt;1,COUNTIFS($A$2:$A$1001,A369,$B$2:$B$1001,B369-1,$G$2:$G$1001,"&gt;0")=0),"违规：须先完成上一次加仓",IF(AND(B369&gt;1,E369&lt;SUMIFS($E$2:$E$1001,$A$2:$A$1001,A369,$B$2:$B$1001,B369-1)),"违规：新止损价不得低于上一次",IF(AND(B369&gt;1,F369&gt;SUMIFS($F$2:$F$1001,$A$2:$A$1001,A369,$B$2:$B$1001,B369-1)),"违规：风险预算须逐次不增加",IF(OR(_LockStatus="已锁仓",_LockStatus="解锁信息不完整"),"违规：锁仓期间禁止加仓",IF(G369="","计划可执行：建议股数见N列",IF(OR(G369&lt;=0,G369&lt;&gt;INT(G369),MOD(G369,100)&lt;&gt;0),"违规：实际股数须为100股整数倍",IF(G369&gt;N369,"违规：实际股数超过风险或金字塔上限",IF(AND(B369&gt;1,G369&gt;SUMIFS($G$2:$G$1001,$A$2:$A$1001,A369,$B$2:$B$1001,B369-1)),"违规：加仓股数须逐次不增加",IF(Q369&gt;F369,"违规：止损风险超过本次预算","通过")))))))))))))))</f>
        <v/>
      </c>
    </row>
    <row r="370" ht="17" spans="1:18">
      <c r="A370" s="13"/>
      <c r="B370" s="14"/>
      <c r="C370" s="15"/>
      <c r="D370" s="16"/>
      <c r="E370" s="16"/>
      <c r="F370" s="16"/>
      <c r="G370" s="14"/>
      <c r="H370" s="17" t="str">
        <f t="shared" si="40"/>
        <v/>
      </c>
      <c r="I370" s="18" t="str">
        <f>IF(OR(A370="",B370=""),"",IFERROR(LOOKUP(2,1/(单次交易!$A$2:$A$201=A370),单次交易!$H$2:$H$201),0)+SUMIFS($G$2:$G$1001,$A$2:$A$1001,A370,$B$2:$B$1001,"&lt;"&amp;B370))</f>
        <v/>
      </c>
      <c r="J370" s="17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17" t="str">
        <f t="shared" si="41"/>
        <v/>
      </c>
      <c r="L370" s="18" t="str">
        <f t="shared" si="42"/>
        <v/>
      </c>
      <c r="M370" s="18" t="str">
        <f t="shared" si="43"/>
        <v/>
      </c>
      <c r="N370" s="18" t="str">
        <f t="shared" si="44"/>
        <v/>
      </c>
      <c r="O370" s="18" t="str">
        <f t="shared" si="45"/>
        <v/>
      </c>
      <c r="P370" s="17" t="str">
        <f t="shared" si="46"/>
        <v/>
      </c>
      <c r="Q370" s="17" t="str">
        <f t="shared" si="47"/>
        <v/>
      </c>
      <c r="R370" s="19" t="str">
        <f ca="1">IF(A370="","",IF(COUNTIF(_TradeIds,A370)=0,"违规：交易编号不存在",IF(OR(B370="",B370&lt;1,B370&gt;5,B370&lt;&gt;INT(B370)),"违规：加仓序号须为1到5的整数",IF(COUNTIFS($A$2:$A$1001,A370,$B$2:$B$1001,B370)&gt;1,"违规：同一交易的加仓序号重复",IF(OR(D370="",E370="",F370=""),"计划不完整：请填写加仓价、新止损价和风险预算",IF(OR(D370&lt;=0,E370&lt;=0,F370&lt;=0,D370&lt;=E370),"违规：加仓价必须高于新止损价，金额须大于0",IF(AND(B370&gt;1,COUNTIFS($A$2:$A$1001,A370,$B$2:$B$1001,B370-1,$G$2:$G$1001,"&gt;0")=0),"违规：须先完成上一次加仓",IF(AND(B370&gt;1,E370&lt;SUMIFS($E$2:$E$1001,$A$2:$A$1001,A370,$B$2:$B$1001,B370-1)),"违规：新止损价不得低于上一次",IF(AND(B370&gt;1,F370&gt;SUMIFS($F$2:$F$1001,$A$2:$A$1001,A370,$B$2:$B$1001,B370-1)),"违规：风险预算须逐次不增加",IF(OR(_LockStatus="已锁仓",_LockStatus="解锁信息不完整"),"违规：锁仓期间禁止加仓",IF(G370="","计划可执行：建议股数见N列",IF(OR(G370&lt;=0,G370&lt;&gt;INT(G370),MOD(G370,100)&lt;&gt;0),"违规：实际股数须为100股整数倍",IF(G370&gt;N370,"违规：实际股数超过风险或金字塔上限",IF(AND(B370&gt;1,G370&gt;SUMIFS($G$2:$G$1001,$A$2:$A$1001,A370,$B$2:$B$1001,B370-1)),"违规：加仓股数须逐次不增加",IF(Q370&gt;F370,"违规：止损风险超过本次预算","通过")))))))))))))))</f>
        <v/>
      </c>
    </row>
    <row r="371" ht="17" spans="1:18">
      <c r="A371" s="13"/>
      <c r="B371" s="14"/>
      <c r="C371" s="15"/>
      <c r="D371" s="16"/>
      <c r="E371" s="16"/>
      <c r="F371" s="16"/>
      <c r="G371" s="14"/>
      <c r="H371" s="17" t="str">
        <f t="shared" si="40"/>
        <v/>
      </c>
      <c r="I371" s="18" t="str">
        <f>IF(OR(A371="",B371=""),"",IFERROR(LOOKUP(2,1/(单次交易!$A$2:$A$201=A371),单次交易!$H$2:$H$201),0)+SUMIFS($G$2:$G$1001,$A$2:$A$1001,A371,$B$2:$B$1001,"&lt;"&amp;B371))</f>
        <v/>
      </c>
      <c r="J371" s="17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17" t="str">
        <f t="shared" si="41"/>
        <v/>
      </c>
      <c r="L371" s="18" t="str">
        <f t="shared" si="42"/>
        <v/>
      </c>
      <c r="M371" s="18" t="str">
        <f t="shared" si="43"/>
        <v/>
      </c>
      <c r="N371" s="18" t="str">
        <f t="shared" si="44"/>
        <v/>
      </c>
      <c r="O371" s="18" t="str">
        <f t="shared" si="45"/>
        <v/>
      </c>
      <c r="P371" s="17" t="str">
        <f t="shared" si="46"/>
        <v/>
      </c>
      <c r="Q371" s="17" t="str">
        <f t="shared" si="47"/>
        <v/>
      </c>
      <c r="R371" s="19" t="str">
        <f ca="1">IF(A371="","",IF(COUNTIF(_TradeIds,A371)=0,"违规：交易编号不存在",IF(OR(B371="",B371&lt;1,B371&gt;5,B371&lt;&gt;INT(B371)),"违规：加仓序号须为1到5的整数",IF(COUNTIFS($A$2:$A$1001,A371,$B$2:$B$1001,B371)&gt;1,"违规：同一交易的加仓序号重复",IF(OR(D371="",E371="",F371=""),"计划不完整：请填写加仓价、新止损价和风险预算",IF(OR(D371&lt;=0,E371&lt;=0,F371&lt;=0,D371&lt;=E371),"违规：加仓价必须高于新止损价，金额须大于0",IF(AND(B371&gt;1,COUNTIFS($A$2:$A$1001,A371,$B$2:$B$1001,B371-1,$G$2:$G$1001,"&gt;0")=0),"违规：须先完成上一次加仓",IF(AND(B371&gt;1,E371&lt;SUMIFS($E$2:$E$1001,$A$2:$A$1001,A371,$B$2:$B$1001,B371-1)),"违规：新止损价不得低于上一次",IF(AND(B371&gt;1,F371&gt;SUMIFS($F$2:$F$1001,$A$2:$A$1001,A371,$B$2:$B$1001,B371-1)),"违规：风险预算须逐次不增加",IF(OR(_LockStatus="已锁仓",_LockStatus="解锁信息不完整"),"违规：锁仓期间禁止加仓",IF(G371="","计划可执行：建议股数见N列",IF(OR(G371&lt;=0,G371&lt;&gt;INT(G371),MOD(G371,100)&lt;&gt;0),"违规：实际股数须为100股整数倍",IF(G371&gt;N371,"违规：实际股数超过风险或金字塔上限",IF(AND(B371&gt;1,G371&gt;SUMIFS($G$2:$G$1001,$A$2:$A$1001,A371,$B$2:$B$1001,B371-1)),"违规：加仓股数须逐次不增加",IF(Q371&gt;F371,"违规：止损风险超过本次预算","通过")))))))))))))))</f>
        <v/>
      </c>
    </row>
    <row r="372" ht="17" spans="1:18">
      <c r="A372" s="13"/>
      <c r="B372" s="14"/>
      <c r="C372" s="15"/>
      <c r="D372" s="16"/>
      <c r="E372" s="16"/>
      <c r="F372" s="16"/>
      <c r="G372" s="14"/>
      <c r="H372" s="17" t="str">
        <f t="shared" si="40"/>
        <v/>
      </c>
      <c r="I372" s="18" t="str">
        <f>IF(OR(A372="",B372=""),"",IFERROR(LOOKUP(2,1/(单次交易!$A$2:$A$201=A372),单次交易!$H$2:$H$201),0)+SUMIFS($G$2:$G$1001,$A$2:$A$1001,A372,$B$2:$B$1001,"&lt;"&amp;B372))</f>
        <v/>
      </c>
      <c r="J372" s="17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17" t="str">
        <f t="shared" si="41"/>
        <v/>
      </c>
      <c r="L372" s="18" t="str">
        <f t="shared" si="42"/>
        <v/>
      </c>
      <c r="M372" s="18" t="str">
        <f t="shared" si="43"/>
        <v/>
      </c>
      <c r="N372" s="18" t="str">
        <f t="shared" si="44"/>
        <v/>
      </c>
      <c r="O372" s="18" t="str">
        <f t="shared" si="45"/>
        <v/>
      </c>
      <c r="P372" s="17" t="str">
        <f t="shared" si="46"/>
        <v/>
      </c>
      <c r="Q372" s="17" t="str">
        <f t="shared" si="47"/>
        <v/>
      </c>
      <c r="R372" s="19" t="str">
        <f ca="1">IF(A372="","",IF(COUNTIF(_TradeIds,A372)=0,"违规：交易编号不存在",IF(OR(B372="",B372&lt;1,B372&gt;5,B372&lt;&gt;INT(B372)),"违规：加仓序号须为1到5的整数",IF(COUNTIFS($A$2:$A$1001,A372,$B$2:$B$1001,B372)&gt;1,"违规：同一交易的加仓序号重复",IF(OR(D372="",E372="",F372=""),"计划不完整：请填写加仓价、新止损价和风险预算",IF(OR(D372&lt;=0,E372&lt;=0,F372&lt;=0,D372&lt;=E372),"违规：加仓价必须高于新止损价，金额须大于0",IF(AND(B372&gt;1,COUNTIFS($A$2:$A$1001,A372,$B$2:$B$1001,B372-1,$G$2:$G$1001,"&gt;0")=0),"违规：须先完成上一次加仓",IF(AND(B372&gt;1,E372&lt;SUMIFS($E$2:$E$1001,$A$2:$A$1001,A372,$B$2:$B$1001,B372-1)),"违规：新止损价不得低于上一次",IF(AND(B372&gt;1,F372&gt;SUMIFS($F$2:$F$1001,$A$2:$A$1001,A372,$B$2:$B$1001,B372-1)),"违规：风险预算须逐次不增加",IF(OR(_LockStatus="已锁仓",_LockStatus="解锁信息不完整"),"违规：锁仓期间禁止加仓",IF(G372="","计划可执行：建议股数见N列",IF(OR(G372&lt;=0,G372&lt;&gt;INT(G372),MOD(G372,100)&lt;&gt;0),"违规：实际股数须为100股整数倍",IF(G372&gt;N372,"违规：实际股数超过风险或金字塔上限",IF(AND(B372&gt;1,G372&gt;SUMIFS($G$2:$G$1001,$A$2:$A$1001,A372,$B$2:$B$1001,B372-1)),"违规：加仓股数须逐次不增加",IF(Q372&gt;F372,"违规：止损风险超过本次预算","通过")))))))))))))))</f>
        <v/>
      </c>
    </row>
    <row r="373" ht="17" spans="1:18">
      <c r="A373" s="13"/>
      <c r="B373" s="14"/>
      <c r="C373" s="15"/>
      <c r="D373" s="16"/>
      <c r="E373" s="16"/>
      <c r="F373" s="16"/>
      <c r="G373" s="14"/>
      <c r="H373" s="17" t="str">
        <f t="shared" si="40"/>
        <v/>
      </c>
      <c r="I373" s="18" t="str">
        <f>IF(OR(A373="",B373=""),"",IFERROR(LOOKUP(2,1/(单次交易!$A$2:$A$201=A373),单次交易!$H$2:$H$201),0)+SUMIFS($G$2:$G$1001,$A$2:$A$1001,A373,$B$2:$B$1001,"&lt;"&amp;B373))</f>
        <v/>
      </c>
      <c r="J373" s="17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17" t="str">
        <f t="shared" si="41"/>
        <v/>
      </c>
      <c r="L373" s="18" t="str">
        <f t="shared" si="42"/>
        <v/>
      </c>
      <c r="M373" s="18" t="str">
        <f t="shared" si="43"/>
        <v/>
      </c>
      <c r="N373" s="18" t="str">
        <f t="shared" si="44"/>
        <v/>
      </c>
      <c r="O373" s="18" t="str">
        <f t="shared" si="45"/>
        <v/>
      </c>
      <c r="P373" s="17" t="str">
        <f t="shared" si="46"/>
        <v/>
      </c>
      <c r="Q373" s="17" t="str">
        <f t="shared" si="47"/>
        <v/>
      </c>
      <c r="R373" s="19" t="str">
        <f ca="1">IF(A373="","",IF(COUNTIF(_TradeIds,A373)=0,"违规：交易编号不存在",IF(OR(B373="",B373&lt;1,B373&gt;5,B373&lt;&gt;INT(B373)),"违规：加仓序号须为1到5的整数",IF(COUNTIFS($A$2:$A$1001,A373,$B$2:$B$1001,B373)&gt;1,"违规：同一交易的加仓序号重复",IF(OR(D373="",E373="",F373=""),"计划不完整：请填写加仓价、新止损价和风险预算",IF(OR(D373&lt;=0,E373&lt;=0,F373&lt;=0,D373&lt;=E373),"违规：加仓价必须高于新止损价，金额须大于0",IF(AND(B373&gt;1,COUNTIFS($A$2:$A$1001,A373,$B$2:$B$1001,B373-1,$G$2:$G$1001,"&gt;0")=0),"违规：须先完成上一次加仓",IF(AND(B373&gt;1,E373&lt;SUMIFS($E$2:$E$1001,$A$2:$A$1001,A373,$B$2:$B$1001,B373-1)),"违规：新止损价不得低于上一次",IF(AND(B373&gt;1,F373&gt;SUMIFS($F$2:$F$1001,$A$2:$A$1001,A373,$B$2:$B$1001,B373-1)),"违规：风险预算须逐次不增加",IF(OR(_LockStatus="已锁仓",_LockStatus="解锁信息不完整"),"违规：锁仓期间禁止加仓",IF(G373="","计划可执行：建议股数见N列",IF(OR(G373&lt;=0,G373&lt;&gt;INT(G373),MOD(G373,100)&lt;&gt;0),"违规：实际股数须为100股整数倍",IF(G373&gt;N373,"违规：实际股数超过风险或金字塔上限",IF(AND(B373&gt;1,G373&gt;SUMIFS($G$2:$G$1001,$A$2:$A$1001,A373,$B$2:$B$1001,B373-1)),"违规：加仓股数须逐次不增加",IF(Q373&gt;F373,"违规：止损风险超过本次预算","通过")))))))))))))))</f>
        <v/>
      </c>
    </row>
    <row r="374" ht="17" spans="1:18">
      <c r="A374" s="13"/>
      <c r="B374" s="14"/>
      <c r="C374" s="15"/>
      <c r="D374" s="16"/>
      <c r="E374" s="16"/>
      <c r="F374" s="16"/>
      <c r="G374" s="14"/>
      <c r="H374" s="17" t="str">
        <f t="shared" si="40"/>
        <v/>
      </c>
      <c r="I374" s="18" t="str">
        <f>IF(OR(A374="",B374=""),"",IFERROR(LOOKUP(2,1/(单次交易!$A$2:$A$201=A374),单次交易!$H$2:$H$201),0)+SUMIFS($G$2:$G$1001,$A$2:$A$1001,A374,$B$2:$B$1001,"&lt;"&amp;B374))</f>
        <v/>
      </c>
      <c r="J374" s="17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17" t="str">
        <f t="shared" si="41"/>
        <v/>
      </c>
      <c r="L374" s="18" t="str">
        <f t="shared" si="42"/>
        <v/>
      </c>
      <c r="M374" s="18" t="str">
        <f t="shared" si="43"/>
        <v/>
      </c>
      <c r="N374" s="18" t="str">
        <f t="shared" si="44"/>
        <v/>
      </c>
      <c r="O374" s="18" t="str">
        <f t="shared" si="45"/>
        <v/>
      </c>
      <c r="P374" s="17" t="str">
        <f t="shared" si="46"/>
        <v/>
      </c>
      <c r="Q374" s="17" t="str">
        <f t="shared" si="47"/>
        <v/>
      </c>
      <c r="R374" s="19" t="str">
        <f ca="1">IF(A374="","",IF(COUNTIF(_TradeIds,A374)=0,"违规：交易编号不存在",IF(OR(B374="",B374&lt;1,B374&gt;5,B374&lt;&gt;INT(B374)),"违规：加仓序号须为1到5的整数",IF(COUNTIFS($A$2:$A$1001,A374,$B$2:$B$1001,B374)&gt;1,"违规：同一交易的加仓序号重复",IF(OR(D374="",E374="",F374=""),"计划不完整：请填写加仓价、新止损价和风险预算",IF(OR(D374&lt;=0,E374&lt;=0,F374&lt;=0,D374&lt;=E374),"违规：加仓价必须高于新止损价，金额须大于0",IF(AND(B374&gt;1,COUNTIFS($A$2:$A$1001,A374,$B$2:$B$1001,B374-1,$G$2:$G$1001,"&gt;0")=0),"违规：须先完成上一次加仓",IF(AND(B374&gt;1,E374&lt;SUMIFS($E$2:$E$1001,$A$2:$A$1001,A374,$B$2:$B$1001,B374-1)),"违规：新止损价不得低于上一次",IF(AND(B374&gt;1,F374&gt;SUMIFS($F$2:$F$1001,$A$2:$A$1001,A374,$B$2:$B$1001,B374-1)),"违规：风险预算须逐次不增加",IF(OR(_LockStatus="已锁仓",_LockStatus="解锁信息不完整"),"违规：锁仓期间禁止加仓",IF(G374="","计划可执行：建议股数见N列",IF(OR(G374&lt;=0,G374&lt;&gt;INT(G374),MOD(G374,100)&lt;&gt;0),"违规：实际股数须为100股整数倍",IF(G374&gt;N374,"违规：实际股数超过风险或金字塔上限",IF(AND(B374&gt;1,G374&gt;SUMIFS($G$2:$G$1001,$A$2:$A$1001,A374,$B$2:$B$1001,B374-1)),"违规：加仓股数须逐次不增加",IF(Q374&gt;F374,"违规：止损风险超过本次预算","通过")))))))))))))))</f>
        <v/>
      </c>
    </row>
    <row r="375" ht="17" spans="1:18">
      <c r="A375" s="13"/>
      <c r="B375" s="14"/>
      <c r="C375" s="15"/>
      <c r="D375" s="16"/>
      <c r="E375" s="16"/>
      <c r="F375" s="16"/>
      <c r="G375" s="14"/>
      <c r="H375" s="17" t="str">
        <f t="shared" si="40"/>
        <v/>
      </c>
      <c r="I375" s="18" t="str">
        <f>IF(OR(A375="",B375=""),"",IFERROR(LOOKUP(2,1/(单次交易!$A$2:$A$201=A375),单次交易!$H$2:$H$201),0)+SUMIFS($G$2:$G$1001,$A$2:$A$1001,A375,$B$2:$B$1001,"&lt;"&amp;B375))</f>
        <v/>
      </c>
      <c r="J375" s="17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17" t="str">
        <f t="shared" si="41"/>
        <v/>
      </c>
      <c r="L375" s="18" t="str">
        <f t="shared" si="42"/>
        <v/>
      </c>
      <c r="M375" s="18" t="str">
        <f t="shared" si="43"/>
        <v/>
      </c>
      <c r="N375" s="18" t="str">
        <f t="shared" si="44"/>
        <v/>
      </c>
      <c r="O375" s="18" t="str">
        <f t="shared" si="45"/>
        <v/>
      </c>
      <c r="P375" s="17" t="str">
        <f t="shared" si="46"/>
        <v/>
      </c>
      <c r="Q375" s="17" t="str">
        <f t="shared" si="47"/>
        <v/>
      </c>
      <c r="R375" s="19" t="str">
        <f ca="1">IF(A375="","",IF(COUNTIF(_TradeIds,A375)=0,"违规：交易编号不存在",IF(OR(B375="",B375&lt;1,B375&gt;5,B375&lt;&gt;INT(B375)),"违规：加仓序号须为1到5的整数",IF(COUNTIFS($A$2:$A$1001,A375,$B$2:$B$1001,B375)&gt;1,"违规：同一交易的加仓序号重复",IF(OR(D375="",E375="",F375=""),"计划不完整：请填写加仓价、新止损价和风险预算",IF(OR(D375&lt;=0,E375&lt;=0,F375&lt;=0,D375&lt;=E375),"违规：加仓价必须高于新止损价，金额须大于0",IF(AND(B375&gt;1,COUNTIFS($A$2:$A$1001,A375,$B$2:$B$1001,B375-1,$G$2:$G$1001,"&gt;0")=0),"违规：须先完成上一次加仓",IF(AND(B375&gt;1,E375&lt;SUMIFS($E$2:$E$1001,$A$2:$A$1001,A375,$B$2:$B$1001,B375-1)),"违规：新止损价不得低于上一次",IF(AND(B375&gt;1,F375&gt;SUMIFS($F$2:$F$1001,$A$2:$A$1001,A375,$B$2:$B$1001,B375-1)),"违规：风险预算须逐次不增加",IF(OR(_LockStatus="已锁仓",_LockStatus="解锁信息不完整"),"违规：锁仓期间禁止加仓",IF(G375="","计划可执行：建议股数见N列",IF(OR(G375&lt;=0,G375&lt;&gt;INT(G375),MOD(G375,100)&lt;&gt;0),"违规：实际股数须为100股整数倍",IF(G375&gt;N375,"违规：实际股数超过风险或金字塔上限",IF(AND(B375&gt;1,G375&gt;SUMIFS($G$2:$G$1001,$A$2:$A$1001,A375,$B$2:$B$1001,B375-1)),"违规：加仓股数须逐次不增加",IF(Q375&gt;F375,"违规：止损风险超过本次预算","通过")))))))))))))))</f>
        <v/>
      </c>
    </row>
    <row r="376" ht="17" spans="1:18">
      <c r="A376" s="13"/>
      <c r="B376" s="14"/>
      <c r="C376" s="15"/>
      <c r="D376" s="16"/>
      <c r="E376" s="16"/>
      <c r="F376" s="16"/>
      <c r="G376" s="14"/>
      <c r="H376" s="17" t="str">
        <f t="shared" si="40"/>
        <v/>
      </c>
      <c r="I376" s="18" t="str">
        <f>IF(OR(A376="",B376=""),"",IFERROR(LOOKUP(2,1/(单次交易!$A$2:$A$201=A376),单次交易!$H$2:$H$201),0)+SUMIFS($G$2:$G$1001,$A$2:$A$1001,A376,$B$2:$B$1001,"&lt;"&amp;B376))</f>
        <v/>
      </c>
      <c r="J376" s="17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17" t="str">
        <f t="shared" si="41"/>
        <v/>
      </c>
      <c r="L376" s="18" t="str">
        <f t="shared" si="42"/>
        <v/>
      </c>
      <c r="M376" s="18" t="str">
        <f t="shared" si="43"/>
        <v/>
      </c>
      <c r="N376" s="18" t="str">
        <f t="shared" si="44"/>
        <v/>
      </c>
      <c r="O376" s="18" t="str">
        <f t="shared" si="45"/>
        <v/>
      </c>
      <c r="P376" s="17" t="str">
        <f t="shared" si="46"/>
        <v/>
      </c>
      <c r="Q376" s="17" t="str">
        <f t="shared" si="47"/>
        <v/>
      </c>
      <c r="R376" s="19" t="str">
        <f ca="1">IF(A376="","",IF(COUNTIF(_TradeIds,A376)=0,"违规：交易编号不存在",IF(OR(B376="",B376&lt;1,B376&gt;5,B376&lt;&gt;INT(B376)),"违规：加仓序号须为1到5的整数",IF(COUNTIFS($A$2:$A$1001,A376,$B$2:$B$1001,B376)&gt;1,"违规：同一交易的加仓序号重复",IF(OR(D376="",E376="",F376=""),"计划不完整：请填写加仓价、新止损价和风险预算",IF(OR(D376&lt;=0,E376&lt;=0,F376&lt;=0,D376&lt;=E376),"违规：加仓价必须高于新止损价，金额须大于0",IF(AND(B376&gt;1,COUNTIFS($A$2:$A$1001,A376,$B$2:$B$1001,B376-1,$G$2:$G$1001,"&gt;0")=0),"违规：须先完成上一次加仓",IF(AND(B376&gt;1,E376&lt;SUMIFS($E$2:$E$1001,$A$2:$A$1001,A376,$B$2:$B$1001,B376-1)),"违规：新止损价不得低于上一次",IF(AND(B376&gt;1,F376&gt;SUMIFS($F$2:$F$1001,$A$2:$A$1001,A376,$B$2:$B$1001,B376-1)),"违规：风险预算须逐次不增加",IF(OR(_LockStatus="已锁仓",_LockStatus="解锁信息不完整"),"违规：锁仓期间禁止加仓",IF(G376="","计划可执行：建议股数见N列",IF(OR(G376&lt;=0,G376&lt;&gt;INT(G376),MOD(G376,100)&lt;&gt;0),"违规：实际股数须为100股整数倍",IF(G376&gt;N376,"违规：实际股数超过风险或金字塔上限",IF(AND(B376&gt;1,G376&gt;SUMIFS($G$2:$G$1001,$A$2:$A$1001,A376,$B$2:$B$1001,B376-1)),"违规：加仓股数须逐次不增加",IF(Q376&gt;F376,"违规：止损风险超过本次预算","通过")))))))))))))))</f>
        <v/>
      </c>
    </row>
    <row r="377" ht="17" spans="1:18">
      <c r="A377" s="13"/>
      <c r="B377" s="14"/>
      <c r="C377" s="15"/>
      <c r="D377" s="16"/>
      <c r="E377" s="16"/>
      <c r="F377" s="16"/>
      <c r="G377" s="14"/>
      <c r="H377" s="17" t="str">
        <f t="shared" si="40"/>
        <v/>
      </c>
      <c r="I377" s="18" t="str">
        <f>IF(OR(A377="",B377=""),"",IFERROR(LOOKUP(2,1/(单次交易!$A$2:$A$201=A377),单次交易!$H$2:$H$201),0)+SUMIFS($G$2:$G$1001,$A$2:$A$1001,A377,$B$2:$B$1001,"&lt;"&amp;B377))</f>
        <v/>
      </c>
      <c r="J377" s="17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17" t="str">
        <f t="shared" si="41"/>
        <v/>
      </c>
      <c r="L377" s="18" t="str">
        <f t="shared" si="42"/>
        <v/>
      </c>
      <c r="M377" s="18" t="str">
        <f t="shared" si="43"/>
        <v/>
      </c>
      <c r="N377" s="18" t="str">
        <f t="shared" si="44"/>
        <v/>
      </c>
      <c r="O377" s="18" t="str">
        <f t="shared" si="45"/>
        <v/>
      </c>
      <c r="P377" s="17" t="str">
        <f t="shared" si="46"/>
        <v/>
      </c>
      <c r="Q377" s="17" t="str">
        <f t="shared" si="47"/>
        <v/>
      </c>
      <c r="R377" s="19" t="str">
        <f ca="1">IF(A377="","",IF(COUNTIF(_TradeIds,A377)=0,"违规：交易编号不存在",IF(OR(B377="",B377&lt;1,B377&gt;5,B377&lt;&gt;INT(B377)),"违规：加仓序号须为1到5的整数",IF(COUNTIFS($A$2:$A$1001,A377,$B$2:$B$1001,B377)&gt;1,"违规：同一交易的加仓序号重复",IF(OR(D377="",E377="",F377=""),"计划不完整：请填写加仓价、新止损价和风险预算",IF(OR(D377&lt;=0,E377&lt;=0,F377&lt;=0,D377&lt;=E377),"违规：加仓价必须高于新止损价，金额须大于0",IF(AND(B377&gt;1,COUNTIFS($A$2:$A$1001,A377,$B$2:$B$1001,B377-1,$G$2:$G$1001,"&gt;0")=0),"违规：须先完成上一次加仓",IF(AND(B377&gt;1,E377&lt;SUMIFS($E$2:$E$1001,$A$2:$A$1001,A377,$B$2:$B$1001,B377-1)),"违规：新止损价不得低于上一次",IF(AND(B377&gt;1,F377&gt;SUMIFS($F$2:$F$1001,$A$2:$A$1001,A377,$B$2:$B$1001,B377-1)),"违规：风险预算须逐次不增加",IF(OR(_LockStatus="已锁仓",_LockStatus="解锁信息不完整"),"违规：锁仓期间禁止加仓",IF(G377="","计划可执行：建议股数见N列",IF(OR(G377&lt;=0,G377&lt;&gt;INT(G377),MOD(G377,100)&lt;&gt;0),"违规：实际股数须为100股整数倍",IF(G377&gt;N377,"违规：实际股数超过风险或金字塔上限",IF(AND(B377&gt;1,G377&gt;SUMIFS($G$2:$G$1001,$A$2:$A$1001,A377,$B$2:$B$1001,B377-1)),"违规：加仓股数须逐次不增加",IF(Q377&gt;F377,"违规：止损风险超过本次预算","通过")))))))))))))))</f>
        <v/>
      </c>
    </row>
    <row r="378" ht="17" spans="1:18">
      <c r="A378" s="13"/>
      <c r="B378" s="14"/>
      <c r="C378" s="15"/>
      <c r="D378" s="16"/>
      <c r="E378" s="16"/>
      <c r="F378" s="16"/>
      <c r="G378" s="14"/>
      <c r="H378" s="17" t="str">
        <f t="shared" si="40"/>
        <v/>
      </c>
      <c r="I378" s="18" t="str">
        <f>IF(OR(A378="",B378=""),"",IFERROR(LOOKUP(2,1/(单次交易!$A$2:$A$201=A378),单次交易!$H$2:$H$201),0)+SUMIFS($G$2:$G$1001,$A$2:$A$1001,A378,$B$2:$B$1001,"&lt;"&amp;B378))</f>
        <v/>
      </c>
      <c r="J378" s="17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17" t="str">
        <f t="shared" si="41"/>
        <v/>
      </c>
      <c r="L378" s="18" t="str">
        <f t="shared" si="42"/>
        <v/>
      </c>
      <c r="M378" s="18" t="str">
        <f t="shared" si="43"/>
        <v/>
      </c>
      <c r="N378" s="18" t="str">
        <f t="shared" si="44"/>
        <v/>
      </c>
      <c r="O378" s="18" t="str">
        <f t="shared" si="45"/>
        <v/>
      </c>
      <c r="P378" s="17" t="str">
        <f t="shared" si="46"/>
        <v/>
      </c>
      <c r="Q378" s="17" t="str">
        <f t="shared" si="47"/>
        <v/>
      </c>
      <c r="R378" s="19" t="str">
        <f ca="1">IF(A378="","",IF(COUNTIF(_TradeIds,A378)=0,"违规：交易编号不存在",IF(OR(B378="",B378&lt;1,B378&gt;5,B378&lt;&gt;INT(B378)),"违规：加仓序号须为1到5的整数",IF(COUNTIFS($A$2:$A$1001,A378,$B$2:$B$1001,B378)&gt;1,"违规：同一交易的加仓序号重复",IF(OR(D378="",E378="",F378=""),"计划不完整：请填写加仓价、新止损价和风险预算",IF(OR(D378&lt;=0,E378&lt;=0,F378&lt;=0,D378&lt;=E378),"违规：加仓价必须高于新止损价，金额须大于0",IF(AND(B378&gt;1,COUNTIFS($A$2:$A$1001,A378,$B$2:$B$1001,B378-1,$G$2:$G$1001,"&gt;0")=0),"违规：须先完成上一次加仓",IF(AND(B378&gt;1,E378&lt;SUMIFS($E$2:$E$1001,$A$2:$A$1001,A378,$B$2:$B$1001,B378-1)),"违规：新止损价不得低于上一次",IF(AND(B378&gt;1,F378&gt;SUMIFS($F$2:$F$1001,$A$2:$A$1001,A378,$B$2:$B$1001,B378-1)),"违规：风险预算须逐次不增加",IF(OR(_LockStatus="已锁仓",_LockStatus="解锁信息不完整"),"违规：锁仓期间禁止加仓",IF(G378="","计划可执行：建议股数见N列",IF(OR(G378&lt;=0,G378&lt;&gt;INT(G378),MOD(G378,100)&lt;&gt;0),"违规：实际股数须为100股整数倍",IF(G378&gt;N378,"违规：实际股数超过风险或金字塔上限",IF(AND(B378&gt;1,G378&gt;SUMIFS($G$2:$G$1001,$A$2:$A$1001,A378,$B$2:$B$1001,B378-1)),"违规：加仓股数须逐次不增加",IF(Q378&gt;F378,"违规：止损风险超过本次预算","通过")))))))))))))))</f>
        <v/>
      </c>
    </row>
    <row r="379" ht="17" spans="1:18">
      <c r="A379" s="13"/>
      <c r="B379" s="14"/>
      <c r="C379" s="15"/>
      <c r="D379" s="16"/>
      <c r="E379" s="16"/>
      <c r="F379" s="16"/>
      <c r="G379" s="14"/>
      <c r="H379" s="17" t="str">
        <f t="shared" si="40"/>
        <v/>
      </c>
      <c r="I379" s="18" t="str">
        <f>IF(OR(A379="",B379=""),"",IFERROR(LOOKUP(2,1/(单次交易!$A$2:$A$201=A379),单次交易!$H$2:$H$201),0)+SUMIFS($G$2:$G$1001,$A$2:$A$1001,A379,$B$2:$B$1001,"&lt;"&amp;B379))</f>
        <v/>
      </c>
      <c r="J379" s="17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17" t="str">
        <f t="shared" si="41"/>
        <v/>
      </c>
      <c r="L379" s="18" t="str">
        <f t="shared" si="42"/>
        <v/>
      </c>
      <c r="M379" s="18" t="str">
        <f t="shared" si="43"/>
        <v/>
      </c>
      <c r="N379" s="18" t="str">
        <f t="shared" si="44"/>
        <v/>
      </c>
      <c r="O379" s="18" t="str">
        <f t="shared" si="45"/>
        <v/>
      </c>
      <c r="P379" s="17" t="str">
        <f t="shared" si="46"/>
        <v/>
      </c>
      <c r="Q379" s="17" t="str">
        <f t="shared" si="47"/>
        <v/>
      </c>
      <c r="R379" s="19" t="str">
        <f ca="1">IF(A379="","",IF(COUNTIF(_TradeIds,A379)=0,"违规：交易编号不存在",IF(OR(B379="",B379&lt;1,B379&gt;5,B379&lt;&gt;INT(B379)),"违规：加仓序号须为1到5的整数",IF(COUNTIFS($A$2:$A$1001,A379,$B$2:$B$1001,B379)&gt;1,"违规：同一交易的加仓序号重复",IF(OR(D379="",E379="",F379=""),"计划不完整：请填写加仓价、新止损价和风险预算",IF(OR(D379&lt;=0,E379&lt;=0,F379&lt;=0,D379&lt;=E379),"违规：加仓价必须高于新止损价，金额须大于0",IF(AND(B379&gt;1,COUNTIFS($A$2:$A$1001,A379,$B$2:$B$1001,B379-1,$G$2:$G$1001,"&gt;0")=0),"违规：须先完成上一次加仓",IF(AND(B379&gt;1,E379&lt;SUMIFS($E$2:$E$1001,$A$2:$A$1001,A379,$B$2:$B$1001,B379-1)),"违规：新止损价不得低于上一次",IF(AND(B379&gt;1,F379&gt;SUMIFS($F$2:$F$1001,$A$2:$A$1001,A379,$B$2:$B$1001,B379-1)),"违规：风险预算须逐次不增加",IF(OR(_LockStatus="已锁仓",_LockStatus="解锁信息不完整"),"违规：锁仓期间禁止加仓",IF(G379="","计划可执行：建议股数见N列",IF(OR(G379&lt;=0,G379&lt;&gt;INT(G379),MOD(G379,100)&lt;&gt;0),"违规：实际股数须为100股整数倍",IF(G379&gt;N379,"违规：实际股数超过风险或金字塔上限",IF(AND(B379&gt;1,G379&gt;SUMIFS($G$2:$G$1001,$A$2:$A$1001,A379,$B$2:$B$1001,B379-1)),"违规：加仓股数须逐次不增加",IF(Q379&gt;F379,"违规：止损风险超过本次预算","通过")))))))))))))))</f>
        <v/>
      </c>
    </row>
    <row r="380" ht="17" spans="1:18">
      <c r="A380" s="13"/>
      <c r="B380" s="14"/>
      <c r="C380" s="15"/>
      <c r="D380" s="16"/>
      <c r="E380" s="16"/>
      <c r="F380" s="16"/>
      <c r="G380" s="14"/>
      <c r="H380" s="17" t="str">
        <f t="shared" si="40"/>
        <v/>
      </c>
      <c r="I380" s="18" t="str">
        <f>IF(OR(A380="",B380=""),"",IFERROR(LOOKUP(2,1/(单次交易!$A$2:$A$201=A380),单次交易!$H$2:$H$201),0)+SUMIFS($G$2:$G$1001,$A$2:$A$1001,A380,$B$2:$B$1001,"&lt;"&amp;B380))</f>
        <v/>
      </c>
      <c r="J380" s="17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17" t="str">
        <f t="shared" si="41"/>
        <v/>
      </c>
      <c r="L380" s="18" t="str">
        <f t="shared" si="42"/>
        <v/>
      </c>
      <c r="M380" s="18" t="str">
        <f t="shared" si="43"/>
        <v/>
      </c>
      <c r="N380" s="18" t="str">
        <f t="shared" si="44"/>
        <v/>
      </c>
      <c r="O380" s="18" t="str">
        <f t="shared" si="45"/>
        <v/>
      </c>
      <c r="P380" s="17" t="str">
        <f t="shared" si="46"/>
        <v/>
      </c>
      <c r="Q380" s="17" t="str">
        <f t="shared" si="47"/>
        <v/>
      </c>
      <c r="R380" s="19" t="str">
        <f ca="1">IF(A380="","",IF(COUNTIF(_TradeIds,A380)=0,"违规：交易编号不存在",IF(OR(B380="",B380&lt;1,B380&gt;5,B380&lt;&gt;INT(B380)),"违规：加仓序号须为1到5的整数",IF(COUNTIFS($A$2:$A$1001,A380,$B$2:$B$1001,B380)&gt;1,"违规：同一交易的加仓序号重复",IF(OR(D380="",E380="",F380=""),"计划不完整：请填写加仓价、新止损价和风险预算",IF(OR(D380&lt;=0,E380&lt;=0,F380&lt;=0,D380&lt;=E380),"违规：加仓价必须高于新止损价，金额须大于0",IF(AND(B380&gt;1,COUNTIFS($A$2:$A$1001,A380,$B$2:$B$1001,B380-1,$G$2:$G$1001,"&gt;0")=0),"违规：须先完成上一次加仓",IF(AND(B380&gt;1,E380&lt;SUMIFS($E$2:$E$1001,$A$2:$A$1001,A380,$B$2:$B$1001,B380-1)),"违规：新止损价不得低于上一次",IF(AND(B380&gt;1,F380&gt;SUMIFS($F$2:$F$1001,$A$2:$A$1001,A380,$B$2:$B$1001,B380-1)),"违规：风险预算须逐次不增加",IF(OR(_LockStatus="已锁仓",_LockStatus="解锁信息不完整"),"违规：锁仓期间禁止加仓",IF(G380="","计划可执行：建议股数见N列",IF(OR(G380&lt;=0,G380&lt;&gt;INT(G380),MOD(G380,100)&lt;&gt;0),"违规：实际股数须为100股整数倍",IF(G380&gt;N380,"违规：实际股数超过风险或金字塔上限",IF(AND(B380&gt;1,G380&gt;SUMIFS($G$2:$G$1001,$A$2:$A$1001,A380,$B$2:$B$1001,B380-1)),"违规：加仓股数须逐次不增加",IF(Q380&gt;F380,"违规：止损风险超过本次预算","通过")))))))))))))))</f>
        <v/>
      </c>
    </row>
    <row r="381" ht="17" spans="1:18">
      <c r="A381" s="13"/>
      <c r="B381" s="14"/>
      <c r="C381" s="15"/>
      <c r="D381" s="16"/>
      <c r="E381" s="16"/>
      <c r="F381" s="16"/>
      <c r="G381" s="14"/>
      <c r="H381" s="17" t="str">
        <f t="shared" si="40"/>
        <v/>
      </c>
      <c r="I381" s="18" t="str">
        <f>IF(OR(A381="",B381=""),"",IFERROR(LOOKUP(2,1/(单次交易!$A$2:$A$201=A381),单次交易!$H$2:$H$201),0)+SUMIFS($G$2:$G$1001,$A$2:$A$1001,A381,$B$2:$B$1001,"&lt;"&amp;B381))</f>
        <v/>
      </c>
      <c r="J381" s="17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17" t="str">
        <f t="shared" si="41"/>
        <v/>
      </c>
      <c r="L381" s="18" t="str">
        <f t="shared" si="42"/>
        <v/>
      </c>
      <c r="M381" s="18" t="str">
        <f t="shared" si="43"/>
        <v/>
      </c>
      <c r="N381" s="18" t="str">
        <f t="shared" si="44"/>
        <v/>
      </c>
      <c r="O381" s="18" t="str">
        <f t="shared" si="45"/>
        <v/>
      </c>
      <c r="P381" s="17" t="str">
        <f t="shared" si="46"/>
        <v/>
      </c>
      <c r="Q381" s="17" t="str">
        <f t="shared" si="47"/>
        <v/>
      </c>
      <c r="R381" s="19" t="str">
        <f ca="1">IF(A381="","",IF(COUNTIF(_TradeIds,A381)=0,"违规：交易编号不存在",IF(OR(B381="",B381&lt;1,B381&gt;5,B381&lt;&gt;INT(B381)),"违规：加仓序号须为1到5的整数",IF(COUNTIFS($A$2:$A$1001,A381,$B$2:$B$1001,B381)&gt;1,"违规：同一交易的加仓序号重复",IF(OR(D381="",E381="",F381=""),"计划不完整：请填写加仓价、新止损价和风险预算",IF(OR(D381&lt;=0,E381&lt;=0,F381&lt;=0,D381&lt;=E381),"违规：加仓价必须高于新止损价，金额须大于0",IF(AND(B381&gt;1,COUNTIFS($A$2:$A$1001,A381,$B$2:$B$1001,B381-1,$G$2:$G$1001,"&gt;0")=0),"违规：须先完成上一次加仓",IF(AND(B381&gt;1,E381&lt;SUMIFS($E$2:$E$1001,$A$2:$A$1001,A381,$B$2:$B$1001,B381-1)),"违规：新止损价不得低于上一次",IF(AND(B381&gt;1,F381&gt;SUMIFS($F$2:$F$1001,$A$2:$A$1001,A381,$B$2:$B$1001,B381-1)),"违规：风险预算须逐次不增加",IF(OR(_LockStatus="已锁仓",_LockStatus="解锁信息不完整"),"违规：锁仓期间禁止加仓",IF(G381="","计划可执行：建议股数见N列",IF(OR(G381&lt;=0,G381&lt;&gt;INT(G381),MOD(G381,100)&lt;&gt;0),"违规：实际股数须为100股整数倍",IF(G381&gt;N381,"违规：实际股数超过风险或金字塔上限",IF(AND(B381&gt;1,G381&gt;SUMIFS($G$2:$G$1001,$A$2:$A$1001,A381,$B$2:$B$1001,B381-1)),"违规：加仓股数须逐次不增加",IF(Q381&gt;F381,"违规：止损风险超过本次预算","通过")))))))))))))))</f>
        <v/>
      </c>
    </row>
    <row r="382" ht="17" spans="1:18">
      <c r="A382" s="13"/>
      <c r="B382" s="14"/>
      <c r="C382" s="15"/>
      <c r="D382" s="16"/>
      <c r="E382" s="16"/>
      <c r="F382" s="16"/>
      <c r="G382" s="14"/>
      <c r="H382" s="17" t="str">
        <f t="shared" si="40"/>
        <v/>
      </c>
      <c r="I382" s="18" t="str">
        <f>IF(OR(A382="",B382=""),"",IFERROR(LOOKUP(2,1/(单次交易!$A$2:$A$201=A382),单次交易!$H$2:$H$201),0)+SUMIFS($G$2:$G$1001,$A$2:$A$1001,A382,$B$2:$B$1001,"&lt;"&amp;B382))</f>
        <v/>
      </c>
      <c r="J382" s="17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17" t="str">
        <f t="shared" si="41"/>
        <v/>
      </c>
      <c r="L382" s="18" t="str">
        <f t="shared" si="42"/>
        <v/>
      </c>
      <c r="M382" s="18" t="str">
        <f t="shared" si="43"/>
        <v/>
      </c>
      <c r="N382" s="18" t="str">
        <f t="shared" si="44"/>
        <v/>
      </c>
      <c r="O382" s="18" t="str">
        <f t="shared" si="45"/>
        <v/>
      </c>
      <c r="P382" s="17" t="str">
        <f t="shared" si="46"/>
        <v/>
      </c>
      <c r="Q382" s="17" t="str">
        <f t="shared" si="47"/>
        <v/>
      </c>
      <c r="R382" s="19" t="str">
        <f ca="1">IF(A382="","",IF(COUNTIF(_TradeIds,A382)=0,"违规：交易编号不存在",IF(OR(B382="",B382&lt;1,B382&gt;5,B382&lt;&gt;INT(B382)),"违规：加仓序号须为1到5的整数",IF(COUNTIFS($A$2:$A$1001,A382,$B$2:$B$1001,B382)&gt;1,"违规：同一交易的加仓序号重复",IF(OR(D382="",E382="",F382=""),"计划不完整：请填写加仓价、新止损价和风险预算",IF(OR(D382&lt;=0,E382&lt;=0,F382&lt;=0,D382&lt;=E382),"违规：加仓价必须高于新止损价，金额须大于0",IF(AND(B382&gt;1,COUNTIFS($A$2:$A$1001,A382,$B$2:$B$1001,B382-1,$G$2:$G$1001,"&gt;0")=0),"违规：须先完成上一次加仓",IF(AND(B382&gt;1,E382&lt;SUMIFS($E$2:$E$1001,$A$2:$A$1001,A382,$B$2:$B$1001,B382-1)),"违规：新止损价不得低于上一次",IF(AND(B382&gt;1,F382&gt;SUMIFS($F$2:$F$1001,$A$2:$A$1001,A382,$B$2:$B$1001,B382-1)),"违规：风险预算须逐次不增加",IF(OR(_LockStatus="已锁仓",_LockStatus="解锁信息不完整"),"违规：锁仓期间禁止加仓",IF(G382="","计划可执行：建议股数见N列",IF(OR(G382&lt;=0,G382&lt;&gt;INT(G382),MOD(G382,100)&lt;&gt;0),"违规：实际股数须为100股整数倍",IF(G382&gt;N382,"违规：实际股数超过风险或金字塔上限",IF(AND(B382&gt;1,G382&gt;SUMIFS($G$2:$G$1001,$A$2:$A$1001,A382,$B$2:$B$1001,B382-1)),"违规：加仓股数须逐次不增加",IF(Q382&gt;F382,"违规：止损风险超过本次预算","通过")))))))))))))))</f>
        <v/>
      </c>
    </row>
    <row r="383" ht="17" spans="1:18">
      <c r="A383" s="13"/>
      <c r="B383" s="14"/>
      <c r="C383" s="15"/>
      <c r="D383" s="16"/>
      <c r="E383" s="16"/>
      <c r="F383" s="16"/>
      <c r="G383" s="14"/>
      <c r="H383" s="17" t="str">
        <f t="shared" si="40"/>
        <v/>
      </c>
      <c r="I383" s="18" t="str">
        <f>IF(OR(A383="",B383=""),"",IFERROR(LOOKUP(2,1/(单次交易!$A$2:$A$201=A383),单次交易!$H$2:$H$201),0)+SUMIFS($G$2:$G$1001,$A$2:$A$1001,A383,$B$2:$B$1001,"&lt;"&amp;B383))</f>
        <v/>
      </c>
      <c r="J383" s="17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17" t="str">
        <f t="shared" si="41"/>
        <v/>
      </c>
      <c r="L383" s="18" t="str">
        <f t="shared" si="42"/>
        <v/>
      </c>
      <c r="M383" s="18" t="str">
        <f t="shared" si="43"/>
        <v/>
      </c>
      <c r="N383" s="18" t="str">
        <f t="shared" si="44"/>
        <v/>
      </c>
      <c r="O383" s="18" t="str">
        <f t="shared" si="45"/>
        <v/>
      </c>
      <c r="P383" s="17" t="str">
        <f t="shared" si="46"/>
        <v/>
      </c>
      <c r="Q383" s="17" t="str">
        <f t="shared" si="47"/>
        <v/>
      </c>
      <c r="R383" s="19" t="str">
        <f ca="1">IF(A383="","",IF(COUNTIF(_TradeIds,A383)=0,"违规：交易编号不存在",IF(OR(B383="",B383&lt;1,B383&gt;5,B383&lt;&gt;INT(B383)),"违规：加仓序号须为1到5的整数",IF(COUNTIFS($A$2:$A$1001,A383,$B$2:$B$1001,B383)&gt;1,"违规：同一交易的加仓序号重复",IF(OR(D383="",E383="",F383=""),"计划不完整：请填写加仓价、新止损价和风险预算",IF(OR(D383&lt;=0,E383&lt;=0,F383&lt;=0,D383&lt;=E383),"违规：加仓价必须高于新止损价，金额须大于0",IF(AND(B383&gt;1,COUNTIFS($A$2:$A$1001,A383,$B$2:$B$1001,B383-1,$G$2:$G$1001,"&gt;0")=0),"违规：须先完成上一次加仓",IF(AND(B383&gt;1,E383&lt;SUMIFS($E$2:$E$1001,$A$2:$A$1001,A383,$B$2:$B$1001,B383-1)),"违规：新止损价不得低于上一次",IF(AND(B383&gt;1,F383&gt;SUMIFS($F$2:$F$1001,$A$2:$A$1001,A383,$B$2:$B$1001,B383-1)),"违规：风险预算须逐次不增加",IF(OR(_LockStatus="已锁仓",_LockStatus="解锁信息不完整"),"违规：锁仓期间禁止加仓",IF(G383="","计划可执行：建议股数见N列",IF(OR(G383&lt;=0,G383&lt;&gt;INT(G383),MOD(G383,100)&lt;&gt;0),"违规：实际股数须为100股整数倍",IF(G383&gt;N383,"违规：实际股数超过风险或金字塔上限",IF(AND(B383&gt;1,G383&gt;SUMIFS($G$2:$G$1001,$A$2:$A$1001,A383,$B$2:$B$1001,B383-1)),"违规：加仓股数须逐次不增加",IF(Q383&gt;F383,"违规：止损风险超过本次预算","通过")))))))))))))))</f>
        <v/>
      </c>
    </row>
    <row r="384" ht="17" spans="1:18">
      <c r="A384" s="13"/>
      <c r="B384" s="14"/>
      <c r="C384" s="15"/>
      <c r="D384" s="16"/>
      <c r="E384" s="16"/>
      <c r="F384" s="16"/>
      <c r="G384" s="14"/>
      <c r="H384" s="17" t="str">
        <f t="shared" si="40"/>
        <v/>
      </c>
      <c r="I384" s="18" t="str">
        <f>IF(OR(A384="",B384=""),"",IFERROR(LOOKUP(2,1/(单次交易!$A$2:$A$201=A384),单次交易!$H$2:$H$201),0)+SUMIFS($G$2:$G$1001,$A$2:$A$1001,A384,$B$2:$B$1001,"&lt;"&amp;B384))</f>
        <v/>
      </c>
      <c r="J384" s="17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17" t="str">
        <f t="shared" si="41"/>
        <v/>
      </c>
      <c r="L384" s="18" t="str">
        <f t="shared" si="42"/>
        <v/>
      </c>
      <c r="M384" s="18" t="str">
        <f t="shared" si="43"/>
        <v/>
      </c>
      <c r="N384" s="18" t="str">
        <f t="shared" si="44"/>
        <v/>
      </c>
      <c r="O384" s="18" t="str">
        <f t="shared" si="45"/>
        <v/>
      </c>
      <c r="P384" s="17" t="str">
        <f t="shared" si="46"/>
        <v/>
      </c>
      <c r="Q384" s="17" t="str">
        <f t="shared" si="47"/>
        <v/>
      </c>
      <c r="R384" s="19" t="str">
        <f ca="1">IF(A384="","",IF(COUNTIF(_TradeIds,A384)=0,"违规：交易编号不存在",IF(OR(B384="",B384&lt;1,B384&gt;5,B384&lt;&gt;INT(B384)),"违规：加仓序号须为1到5的整数",IF(COUNTIFS($A$2:$A$1001,A384,$B$2:$B$1001,B384)&gt;1,"违规：同一交易的加仓序号重复",IF(OR(D384="",E384="",F384=""),"计划不完整：请填写加仓价、新止损价和风险预算",IF(OR(D384&lt;=0,E384&lt;=0,F384&lt;=0,D384&lt;=E384),"违规：加仓价必须高于新止损价，金额须大于0",IF(AND(B384&gt;1,COUNTIFS($A$2:$A$1001,A384,$B$2:$B$1001,B384-1,$G$2:$G$1001,"&gt;0")=0),"违规：须先完成上一次加仓",IF(AND(B384&gt;1,E384&lt;SUMIFS($E$2:$E$1001,$A$2:$A$1001,A384,$B$2:$B$1001,B384-1)),"违规：新止损价不得低于上一次",IF(AND(B384&gt;1,F384&gt;SUMIFS($F$2:$F$1001,$A$2:$A$1001,A384,$B$2:$B$1001,B384-1)),"违规：风险预算须逐次不增加",IF(OR(_LockStatus="已锁仓",_LockStatus="解锁信息不完整"),"违规：锁仓期间禁止加仓",IF(G384="","计划可执行：建议股数见N列",IF(OR(G384&lt;=0,G384&lt;&gt;INT(G384),MOD(G384,100)&lt;&gt;0),"违规：实际股数须为100股整数倍",IF(G384&gt;N384,"违规：实际股数超过风险或金字塔上限",IF(AND(B384&gt;1,G384&gt;SUMIFS($G$2:$G$1001,$A$2:$A$1001,A384,$B$2:$B$1001,B384-1)),"违规：加仓股数须逐次不增加",IF(Q384&gt;F384,"违规：止损风险超过本次预算","通过")))))))))))))))</f>
        <v/>
      </c>
    </row>
    <row r="385" ht="17" spans="1:18">
      <c r="A385" s="13"/>
      <c r="B385" s="14"/>
      <c r="C385" s="15"/>
      <c r="D385" s="16"/>
      <c r="E385" s="16"/>
      <c r="F385" s="16"/>
      <c r="G385" s="14"/>
      <c r="H385" s="17" t="str">
        <f t="shared" si="40"/>
        <v/>
      </c>
      <c r="I385" s="18" t="str">
        <f>IF(OR(A385="",B385=""),"",IFERROR(LOOKUP(2,1/(单次交易!$A$2:$A$201=A385),单次交易!$H$2:$H$201),0)+SUMIFS($G$2:$G$1001,$A$2:$A$1001,A385,$B$2:$B$1001,"&lt;"&amp;B385))</f>
        <v/>
      </c>
      <c r="J385" s="17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17" t="str">
        <f t="shared" si="41"/>
        <v/>
      </c>
      <c r="L385" s="18" t="str">
        <f t="shared" si="42"/>
        <v/>
      </c>
      <c r="M385" s="18" t="str">
        <f t="shared" si="43"/>
        <v/>
      </c>
      <c r="N385" s="18" t="str">
        <f t="shared" si="44"/>
        <v/>
      </c>
      <c r="O385" s="18" t="str">
        <f t="shared" si="45"/>
        <v/>
      </c>
      <c r="P385" s="17" t="str">
        <f t="shared" si="46"/>
        <v/>
      </c>
      <c r="Q385" s="17" t="str">
        <f t="shared" si="47"/>
        <v/>
      </c>
      <c r="R385" s="19" t="str">
        <f ca="1">IF(A385="","",IF(COUNTIF(_TradeIds,A385)=0,"违规：交易编号不存在",IF(OR(B385="",B385&lt;1,B385&gt;5,B385&lt;&gt;INT(B385)),"违规：加仓序号须为1到5的整数",IF(COUNTIFS($A$2:$A$1001,A385,$B$2:$B$1001,B385)&gt;1,"违规：同一交易的加仓序号重复",IF(OR(D385="",E385="",F385=""),"计划不完整：请填写加仓价、新止损价和风险预算",IF(OR(D385&lt;=0,E385&lt;=0,F385&lt;=0,D385&lt;=E385),"违规：加仓价必须高于新止损价，金额须大于0",IF(AND(B385&gt;1,COUNTIFS($A$2:$A$1001,A385,$B$2:$B$1001,B385-1,$G$2:$G$1001,"&gt;0")=0),"违规：须先完成上一次加仓",IF(AND(B385&gt;1,E385&lt;SUMIFS($E$2:$E$1001,$A$2:$A$1001,A385,$B$2:$B$1001,B385-1)),"违规：新止损价不得低于上一次",IF(AND(B385&gt;1,F385&gt;SUMIFS($F$2:$F$1001,$A$2:$A$1001,A385,$B$2:$B$1001,B385-1)),"违规：风险预算须逐次不增加",IF(OR(_LockStatus="已锁仓",_LockStatus="解锁信息不完整"),"违规：锁仓期间禁止加仓",IF(G385="","计划可执行：建议股数见N列",IF(OR(G385&lt;=0,G385&lt;&gt;INT(G385),MOD(G385,100)&lt;&gt;0),"违规：实际股数须为100股整数倍",IF(G385&gt;N385,"违规：实际股数超过风险或金字塔上限",IF(AND(B385&gt;1,G385&gt;SUMIFS($G$2:$G$1001,$A$2:$A$1001,A385,$B$2:$B$1001,B385-1)),"违规：加仓股数须逐次不增加",IF(Q385&gt;F385,"违规：止损风险超过本次预算","通过")))))))))))))))</f>
        <v/>
      </c>
    </row>
    <row r="386" ht="17" spans="1:18">
      <c r="A386" s="13"/>
      <c r="B386" s="14"/>
      <c r="C386" s="15"/>
      <c r="D386" s="16"/>
      <c r="E386" s="16"/>
      <c r="F386" s="16"/>
      <c r="G386" s="14"/>
      <c r="H386" s="17" t="str">
        <f t="shared" ref="H386:H449" si="48">IF(OR(A386="",D386="",G386=""),"",D386*G386)</f>
        <v/>
      </c>
      <c r="I386" s="18" t="str">
        <f>IF(OR(A386="",B386=""),"",IFERROR(LOOKUP(2,1/(单次交易!$A$2:$A$201=A386),单次交易!$H$2:$H$201),0)+SUMIFS($G$2:$G$1001,$A$2:$A$1001,A386,$B$2:$B$1001,"&lt;"&amp;B386))</f>
        <v/>
      </c>
      <c r="J386" s="17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17" t="str">
        <f t="shared" ref="K386:K449" si="49">IF(OR(E386="",I386="",J386=""),"",MAX(E386*I386-J386,0))</f>
        <v/>
      </c>
      <c r="L386" s="18" t="str">
        <f t="shared" ref="L386:L449" si="50">IF(OR(D386="",E386="",F386="",D386&lt;=E386),"",FLOOR((F386+K386)/(D386-E386),100))</f>
        <v/>
      </c>
      <c r="M386" s="18" t="str">
        <f t="shared" ref="M386:M449" si="51">IF(OR(A386="",B386="",L386=""),"",IF(B386=1,L386,IFERROR(SUMIFS($G$2:$G$1001,$A$2:$A$1001,A386,$B$2:$B$1001,B386-1),0)))</f>
        <v/>
      </c>
      <c r="N386" s="18" t="str">
        <f t="shared" ref="N386:N449" si="52">IF(OR(L386="",M386=""),"",MIN(L386,M386))</f>
        <v/>
      </c>
      <c r="O386" s="18" t="str">
        <f t="shared" ref="O386:O449" si="53">IF(OR(I386="",G386=""),"",I386+G386)</f>
        <v/>
      </c>
      <c r="P386" s="17" t="str">
        <f t="shared" ref="P386:P449" si="54">IF(OR(O386="",O386=0),"",(J386+H386)/O386)</f>
        <v/>
      </c>
      <c r="Q386" s="17" t="str">
        <f t="shared" ref="Q386:Q449" si="55">IF(OR(O386="",E386=""),"",MAX(J386+H386-E386*O386,0))</f>
        <v/>
      </c>
      <c r="R386" s="19" t="str">
        <f ca="1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ht="17" spans="1:18">
      <c r="A387" s="13"/>
      <c r="B387" s="14"/>
      <c r="C387" s="15"/>
      <c r="D387" s="16"/>
      <c r="E387" s="16"/>
      <c r="F387" s="16"/>
      <c r="G387" s="14"/>
      <c r="H387" s="17" t="str">
        <f t="shared" si="48"/>
        <v/>
      </c>
      <c r="I387" s="18" t="str">
        <f>IF(OR(A387="",B387=""),"",IFERROR(LOOKUP(2,1/(单次交易!$A$2:$A$201=A387),单次交易!$H$2:$H$201),0)+SUMIFS($G$2:$G$1001,$A$2:$A$1001,A387,$B$2:$B$1001,"&lt;"&amp;B387))</f>
        <v/>
      </c>
      <c r="J387" s="17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17" t="str">
        <f t="shared" si="49"/>
        <v/>
      </c>
      <c r="L387" s="18" t="str">
        <f t="shared" si="50"/>
        <v/>
      </c>
      <c r="M387" s="18" t="str">
        <f t="shared" si="51"/>
        <v/>
      </c>
      <c r="N387" s="18" t="str">
        <f t="shared" si="52"/>
        <v/>
      </c>
      <c r="O387" s="18" t="str">
        <f t="shared" si="53"/>
        <v/>
      </c>
      <c r="P387" s="17" t="str">
        <f t="shared" si="54"/>
        <v/>
      </c>
      <c r="Q387" s="17" t="str">
        <f t="shared" si="55"/>
        <v/>
      </c>
      <c r="R387" s="19" t="str">
        <f ca="1">IF(A387="","",IF(COUNTIF(_TradeIds,A387)=0,"违规：交易编号不存在",IF(OR(B387="",B387&lt;1,B387&gt;5,B387&lt;&gt;INT(B387)),"违规：加仓序号须为1到5的整数",IF(COUNTIFS($A$2:$A$1001,A387,$B$2:$B$1001,B387)&gt;1,"违规：同一交易的加仓序号重复",IF(OR(D387="",E387="",F387=""),"计划不完整：请填写加仓价、新止损价和风险预算",IF(OR(D387&lt;=0,E387&lt;=0,F387&lt;=0,D387&lt;=E387),"违规：加仓价必须高于新止损价，金额须大于0",IF(AND(B387&gt;1,COUNTIFS($A$2:$A$1001,A387,$B$2:$B$1001,B387-1,$G$2:$G$1001,"&gt;0")=0),"违规：须先完成上一次加仓",IF(AND(B387&gt;1,E387&lt;SUMIFS($E$2:$E$1001,$A$2:$A$1001,A387,$B$2:$B$1001,B387-1)),"违规：新止损价不得低于上一次",IF(AND(B387&gt;1,F387&gt;SUMIFS($F$2:$F$1001,$A$2:$A$1001,A387,$B$2:$B$1001,B387-1)),"违规：风险预算须逐次不增加",IF(OR(_LockStatus="已锁仓",_LockStatus="解锁信息不完整"),"违规：锁仓期间禁止加仓",IF(G387="","计划可执行：建议股数见N列",IF(OR(G387&lt;=0,G387&lt;&gt;INT(G387),MOD(G387,100)&lt;&gt;0),"违规：实际股数须为100股整数倍",IF(G387&gt;N387,"违规：实际股数超过风险或金字塔上限",IF(AND(B387&gt;1,G387&gt;SUMIFS($G$2:$G$1001,$A$2:$A$1001,A387,$B$2:$B$1001,B387-1)),"违规：加仓股数须逐次不增加",IF(Q387&gt;F387,"违规：止损风险超过本次预算","通过")))))))))))))))</f>
        <v/>
      </c>
    </row>
    <row r="388" ht="17" spans="1:18">
      <c r="A388" s="13"/>
      <c r="B388" s="14"/>
      <c r="C388" s="15"/>
      <c r="D388" s="16"/>
      <c r="E388" s="16"/>
      <c r="F388" s="16"/>
      <c r="G388" s="14"/>
      <c r="H388" s="17" t="str">
        <f t="shared" si="48"/>
        <v/>
      </c>
      <c r="I388" s="18" t="str">
        <f>IF(OR(A388="",B388=""),"",IFERROR(LOOKUP(2,1/(单次交易!$A$2:$A$201=A388),单次交易!$H$2:$H$201),0)+SUMIFS($G$2:$G$1001,$A$2:$A$1001,A388,$B$2:$B$1001,"&lt;"&amp;B388))</f>
        <v/>
      </c>
      <c r="J388" s="17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17" t="str">
        <f t="shared" si="49"/>
        <v/>
      </c>
      <c r="L388" s="18" t="str">
        <f t="shared" si="50"/>
        <v/>
      </c>
      <c r="M388" s="18" t="str">
        <f t="shared" si="51"/>
        <v/>
      </c>
      <c r="N388" s="18" t="str">
        <f t="shared" si="52"/>
        <v/>
      </c>
      <c r="O388" s="18" t="str">
        <f t="shared" si="53"/>
        <v/>
      </c>
      <c r="P388" s="17" t="str">
        <f t="shared" si="54"/>
        <v/>
      </c>
      <c r="Q388" s="17" t="str">
        <f t="shared" si="55"/>
        <v/>
      </c>
      <c r="R388" s="19" t="str">
        <f ca="1">IF(A388="","",IF(COUNTIF(_TradeIds,A388)=0,"违规：交易编号不存在",IF(OR(B388="",B388&lt;1,B388&gt;5,B388&lt;&gt;INT(B388)),"违规：加仓序号须为1到5的整数",IF(COUNTIFS($A$2:$A$1001,A388,$B$2:$B$1001,B388)&gt;1,"违规：同一交易的加仓序号重复",IF(OR(D388="",E388="",F388=""),"计划不完整：请填写加仓价、新止损价和风险预算",IF(OR(D388&lt;=0,E388&lt;=0,F388&lt;=0,D388&lt;=E388),"违规：加仓价必须高于新止损价，金额须大于0",IF(AND(B388&gt;1,COUNTIFS($A$2:$A$1001,A388,$B$2:$B$1001,B388-1,$G$2:$G$1001,"&gt;0")=0),"违规：须先完成上一次加仓",IF(AND(B388&gt;1,E388&lt;SUMIFS($E$2:$E$1001,$A$2:$A$1001,A388,$B$2:$B$1001,B388-1)),"违规：新止损价不得低于上一次",IF(AND(B388&gt;1,F388&gt;SUMIFS($F$2:$F$1001,$A$2:$A$1001,A388,$B$2:$B$1001,B388-1)),"违规：风险预算须逐次不增加",IF(OR(_LockStatus="已锁仓",_LockStatus="解锁信息不完整"),"违规：锁仓期间禁止加仓",IF(G388="","计划可执行：建议股数见N列",IF(OR(G388&lt;=0,G388&lt;&gt;INT(G388),MOD(G388,100)&lt;&gt;0),"违规：实际股数须为100股整数倍",IF(G388&gt;N388,"违规：实际股数超过风险或金字塔上限",IF(AND(B388&gt;1,G388&gt;SUMIFS($G$2:$G$1001,$A$2:$A$1001,A388,$B$2:$B$1001,B388-1)),"违规：加仓股数须逐次不增加",IF(Q388&gt;F388,"违规：止损风险超过本次预算","通过")))))))))))))))</f>
        <v/>
      </c>
    </row>
    <row r="389" ht="17" spans="1:18">
      <c r="A389" s="13"/>
      <c r="B389" s="14"/>
      <c r="C389" s="15"/>
      <c r="D389" s="16"/>
      <c r="E389" s="16"/>
      <c r="F389" s="16"/>
      <c r="G389" s="14"/>
      <c r="H389" s="17" t="str">
        <f t="shared" si="48"/>
        <v/>
      </c>
      <c r="I389" s="18" t="str">
        <f>IF(OR(A389="",B389=""),"",IFERROR(LOOKUP(2,1/(单次交易!$A$2:$A$201=A389),单次交易!$H$2:$H$201),0)+SUMIFS($G$2:$G$1001,$A$2:$A$1001,A389,$B$2:$B$1001,"&lt;"&amp;B389))</f>
        <v/>
      </c>
      <c r="J389" s="17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17" t="str">
        <f t="shared" si="49"/>
        <v/>
      </c>
      <c r="L389" s="18" t="str">
        <f t="shared" si="50"/>
        <v/>
      </c>
      <c r="M389" s="18" t="str">
        <f t="shared" si="51"/>
        <v/>
      </c>
      <c r="N389" s="18" t="str">
        <f t="shared" si="52"/>
        <v/>
      </c>
      <c r="O389" s="18" t="str">
        <f t="shared" si="53"/>
        <v/>
      </c>
      <c r="P389" s="17" t="str">
        <f t="shared" si="54"/>
        <v/>
      </c>
      <c r="Q389" s="17" t="str">
        <f t="shared" si="55"/>
        <v/>
      </c>
      <c r="R389" s="19" t="str">
        <f ca="1">IF(A389="","",IF(COUNTIF(_TradeIds,A389)=0,"违规：交易编号不存在",IF(OR(B389="",B389&lt;1,B389&gt;5,B389&lt;&gt;INT(B389)),"违规：加仓序号须为1到5的整数",IF(COUNTIFS($A$2:$A$1001,A389,$B$2:$B$1001,B389)&gt;1,"违规：同一交易的加仓序号重复",IF(OR(D389="",E389="",F389=""),"计划不完整：请填写加仓价、新止损价和风险预算",IF(OR(D389&lt;=0,E389&lt;=0,F389&lt;=0,D389&lt;=E389),"违规：加仓价必须高于新止损价，金额须大于0",IF(AND(B389&gt;1,COUNTIFS($A$2:$A$1001,A389,$B$2:$B$1001,B389-1,$G$2:$G$1001,"&gt;0")=0),"违规：须先完成上一次加仓",IF(AND(B389&gt;1,E389&lt;SUMIFS($E$2:$E$1001,$A$2:$A$1001,A389,$B$2:$B$1001,B389-1)),"违规：新止损价不得低于上一次",IF(AND(B389&gt;1,F389&gt;SUMIFS($F$2:$F$1001,$A$2:$A$1001,A389,$B$2:$B$1001,B389-1)),"违规：风险预算须逐次不增加",IF(OR(_LockStatus="已锁仓",_LockStatus="解锁信息不完整"),"违规：锁仓期间禁止加仓",IF(G389="","计划可执行：建议股数见N列",IF(OR(G389&lt;=0,G389&lt;&gt;INT(G389),MOD(G389,100)&lt;&gt;0),"违规：实际股数须为100股整数倍",IF(G389&gt;N389,"违规：实际股数超过风险或金字塔上限",IF(AND(B389&gt;1,G389&gt;SUMIFS($G$2:$G$1001,$A$2:$A$1001,A389,$B$2:$B$1001,B389-1)),"违规：加仓股数须逐次不增加",IF(Q389&gt;F389,"违规：止损风险超过本次预算","通过")))))))))))))))</f>
        <v/>
      </c>
    </row>
    <row r="390" ht="17" spans="1:18">
      <c r="A390" s="13"/>
      <c r="B390" s="14"/>
      <c r="C390" s="15"/>
      <c r="D390" s="16"/>
      <c r="E390" s="16"/>
      <c r="F390" s="16"/>
      <c r="G390" s="14"/>
      <c r="H390" s="17" t="str">
        <f t="shared" si="48"/>
        <v/>
      </c>
      <c r="I390" s="18" t="str">
        <f>IF(OR(A390="",B390=""),"",IFERROR(LOOKUP(2,1/(单次交易!$A$2:$A$201=A390),单次交易!$H$2:$H$201),0)+SUMIFS($G$2:$G$1001,$A$2:$A$1001,A390,$B$2:$B$1001,"&lt;"&amp;B390))</f>
        <v/>
      </c>
      <c r="J390" s="17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17" t="str">
        <f t="shared" si="49"/>
        <v/>
      </c>
      <c r="L390" s="18" t="str">
        <f t="shared" si="50"/>
        <v/>
      </c>
      <c r="M390" s="18" t="str">
        <f t="shared" si="51"/>
        <v/>
      </c>
      <c r="N390" s="18" t="str">
        <f t="shared" si="52"/>
        <v/>
      </c>
      <c r="O390" s="18" t="str">
        <f t="shared" si="53"/>
        <v/>
      </c>
      <c r="P390" s="17" t="str">
        <f t="shared" si="54"/>
        <v/>
      </c>
      <c r="Q390" s="17" t="str">
        <f t="shared" si="55"/>
        <v/>
      </c>
      <c r="R390" s="19" t="str">
        <f ca="1">IF(A390="","",IF(COUNTIF(_TradeIds,A390)=0,"违规：交易编号不存在",IF(OR(B390="",B390&lt;1,B390&gt;5,B390&lt;&gt;INT(B390)),"违规：加仓序号须为1到5的整数",IF(COUNTIFS($A$2:$A$1001,A390,$B$2:$B$1001,B390)&gt;1,"违规：同一交易的加仓序号重复",IF(OR(D390="",E390="",F390=""),"计划不完整：请填写加仓价、新止损价和风险预算",IF(OR(D390&lt;=0,E390&lt;=0,F390&lt;=0,D390&lt;=E390),"违规：加仓价必须高于新止损价，金额须大于0",IF(AND(B390&gt;1,COUNTIFS($A$2:$A$1001,A390,$B$2:$B$1001,B390-1,$G$2:$G$1001,"&gt;0")=0),"违规：须先完成上一次加仓",IF(AND(B390&gt;1,E390&lt;SUMIFS($E$2:$E$1001,$A$2:$A$1001,A390,$B$2:$B$1001,B390-1)),"违规：新止损价不得低于上一次",IF(AND(B390&gt;1,F390&gt;SUMIFS($F$2:$F$1001,$A$2:$A$1001,A390,$B$2:$B$1001,B390-1)),"违规：风险预算须逐次不增加",IF(OR(_LockStatus="已锁仓",_LockStatus="解锁信息不完整"),"违规：锁仓期间禁止加仓",IF(G390="","计划可执行：建议股数见N列",IF(OR(G390&lt;=0,G390&lt;&gt;INT(G390),MOD(G390,100)&lt;&gt;0),"违规：实际股数须为100股整数倍",IF(G390&gt;N390,"违规：实际股数超过风险或金字塔上限",IF(AND(B390&gt;1,G390&gt;SUMIFS($G$2:$G$1001,$A$2:$A$1001,A390,$B$2:$B$1001,B390-1)),"违规：加仓股数须逐次不增加",IF(Q390&gt;F390,"违规：止损风险超过本次预算","通过")))))))))))))))</f>
        <v/>
      </c>
    </row>
    <row r="391" ht="17" spans="1:18">
      <c r="A391" s="13"/>
      <c r="B391" s="14"/>
      <c r="C391" s="15"/>
      <c r="D391" s="16"/>
      <c r="E391" s="16"/>
      <c r="F391" s="16"/>
      <c r="G391" s="14"/>
      <c r="H391" s="17" t="str">
        <f t="shared" si="48"/>
        <v/>
      </c>
      <c r="I391" s="18" t="str">
        <f>IF(OR(A391="",B391=""),"",IFERROR(LOOKUP(2,1/(单次交易!$A$2:$A$201=A391),单次交易!$H$2:$H$201),0)+SUMIFS($G$2:$G$1001,$A$2:$A$1001,A391,$B$2:$B$1001,"&lt;"&amp;B391))</f>
        <v/>
      </c>
      <c r="J391" s="17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17" t="str">
        <f t="shared" si="49"/>
        <v/>
      </c>
      <c r="L391" s="18" t="str">
        <f t="shared" si="50"/>
        <v/>
      </c>
      <c r="M391" s="18" t="str">
        <f t="shared" si="51"/>
        <v/>
      </c>
      <c r="N391" s="18" t="str">
        <f t="shared" si="52"/>
        <v/>
      </c>
      <c r="O391" s="18" t="str">
        <f t="shared" si="53"/>
        <v/>
      </c>
      <c r="P391" s="17" t="str">
        <f t="shared" si="54"/>
        <v/>
      </c>
      <c r="Q391" s="17" t="str">
        <f t="shared" si="55"/>
        <v/>
      </c>
      <c r="R391" s="19" t="str">
        <f ca="1">IF(A391="","",IF(COUNTIF(_TradeIds,A391)=0,"违规：交易编号不存在",IF(OR(B391="",B391&lt;1,B391&gt;5,B391&lt;&gt;INT(B391)),"违规：加仓序号须为1到5的整数",IF(COUNTIFS($A$2:$A$1001,A391,$B$2:$B$1001,B391)&gt;1,"违规：同一交易的加仓序号重复",IF(OR(D391="",E391="",F391=""),"计划不完整：请填写加仓价、新止损价和风险预算",IF(OR(D391&lt;=0,E391&lt;=0,F391&lt;=0,D391&lt;=E391),"违规：加仓价必须高于新止损价，金额须大于0",IF(AND(B391&gt;1,COUNTIFS($A$2:$A$1001,A391,$B$2:$B$1001,B391-1,$G$2:$G$1001,"&gt;0")=0),"违规：须先完成上一次加仓",IF(AND(B391&gt;1,E391&lt;SUMIFS($E$2:$E$1001,$A$2:$A$1001,A391,$B$2:$B$1001,B391-1)),"违规：新止损价不得低于上一次",IF(AND(B391&gt;1,F391&gt;SUMIFS($F$2:$F$1001,$A$2:$A$1001,A391,$B$2:$B$1001,B391-1)),"违规：风险预算须逐次不增加",IF(OR(_LockStatus="已锁仓",_LockStatus="解锁信息不完整"),"违规：锁仓期间禁止加仓",IF(G391="","计划可执行：建议股数见N列",IF(OR(G391&lt;=0,G391&lt;&gt;INT(G391),MOD(G391,100)&lt;&gt;0),"违规：实际股数须为100股整数倍",IF(G391&gt;N391,"违规：实际股数超过风险或金字塔上限",IF(AND(B391&gt;1,G391&gt;SUMIFS($G$2:$G$1001,$A$2:$A$1001,A391,$B$2:$B$1001,B391-1)),"违规：加仓股数须逐次不增加",IF(Q391&gt;F391,"违规：止损风险超过本次预算","通过")))))))))))))))</f>
        <v/>
      </c>
    </row>
    <row r="392" ht="17" spans="1:18">
      <c r="A392" s="13"/>
      <c r="B392" s="14"/>
      <c r="C392" s="15"/>
      <c r="D392" s="16"/>
      <c r="E392" s="16"/>
      <c r="F392" s="16"/>
      <c r="G392" s="14"/>
      <c r="H392" s="17" t="str">
        <f t="shared" si="48"/>
        <v/>
      </c>
      <c r="I392" s="18" t="str">
        <f>IF(OR(A392="",B392=""),"",IFERROR(LOOKUP(2,1/(单次交易!$A$2:$A$201=A392),单次交易!$H$2:$H$201),0)+SUMIFS($G$2:$G$1001,$A$2:$A$1001,A392,$B$2:$B$1001,"&lt;"&amp;B392))</f>
        <v/>
      </c>
      <c r="J392" s="17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17" t="str">
        <f t="shared" si="49"/>
        <v/>
      </c>
      <c r="L392" s="18" t="str">
        <f t="shared" si="50"/>
        <v/>
      </c>
      <c r="M392" s="18" t="str">
        <f t="shared" si="51"/>
        <v/>
      </c>
      <c r="N392" s="18" t="str">
        <f t="shared" si="52"/>
        <v/>
      </c>
      <c r="O392" s="18" t="str">
        <f t="shared" si="53"/>
        <v/>
      </c>
      <c r="P392" s="17" t="str">
        <f t="shared" si="54"/>
        <v/>
      </c>
      <c r="Q392" s="17" t="str">
        <f t="shared" si="55"/>
        <v/>
      </c>
      <c r="R392" s="19" t="str">
        <f ca="1">IF(A392="","",IF(COUNTIF(_TradeIds,A392)=0,"违规：交易编号不存在",IF(OR(B392="",B392&lt;1,B392&gt;5,B392&lt;&gt;INT(B392)),"违规：加仓序号须为1到5的整数",IF(COUNTIFS($A$2:$A$1001,A392,$B$2:$B$1001,B392)&gt;1,"违规：同一交易的加仓序号重复",IF(OR(D392="",E392="",F392=""),"计划不完整：请填写加仓价、新止损价和风险预算",IF(OR(D392&lt;=0,E392&lt;=0,F392&lt;=0,D392&lt;=E392),"违规：加仓价必须高于新止损价，金额须大于0",IF(AND(B392&gt;1,COUNTIFS($A$2:$A$1001,A392,$B$2:$B$1001,B392-1,$G$2:$G$1001,"&gt;0")=0),"违规：须先完成上一次加仓",IF(AND(B392&gt;1,E392&lt;SUMIFS($E$2:$E$1001,$A$2:$A$1001,A392,$B$2:$B$1001,B392-1)),"违规：新止损价不得低于上一次",IF(AND(B392&gt;1,F392&gt;SUMIFS($F$2:$F$1001,$A$2:$A$1001,A392,$B$2:$B$1001,B392-1)),"违规：风险预算须逐次不增加",IF(OR(_LockStatus="已锁仓",_LockStatus="解锁信息不完整"),"违规：锁仓期间禁止加仓",IF(G392="","计划可执行：建议股数见N列",IF(OR(G392&lt;=0,G392&lt;&gt;INT(G392),MOD(G392,100)&lt;&gt;0),"违规：实际股数须为100股整数倍",IF(G392&gt;N392,"违规：实际股数超过风险或金字塔上限",IF(AND(B392&gt;1,G392&gt;SUMIFS($G$2:$G$1001,$A$2:$A$1001,A392,$B$2:$B$1001,B392-1)),"违规：加仓股数须逐次不增加",IF(Q392&gt;F392,"违规：止损风险超过本次预算","通过")))))))))))))))</f>
        <v/>
      </c>
    </row>
    <row r="393" ht="17" spans="1:18">
      <c r="A393" s="13"/>
      <c r="B393" s="14"/>
      <c r="C393" s="15"/>
      <c r="D393" s="16"/>
      <c r="E393" s="16"/>
      <c r="F393" s="16"/>
      <c r="G393" s="14"/>
      <c r="H393" s="17" t="str">
        <f t="shared" si="48"/>
        <v/>
      </c>
      <c r="I393" s="18" t="str">
        <f>IF(OR(A393="",B393=""),"",IFERROR(LOOKUP(2,1/(单次交易!$A$2:$A$201=A393),单次交易!$H$2:$H$201),0)+SUMIFS($G$2:$G$1001,$A$2:$A$1001,A393,$B$2:$B$1001,"&lt;"&amp;B393))</f>
        <v/>
      </c>
      <c r="J393" s="17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17" t="str">
        <f t="shared" si="49"/>
        <v/>
      </c>
      <c r="L393" s="18" t="str">
        <f t="shared" si="50"/>
        <v/>
      </c>
      <c r="M393" s="18" t="str">
        <f t="shared" si="51"/>
        <v/>
      </c>
      <c r="N393" s="18" t="str">
        <f t="shared" si="52"/>
        <v/>
      </c>
      <c r="O393" s="18" t="str">
        <f t="shared" si="53"/>
        <v/>
      </c>
      <c r="P393" s="17" t="str">
        <f t="shared" si="54"/>
        <v/>
      </c>
      <c r="Q393" s="17" t="str">
        <f t="shared" si="55"/>
        <v/>
      </c>
      <c r="R393" s="19" t="str">
        <f ca="1">IF(A393="","",IF(COUNTIF(_TradeIds,A393)=0,"违规：交易编号不存在",IF(OR(B393="",B393&lt;1,B393&gt;5,B393&lt;&gt;INT(B393)),"违规：加仓序号须为1到5的整数",IF(COUNTIFS($A$2:$A$1001,A393,$B$2:$B$1001,B393)&gt;1,"违规：同一交易的加仓序号重复",IF(OR(D393="",E393="",F393=""),"计划不完整：请填写加仓价、新止损价和风险预算",IF(OR(D393&lt;=0,E393&lt;=0,F393&lt;=0,D393&lt;=E393),"违规：加仓价必须高于新止损价，金额须大于0",IF(AND(B393&gt;1,COUNTIFS($A$2:$A$1001,A393,$B$2:$B$1001,B393-1,$G$2:$G$1001,"&gt;0")=0),"违规：须先完成上一次加仓",IF(AND(B393&gt;1,E393&lt;SUMIFS($E$2:$E$1001,$A$2:$A$1001,A393,$B$2:$B$1001,B393-1)),"违规：新止损价不得低于上一次",IF(AND(B393&gt;1,F393&gt;SUMIFS($F$2:$F$1001,$A$2:$A$1001,A393,$B$2:$B$1001,B393-1)),"违规：风险预算须逐次不增加",IF(OR(_LockStatus="已锁仓",_LockStatus="解锁信息不完整"),"违规：锁仓期间禁止加仓",IF(G393="","计划可执行：建议股数见N列",IF(OR(G393&lt;=0,G393&lt;&gt;INT(G393),MOD(G393,100)&lt;&gt;0),"违规：实际股数须为100股整数倍",IF(G393&gt;N393,"违规：实际股数超过风险或金字塔上限",IF(AND(B393&gt;1,G393&gt;SUMIFS($G$2:$G$1001,$A$2:$A$1001,A393,$B$2:$B$1001,B393-1)),"违规：加仓股数须逐次不增加",IF(Q393&gt;F393,"违规：止损风险超过本次预算","通过")))))))))))))))</f>
        <v/>
      </c>
    </row>
    <row r="394" ht="17" spans="1:18">
      <c r="A394" s="13"/>
      <c r="B394" s="14"/>
      <c r="C394" s="15"/>
      <c r="D394" s="16"/>
      <c r="E394" s="16"/>
      <c r="F394" s="16"/>
      <c r="G394" s="14"/>
      <c r="H394" s="17" t="str">
        <f t="shared" si="48"/>
        <v/>
      </c>
      <c r="I394" s="18" t="str">
        <f>IF(OR(A394="",B394=""),"",IFERROR(LOOKUP(2,1/(单次交易!$A$2:$A$201=A394),单次交易!$H$2:$H$201),0)+SUMIFS($G$2:$G$1001,$A$2:$A$1001,A394,$B$2:$B$1001,"&lt;"&amp;B394))</f>
        <v/>
      </c>
      <c r="J394" s="17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17" t="str">
        <f t="shared" si="49"/>
        <v/>
      </c>
      <c r="L394" s="18" t="str">
        <f t="shared" si="50"/>
        <v/>
      </c>
      <c r="M394" s="18" t="str">
        <f t="shared" si="51"/>
        <v/>
      </c>
      <c r="N394" s="18" t="str">
        <f t="shared" si="52"/>
        <v/>
      </c>
      <c r="O394" s="18" t="str">
        <f t="shared" si="53"/>
        <v/>
      </c>
      <c r="P394" s="17" t="str">
        <f t="shared" si="54"/>
        <v/>
      </c>
      <c r="Q394" s="17" t="str">
        <f t="shared" si="55"/>
        <v/>
      </c>
      <c r="R394" s="19" t="str">
        <f ca="1">IF(A394="","",IF(COUNTIF(_TradeIds,A394)=0,"违规：交易编号不存在",IF(OR(B394="",B394&lt;1,B394&gt;5,B394&lt;&gt;INT(B394)),"违规：加仓序号须为1到5的整数",IF(COUNTIFS($A$2:$A$1001,A394,$B$2:$B$1001,B394)&gt;1,"违规：同一交易的加仓序号重复",IF(OR(D394="",E394="",F394=""),"计划不完整：请填写加仓价、新止损价和风险预算",IF(OR(D394&lt;=0,E394&lt;=0,F394&lt;=0,D394&lt;=E394),"违规：加仓价必须高于新止损价，金额须大于0",IF(AND(B394&gt;1,COUNTIFS($A$2:$A$1001,A394,$B$2:$B$1001,B394-1,$G$2:$G$1001,"&gt;0")=0),"违规：须先完成上一次加仓",IF(AND(B394&gt;1,E394&lt;SUMIFS($E$2:$E$1001,$A$2:$A$1001,A394,$B$2:$B$1001,B394-1)),"违规：新止损价不得低于上一次",IF(AND(B394&gt;1,F394&gt;SUMIFS($F$2:$F$1001,$A$2:$A$1001,A394,$B$2:$B$1001,B394-1)),"违规：风险预算须逐次不增加",IF(OR(_LockStatus="已锁仓",_LockStatus="解锁信息不完整"),"违规：锁仓期间禁止加仓",IF(G394="","计划可执行：建议股数见N列",IF(OR(G394&lt;=0,G394&lt;&gt;INT(G394),MOD(G394,100)&lt;&gt;0),"违规：实际股数须为100股整数倍",IF(G394&gt;N394,"违规：实际股数超过风险或金字塔上限",IF(AND(B394&gt;1,G394&gt;SUMIFS($G$2:$G$1001,$A$2:$A$1001,A394,$B$2:$B$1001,B394-1)),"违规：加仓股数须逐次不增加",IF(Q394&gt;F394,"违规：止损风险超过本次预算","通过")))))))))))))))</f>
        <v/>
      </c>
    </row>
    <row r="395" ht="17" spans="1:18">
      <c r="A395" s="13"/>
      <c r="B395" s="14"/>
      <c r="C395" s="15"/>
      <c r="D395" s="16"/>
      <c r="E395" s="16"/>
      <c r="F395" s="16"/>
      <c r="G395" s="14"/>
      <c r="H395" s="17" t="str">
        <f t="shared" si="48"/>
        <v/>
      </c>
      <c r="I395" s="18" t="str">
        <f>IF(OR(A395="",B395=""),"",IFERROR(LOOKUP(2,1/(单次交易!$A$2:$A$201=A395),单次交易!$H$2:$H$201),0)+SUMIFS($G$2:$G$1001,$A$2:$A$1001,A395,$B$2:$B$1001,"&lt;"&amp;B395))</f>
        <v/>
      </c>
      <c r="J395" s="17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17" t="str">
        <f t="shared" si="49"/>
        <v/>
      </c>
      <c r="L395" s="18" t="str">
        <f t="shared" si="50"/>
        <v/>
      </c>
      <c r="M395" s="18" t="str">
        <f t="shared" si="51"/>
        <v/>
      </c>
      <c r="N395" s="18" t="str">
        <f t="shared" si="52"/>
        <v/>
      </c>
      <c r="O395" s="18" t="str">
        <f t="shared" si="53"/>
        <v/>
      </c>
      <c r="P395" s="17" t="str">
        <f t="shared" si="54"/>
        <v/>
      </c>
      <c r="Q395" s="17" t="str">
        <f t="shared" si="55"/>
        <v/>
      </c>
      <c r="R395" s="19" t="str">
        <f ca="1">IF(A395="","",IF(COUNTIF(_TradeIds,A395)=0,"违规：交易编号不存在",IF(OR(B395="",B395&lt;1,B395&gt;5,B395&lt;&gt;INT(B395)),"违规：加仓序号须为1到5的整数",IF(COUNTIFS($A$2:$A$1001,A395,$B$2:$B$1001,B395)&gt;1,"违规：同一交易的加仓序号重复",IF(OR(D395="",E395="",F395=""),"计划不完整：请填写加仓价、新止损价和风险预算",IF(OR(D395&lt;=0,E395&lt;=0,F395&lt;=0,D395&lt;=E395),"违规：加仓价必须高于新止损价，金额须大于0",IF(AND(B395&gt;1,COUNTIFS($A$2:$A$1001,A395,$B$2:$B$1001,B395-1,$G$2:$G$1001,"&gt;0")=0),"违规：须先完成上一次加仓",IF(AND(B395&gt;1,E395&lt;SUMIFS($E$2:$E$1001,$A$2:$A$1001,A395,$B$2:$B$1001,B395-1)),"违规：新止损价不得低于上一次",IF(AND(B395&gt;1,F395&gt;SUMIFS($F$2:$F$1001,$A$2:$A$1001,A395,$B$2:$B$1001,B395-1)),"违规：风险预算须逐次不增加",IF(OR(_LockStatus="已锁仓",_LockStatus="解锁信息不完整"),"违规：锁仓期间禁止加仓",IF(G395="","计划可执行：建议股数见N列",IF(OR(G395&lt;=0,G395&lt;&gt;INT(G395),MOD(G395,100)&lt;&gt;0),"违规：实际股数须为100股整数倍",IF(G395&gt;N395,"违规：实际股数超过风险或金字塔上限",IF(AND(B395&gt;1,G395&gt;SUMIFS($G$2:$G$1001,$A$2:$A$1001,A395,$B$2:$B$1001,B395-1)),"违规：加仓股数须逐次不增加",IF(Q395&gt;F395,"违规：止损风险超过本次预算","通过")))))))))))))))</f>
        <v/>
      </c>
    </row>
    <row r="396" ht="17" spans="1:18">
      <c r="A396" s="13"/>
      <c r="B396" s="14"/>
      <c r="C396" s="15"/>
      <c r="D396" s="16"/>
      <c r="E396" s="16"/>
      <c r="F396" s="16"/>
      <c r="G396" s="14"/>
      <c r="H396" s="17" t="str">
        <f t="shared" si="48"/>
        <v/>
      </c>
      <c r="I396" s="18" t="str">
        <f>IF(OR(A396="",B396=""),"",IFERROR(LOOKUP(2,1/(单次交易!$A$2:$A$201=A396),单次交易!$H$2:$H$201),0)+SUMIFS($G$2:$G$1001,$A$2:$A$1001,A396,$B$2:$B$1001,"&lt;"&amp;B396))</f>
        <v/>
      </c>
      <c r="J396" s="17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17" t="str">
        <f t="shared" si="49"/>
        <v/>
      </c>
      <c r="L396" s="18" t="str">
        <f t="shared" si="50"/>
        <v/>
      </c>
      <c r="M396" s="18" t="str">
        <f t="shared" si="51"/>
        <v/>
      </c>
      <c r="N396" s="18" t="str">
        <f t="shared" si="52"/>
        <v/>
      </c>
      <c r="O396" s="18" t="str">
        <f t="shared" si="53"/>
        <v/>
      </c>
      <c r="P396" s="17" t="str">
        <f t="shared" si="54"/>
        <v/>
      </c>
      <c r="Q396" s="17" t="str">
        <f t="shared" si="55"/>
        <v/>
      </c>
      <c r="R396" s="19" t="str">
        <f ca="1">IF(A396="","",IF(COUNTIF(_TradeIds,A396)=0,"违规：交易编号不存在",IF(OR(B396="",B396&lt;1,B396&gt;5,B396&lt;&gt;INT(B396)),"违规：加仓序号须为1到5的整数",IF(COUNTIFS($A$2:$A$1001,A396,$B$2:$B$1001,B396)&gt;1,"违规：同一交易的加仓序号重复",IF(OR(D396="",E396="",F396=""),"计划不完整：请填写加仓价、新止损价和风险预算",IF(OR(D396&lt;=0,E396&lt;=0,F396&lt;=0,D396&lt;=E396),"违规：加仓价必须高于新止损价，金额须大于0",IF(AND(B396&gt;1,COUNTIFS($A$2:$A$1001,A396,$B$2:$B$1001,B396-1,$G$2:$G$1001,"&gt;0")=0),"违规：须先完成上一次加仓",IF(AND(B396&gt;1,E396&lt;SUMIFS($E$2:$E$1001,$A$2:$A$1001,A396,$B$2:$B$1001,B396-1)),"违规：新止损价不得低于上一次",IF(AND(B396&gt;1,F396&gt;SUMIFS($F$2:$F$1001,$A$2:$A$1001,A396,$B$2:$B$1001,B396-1)),"违规：风险预算须逐次不增加",IF(OR(_LockStatus="已锁仓",_LockStatus="解锁信息不完整"),"违规：锁仓期间禁止加仓",IF(G396="","计划可执行：建议股数见N列",IF(OR(G396&lt;=0,G396&lt;&gt;INT(G396),MOD(G396,100)&lt;&gt;0),"违规：实际股数须为100股整数倍",IF(G396&gt;N396,"违规：实际股数超过风险或金字塔上限",IF(AND(B396&gt;1,G396&gt;SUMIFS($G$2:$G$1001,$A$2:$A$1001,A396,$B$2:$B$1001,B396-1)),"违规：加仓股数须逐次不增加",IF(Q396&gt;F396,"违规：止损风险超过本次预算","通过")))))))))))))))</f>
        <v/>
      </c>
    </row>
    <row r="397" ht="17" spans="1:18">
      <c r="A397" s="13"/>
      <c r="B397" s="14"/>
      <c r="C397" s="15"/>
      <c r="D397" s="16"/>
      <c r="E397" s="16"/>
      <c r="F397" s="16"/>
      <c r="G397" s="14"/>
      <c r="H397" s="17" t="str">
        <f t="shared" si="48"/>
        <v/>
      </c>
      <c r="I397" s="18" t="str">
        <f>IF(OR(A397="",B397=""),"",IFERROR(LOOKUP(2,1/(单次交易!$A$2:$A$201=A397),单次交易!$H$2:$H$201),0)+SUMIFS($G$2:$G$1001,$A$2:$A$1001,A397,$B$2:$B$1001,"&lt;"&amp;B397))</f>
        <v/>
      </c>
      <c r="J397" s="17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17" t="str">
        <f t="shared" si="49"/>
        <v/>
      </c>
      <c r="L397" s="18" t="str">
        <f t="shared" si="50"/>
        <v/>
      </c>
      <c r="M397" s="18" t="str">
        <f t="shared" si="51"/>
        <v/>
      </c>
      <c r="N397" s="18" t="str">
        <f t="shared" si="52"/>
        <v/>
      </c>
      <c r="O397" s="18" t="str">
        <f t="shared" si="53"/>
        <v/>
      </c>
      <c r="P397" s="17" t="str">
        <f t="shared" si="54"/>
        <v/>
      </c>
      <c r="Q397" s="17" t="str">
        <f t="shared" si="55"/>
        <v/>
      </c>
      <c r="R397" s="19" t="str">
        <f ca="1">IF(A397="","",IF(COUNTIF(_TradeIds,A397)=0,"违规：交易编号不存在",IF(OR(B397="",B397&lt;1,B397&gt;5,B397&lt;&gt;INT(B397)),"违规：加仓序号须为1到5的整数",IF(COUNTIFS($A$2:$A$1001,A397,$B$2:$B$1001,B397)&gt;1,"违规：同一交易的加仓序号重复",IF(OR(D397="",E397="",F397=""),"计划不完整：请填写加仓价、新止损价和风险预算",IF(OR(D397&lt;=0,E397&lt;=0,F397&lt;=0,D397&lt;=E397),"违规：加仓价必须高于新止损价，金额须大于0",IF(AND(B397&gt;1,COUNTIFS($A$2:$A$1001,A397,$B$2:$B$1001,B397-1,$G$2:$G$1001,"&gt;0")=0),"违规：须先完成上一次加仓",IF(AND(B397&gt;1,E397&lt;SUMIFS($E$2:$E$1001,$A$2:$A$1001,A397,$B$2:$B$1001,B397-1)),"违规：新止损价不得低于上一次",IF(AND(B397&gt;1,F397&gt;SUMIFS($F$2:$F$1001,$A$2:$A$1001,A397,$B$2:$B$1001,B397-1)),"违规：风险预算须逐次不增加",IF(OR(_LockStatus="已锁仓",_LockStatus="解锁信息不完整"),"违规：锁仓期间禁止加仓",IF(G397="","计划可执行：建议股数见N列",IF(OR(G397&lt;=0,G397&lt;&gt;INT(G397),MOD(G397,100)&lt;&gt;0),"违规：实际股数须为100股整数倍",IF(G397&gt;N397,"违规：实际股数超过风险或金字塔上限",IF(AND(B397&gt;1,G397&gt;SUMIFS($G$2:$G$1001,$A$2:$A$1001,A397,$B$2:$B$1001,B397-1)),"违规：加仓股数须逐次不增加",IF(Q397&gt;F397,"违规：止损风险超过本次预算","通过")))))))))))))))</f>
        <v/>
      </c>
    </row>
    <row r="398" ht="17" spans="1:18">
      <c r="A398" s="13"/>
      <c r="B398" s="14"/>
      <c r="C398" s="15"/>
      <c r="D398" s="16"/>
      <c r="E398" s="16"/>
      <c r="F398" s="16"/>
      <c r="G398" s="14"/>
      <c r="H398" s="17" t="str">
        <f t="shared" si="48"/>
        <v/>
      </c>
      <c r="I398" s="18" t="str">
        <f>IF(OR(A398="",B398=""),"",IFERROR(LOOKUP(2,1/(单次交易!$A$2:$A$201=A398),单次交易!$H$2:$H$201),0)+SUMIFS($G$2:$G$1001,$A$2:$A$1001,A398,$B$2:$B$1001,"&lt;"&amp;B398))</f>
        <v/>
      </c>
      <c r="J398" s="17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17" t="str">
        <f t="shared" si="49"/>
        <v/>
      </c>
      <c r="L398" s="18" t="str">
        <f t="shared" si="50"/>
        <v/>
      </c>
      <c r="M398" s="18" t="str">
        <f t="shared" si="51"/>
        <v/>
      </c>
      <c r="N398" s="18" t="str">
        <f t="shared" si="52"/>
        <v/>
      </c>
      <c r="O398" s="18" t="str">
        <f t="shared" si="53"/>
        <v/>
      </c>
      <c r="P398" s="17" t="str">
        <f t="shared" si="54"/>
        <v/>
      </c>
      <c r="Q398" s="17" t="str">
        <f t="shared" si="55"/>
        <v/>
      </c>
      <c r="R398" s="19" t="str">
        <f ca="1">IF(A398="","",IF(COUNTIF(_TradeIds,A398)=0,"违规：交易编号不存在",IF(OR(B398="",B398&lt;1,B398&gt;5,B398&lt;&gt;INT(B398)),"违规：加仓序号须为1到5的整数",IF(COUNTIFS($A$2:$A$1001,A398,$B$2:$B$1001,B398)&gt;1,"违规：同一交易的加仓序号重复",IF(OR(D398="",E398="",F398=""),"计划不完整：请填写加仓价、新止损价和风险预算",IF(OR(D398&lt;=0,E398&lt;=0,F398&lt;=0,D398&lt;=E398),"违规：加仓价必须高于新止损价，金额须大于0",IF(AND(B398&gt;1,COUNTIFS($A$2:$A$1001,A398,$B$2:$B$1001,B398-1,$G$2:$G$1001,"&gt;0")=0),"违规：须先完成上一次加仓",IF(AND(B398&gt;1,E398&lt;SUMIFS($E$2:$E$1001,$A$2:$A$1001,A398,$B$2:$B$1001,B398-1)),"违规：新止损价不得低于上一次",IF(AND(B398&gt;1,F398&gt;SUMIFS($F$2:$F$1001,$A$2:$A$1001,A398,$B$2:$B$1001,B398-1)),"违规：风险预算须逐次不增加",IF(OR(_LockStatus="已锁仓",_LockStatus="解锁信息不完整"),"违规：锁仓期间禁止加仓",IF(G398="","计划可执行：建议股数见N列",IF(OR(G398&lt;=0,G398&lt;&gt;INT(G398),MOD(G398,100)&lt;&gt;0),"违规：实际股数须为100股整数倍",IF(G398&gt;N398,"违规：实际股数超过风险或金字塔上限",IF(AND(B398&gt;1,G398&gt;SUMIFS($G$2:$G$1001,$A$2:$A$1001,A398,$B$2:$B$1001,B398-1)),"违规：加仓股数须逐次不增加",IF(Q398&gt;F398,"违规：止损风险超过本次预算","通过")))))))))))))))</f>
        <v/>
      </c>
    </row>
    <row r="399" ht="17" spans="1:18">
      <c r="A399" s="13"/>
      <c r="B399" s="14"/>
      <c r="C399" s="15"/>
      <c r="D399" s="16"/>
      <c r="E399" s="16"/>
      <c r="F399" s="16"/>
      <c r="G399" s="14"/>
      <c r="H399" s="17" t="str">
        <f t="shared" si="48"/>
        <v/>
      </c>
      <c r="I399" s="18" t="str">
        <f>IF(OR(A399="",B399=""),"",IFERROR(LOOKUP(2,1/(单次交易!$A$2:$A$201=A399),单次交易!$H$2:$H$201),0)+SUMIFS($G$2:$G$1001,$A$2:$A$1001,A399,$B$2:$B$1001,"&lt;"&amp;B399))</f>
        <v/>
      </c>
      <c r="J399" s="17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17" t="str">
        <f t="shared" si="49"/>
        <v/>
      </c>
      <c r="L399" s="18" t="str">
        <f t="shared" si="50"/>
        <v/>
      </c>
      <c r="M399" s="18" t="str">
        <f t="shared" si="51"/>
        <v/>
      </c>
      <c r="N399" s="18" t="str">
        <f t="shared" si="52"/>
        <v/>
      </c>
      <c r="O399" s="18" t="str">
        <f t="shared" si="53"/>
        <v/>
      </c>
      <c r="P399" s="17" t="str">
        <f t="shared" si="54"/>
        <v/>
      </c>
      <c r="Q399" s="17" t="str">
        <f t="shared" si="55"/>
        <v/>
      </c>
      <c r="R399" s="19" t="str">
        <f ca="1">IF(A399="","",IF(COUNTIF(_TradeIds,A399)=0,"违规：交易编号不存在",IF(OR(B399="",B399&lt;1,B399&gt;5,B399&lt;&gt;INT(B399)),"违规：加仓序号须为1到5的整数",IF(COUNTIFS($A$2:$A$1001,A399,$B$2:$B$1001,B399)&gt;1,"违规：同一交易的加仓序号重复",IF(OR(D399="",E399="",F399=""),"计划不完整：请填写加仓价、新止损价和风险预算",IF(OR(D399&lt;=0,E399&lt;=0,F399&lt;=0,D399&lt;=E399),"违规：加仓价必须高于新止损价，金额须大于0",IF(AND(B399&gt;1,COUNTIFS($A$2:$A$1001,A399,$B$2:$B$1001,B399-1,$G$2:$G$1001,"&gt;0")=0),"违规：须先完成上一次加仓",IF(AND(B399&gt;1,E399&lt;SUMIFS($E$2:$E$1001,$A$2:$A$1001,A399,$B$2:$B$1001,B399-1)),"违规：新止损价不得低于上一次",IF(AND(B399&gt;1,F399&gt;SUMIFS($F$2:$F$1001,$A$2:$A$1001,A399,$B$2:$B$1001,B399-1)),"违规：风险预算须逐次不增加",IF(OR(_LockStatus="已锁仓",_LockStatus="解锁信息不完整"),"违规：锁仓期间禁止加仓",IF(G399="","计划可执行：建议股数见N列",IF(OR(G399&lt;=0,G399&lt;&gt;INT(G399),MOD(G399,100)&lt;&gt;0),"违规：实际股数须为100股整数倍",IF(G399&gt;N399,"违规：实际股数超过风险或金字塔上限",IF(AND(B399&gt;1,G399&gt;SUMIFS($G$2:$G$1001,$A$2:$A$1001,A399,$B$2:$B$1001,B399-1)),"违规：加仓股数须逐次不增加",IF(Q399&gt;F399,"违规：止损风险超过本次预算","通过")))))))))))))))</f>
        <v/>
      </c>
    </row>
    <row r="400" ht="17" spans="1:18">
      <c r="A400" s="13"/>
      <c r="B400" s="14"/>
      <c r="C400" s="15"/>
      <c r="D400" s="16"/>
      <c r="E400" s="16"/>
      <c r="F400" s="16"/>
      <c r="G400" s="14"/>
      <c r="H400" s="17" t="str">
        <f t="shared" si="48"/>
        <v/>
      </c>
      <c r="I400" s="18" t="str">
        <f>IF(OR(A400="",B400=""),"",IFERROR(LOOKUP(2,1/(单次交易!$A$2:$A$201=A400),单次交易!$H$2:$H$201),0)+SUMIFS($G$2:$G$1001,$A$2:$A$1001,A400,$B$2:$B$1001,"&lt;"&amp;B400))</f>
        <v/>
      </c>
      <c r="J400" s="17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17" t="str">
        <f t="shared" si="49"/>
        <v/>
      </c>
      <c r="L400" s="18" t="str">
        <f t="shared" si="50"/>
        <v/>
      </c>
      <c r="M400" s="18" t="str">
        <f t="shared" si="51"/>
        <v/>
      </c>
      <c r="N400" s="18" t="str">
        <f t="shared" si="52"/>
        <v/>
      </c>
      <c r="O400" s="18" t="str">
        <f t="shared" si="53"/>
        <v/>
      </c>
      <c r="P400" s="17" t="str">
        <f t="shared" si="54"/>
        <v/>
      </c>
      <c r="Q400" s="17" t="str">
        <f t="shared" si="55"/>
        <v/>
      </c>
      <c r="R400" s="19" t="str">
        <f ca="1">IF(A400="","",IF(COUNTIF(_TradeIds,A400)=0,"违规：交易编号不存在",IF(OR(B400="",B400&lt;1,B400&gt;5,B400&lt;&gt;INT(B400)),"违规：加仓序号须为1到5的整数",IF(COUNTIFS($A$2:$A$1001,A400,$B$2:$B$1001,B400)&gt;1,"违规：同一交易的加仓序号重复",IF(OR(D400="",E400="",F400=""),"计划不完整：请填写加仓价、新止损价和风险预算",IF(OR(D400&lt;=0,E400&lt;=0,F400&lt;=0,D400&lt;=E400),"违规：加仓价必须高于新止损价，金额须大于0",IF(AND(B400&gt;1,COUNTIFS($A$2:$A$1001,A400,$B$2:$B$1001,B400-1,$G$2:$G$1001,"&gt;0")=0),"违规：须先完成上一次加仓",IF(AND(B400&gt;1,E400&lt;SUMIFS($E$2:$E$1001,$A$2:$A$1001,A400,$B$2:$B$1001,B400-1)),"违规：新止损价不得低于上一次",IF(AND(B400&gt;1,F400&gt;SUMIFS($F$2:$F$1001,$A$2:$A$1001,A400,$B$2:$B$1001,B400-1)),"违规：风险预算须逐次不增加",IF(OR(_LockStatus="已锁仓",_LockStatus="解锁信息不完整"),"违规：锁仓期间禁止加仓",IF(G400="","计划可执行：建议股数见N列",IF(OR(G400&lt;=0,G400&lt;&gt;INT(G400),MOD(G400,100)&lt;&gt;0),"违规：实际股数须为100股整数倍",IF(G400&gt;N400,"违规：实际股数超过风险或金字塔上限",IF(AND(B400&gt;1,G400&gt;SUMIFS($G$2:$G$1001,$A$2:$A$1001,A400,$B$2:$B$1001,B400-1)),"违规：加仓股数须逐次不增加",IF(Q400&gt;F400,"违规：止损风险超过本次预算","通过")))))))))))))))</f>
        <v/>
      </c>
    </row>
    <row r="401" ht="17" spans="1:18">
      <c r="A401" s="13"/>
      <c r="B401" s="14"/>
      <c r="C401" s="15"/>
      <c r="D401" s="16"/>
      <c r="E401" s="16"/>
      <c r="F401" s="16"/>
      <c r="G401" s="14"/>
      <c r="H401" s="17" t="str">
        <f t="shared" si="48"/>
        <v/>
      </c>
      <c r="I401" s="18" t="str">
        <f>IF(OR(A401="",B401=""),"",IFERROR(LOOKUP(2,1/(单次交易!$A$2:$A$201=A401),单次交易!$H$2:$H$201),0)+SUMIFS($G$2:$G$1001,$A$2:$A$1001,A401,$B$2:$B$1001,"&lt;"&amp;B401))</f>
        <v/>
      </c>
      <c r="J401" s="17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17" t="str">
        <f t="shared" si="49"/>
        <v/>
      </c>
      <c r="L401" s="18" t="str">
        <f t="shared" si="50"/>
        <v/>
      </c>
      <c r="M401" s="18" t="str">
        <f t="shared" si="51"/>
        <v/>
      </c>
      <c r="N401" s="18" t="str">
        <f t="shared" si="52"/>
        <v/>
      </c>
      <c r="O401" s="18" t="str">
        <f t="shared" si="53"/>
        <v/>
      </c>
      <c r="P401" s="17" t="str">
        <f t="shared" si="54"/>
        <v/>
      </c>
      <c r="Q401" s="17" t="str">
        <f t="shared" si="55"/>
        <v/>
      </c>
      <c r="R401" s="19" t="str">
        <f ca="1">IF(A401="","",IF(COUNTIF(_TradeIds,A401)=0,"违规：交易编号不存在",IF(OR(B401="",B401&lt;1,B401&gt;5,B401&lt;&gt;INT(B401)),"违规：加仓序号须为1到5的整数",IF(COUNTIFS($A$2:$A$1001,A401,$B$2:$B$1001,B401)&gt;1,"违规：同一交易的加仓序号重复",IF(OR(D401="",E401="",F401=""),"计划不完整：请填写加仓价、新止损价和风险预算",IF(OR(D401&lt;=0,E401&lt;=0,F401&lt;=0,D401&lt;=E401),"违规：加仓价必须高于新止损价，金额须大于0",IF(AND(B401&gt;1,COUNTIFS($A$2:$A$1001,A401,$B$2:$B$1001,B401-1,$G$2:$G$1001,"&gt;0")=0),"违规：须先完成上一次加仓",IF(AND(B401&gt;1,E401&lt;SUMIFS($E$2:$E$1001,$A$2:$A$1001,A401,$B$2:$B$1001,B401-1)),"违规：新止损价不得低于上一次",IF(AND(B401&gt;1,F401&gt;SUMIFS($F$2:$F$1001,$A$2:$A$1001,A401,$B$2:$B$1001,B401-1)),"违规：风险预算须逐次不增加",IF(OR(_LockStatus="已锁仓",_LockStatus="解锁信息不完整"),"违规：锁仓期间禁止加仓",IF(G401="","计划可执行：建议股数见N列",IF(OR(G401&lt;=0,G401&lt;&gt;INT(G401),MOD(G401,100)&lt;&gt;0),"违规：实际股数须为100股整数倍",IF(G401&gt;N401,"违规：实际股数超过风险或金字塔上限",IF(AND(B401&gt;1,G401&gt;SUMIFS($G$2:$G$1001,$A$2:$A$1001,A401,$B$2:$B$1001,B401-1)),"违规：加仓股数须逐次不增加",IF(Q401&gt;F401,"违规：止损风险超过本次预算","通过")))))))))))))))</f>
        <v/>
      </c>
    </row>
    <row r="402" ht="17" spans="1:18">
      <c r="A402" s="13"/>
      <c r="B402" s="14"/>
      <c r="C402" s="15"/>
      <c r="D402" s="16"/>
      <c r="E402" s="16"/>
      <c r="F402" s="16"/>
      <c r="G402" s="14"/>
      <c r="H402" s="17" t="str">
        <f t="shared" si="48"/>
        <v/>
      </c>
      <c r="I402" s="18" t="str">
        <f>IF(OR(A402="",B402=""),"",IFERROR(LOOKUP(2,1/(单次交易!$A$2:$A$201=A402),单次交易!$H$2:$H$201),0)+SUMIFS($G$2:$G$1001,$A$2:$A$1001,A402,$B$2:$B$1001,"&lt;"&amp;B402))</f>
        <v/>
      </c>
      <c r="J402" s="17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17" t="str">
        <f t="shared" si="49"/>
        <v/>
      </c>
      <c r="L402" s="18" t="str">
        <f t="shared" si="50"/>
        <v/>
      </c>
      <c r="M402" s="18" t="str">
        <f t="shared" si="51"/>
        <v/>
      </c>
      <c r="N402" s="18" t="str">
        <f t="shared" si="52"/>
        <v/>
      </c>
      <c r="O402" s="18" t="str">
        <f t="shared" si="53"/>
        <v/>
      </c>
      <c r="P402" s="17" t="str">
        <f t="shared" si="54"/>
        <v/>
      </c>
      <c r="Q402" s="17" t="str">
        <f t="shared" si="55"/>
        <v/>
      </c>
      <c r="R402" s="19" t="str">
        <f ca="1">IF(A402="","",IF(COUNTIF(_TradeIds,A402)=0,"违规：交易编号不存在",IF(OR(B402="",B402&lt;1,B402&gt;5,B402&lt;&gt;INT(B402)),"违规：加仓序号须为1到5的整数",IF(COUNTIFS($A$2:$A$1001,A402,$B$2:$B$1001,B402)&gt;1,"违规：同一交易的加仓序号重复",IF(OR(D402="",E402="",F402=""),"计划不完整：请填写加仓价、新止损价和风险预算",IF(OR(D402&lt;=0,E402&lt;=0,F402&lt;=0,D402&lt;=E402),"违规：加仓价必须高于新止损价，金额须大于0",IF(AND(B402&gt;1,COUNTIFS($A$2:$A$1001,A402,$B$2:$B$1001,B402-1,$G$2:$G$1001,"&gt;0")=0),"违规：须先完成上一次加仓",IF(AND(B402&gt;1,E402&lt;SUMIFS($E$2:$E$1001,$A$2:$A$1001,A402,$B$2:$B$1001,B402-1)),"违规：新止损价不得低于上一次",IF(AND(B402&gt;1,F402&gt;SUMIFS($F$2:$F$1001,$A$2:$A$1001,A402,$B$2:$B$1001,B402-1)),"违规：风险预算须逐次不增加",IF(OR(_LockStatus="已锁仓",_LockStatus="解锁信息不完整"),"违规：锁仓期间禁止加仓",IF(G402="","计划可执行：建议股数见N列",IF(OR(G402&lt;=0,G402&lt;&gt;INT(G402),MOD(G402,100)&lt;&gt;0),"违规：实际股数须为100股整数倍",IF(G402&gt;N402,"违规：实际股数超过风险或金字塔上限",IF(AND(B402&gt;1,G402&gt;SUMIFS($G$2:$G$1001,$A$2:$A$1001,A402,$B$2:$B$1001,B402-1)),"违规：加仓股数须逐次不增加",IF(Q402&gt;F402,"违规：止损风险超过本次预算","通过")))))))))))))))</f>
        <v/>
      </c>
    </row>
    <row r="403" ht="17" spans="1:18">
      <c r="A403" s="13"/>
      <c r="B403" s="14"/>
      <c r="C403" s="15"/>
      <c r="D403" s="16"/>
      <c r="E403" s="16"/>
      <c r="F403" s="16"/>
      <c r="G403" s="14"/>
      <c r="H403" s="17" t="str">
        <f t="shared" si="48"/>
        <v/>
      </c>
      <c r="I403" s="18" t="str">
        <f>IF(OR(A403="",B403=""),"",IFERROR(LOOKUP(2,1/(单次交易!$A$2:$A$201=A403),单次交易!$H$2:$H$201),0)+SUMIFS($G$2:$G$1001,$A$2:$A$1001,A403,$B$2:$B$1001,"&lt;"&amp;B403))</f>
        <v/>
      </c>
      <c r="J403" s="17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17" t="str">
        <f t="shared" si="49"/>
        <v/>
      </c>
      <c r="L403" s="18" t="str">
        <f t="shared" si="50"/>
        <v/>
      </c>
      <c r="M403" s="18" t="str">
        <f t="shared" si="51"/>
        <v/>
      </c>
      <c r="N403" s="18" t="str">
        <f t="shared" si="52"/>
        <v/>
      </c>
      <c r="O403" s="18" t="str">
        <f t="shared" si="53"/>
        <v/>
      </c>
      <c r="P403" s="17" t="str">
        <f t="shared" si="54"/>
        <v/>
      </c>
      <c r="Q403" s="17" t="str">
        <f t="shared" si="55"/>
        <v/>
      </c>
      <c r="R403" s="19" t="str">
        <f ca="1">IF(A403="","",IF(COUNTIF(_TradeIds,A403)=0,"违规：交易编号不存在",IF(OR(B403="",B403&lt;1,B403&gt;5,B403&lt;&gt;INT(B403)),"违规：加仓序号须为1到5的整数",IF(COUNTIFS($A$2:$A$1001,A403,$B$2:$B$1001,B403)&gt;1,"违规：同一交易的加仓序号重复",IF(OR(D403="",E403="",F403=""),"计划不完整：请填写加仓价、新止损价和风险预算",IF(OR(D403&lt;=0,E403&lt;=0,F403&lt;=0,D403&lt;=E403),"违规：加仓价必须高于新止损价，金额须大于0",IF(AND(B403&gt;1,COUNTIFS($A$2:$A$1001,A403,$B$2:$B$1001,B403-1,$G$2:$G$1001,"&gt;0")=0),"违规：须先完成上一次加仓",IF(AND(B403&gt;1,E403&lt;SUMIFS($E$2:$E$1001,$A$2:$A$1001,A403,$B$2:$B$1001,B403-1)),"违规：新止损价不得低于上一次",IF(AND(B403&gt;1,F403&gt;SUMIFS($F$2:$F$1001,$A$2:$A$1001,A403,$B$2:$B$1001,B403-1)),"违规：风险预算须逐次不增加",IF(OR(_LockStatus="已锁仓",_LockStatus="解锁信息不完整"),"违规：锁仓期间禁止加仓",IF(G403="","计划可执行：建议股数见N列",IF(OR(G403&lt;=0,G403&lt;&gt;INT(G403),MOD(G403,100)&lt;&gt;0),"违规：实际股数须为100股整数倍",IF(G403&gt;N403,"违规：实际股数超过风险或金字塔上限",IF(AND(B403&gt;1,G403&gt;SUMIFS($G$2:$G$1001,$A$2:$A$1001,A403,$B$2:$B$1001,B403-1)),"违规：加仓股数须逐次不增加",IF(Q403&gt;F403,"违规：止损风险超过本次预算","通过")))))))))))))))</f>
        <v/>
      </c>
    </row>
    <row r="404" ht="17" spans="1:18">
      <c r="A404" s="13"/>
      <c r="B404" s="14"/>
      <c r="C404" s="15"/>
      <c r="D404" s="16"/>
      <c r="E404" s="16"/>
      <c r="F404" s="16"/>
      <c r="G404" s="14"/>
      <c r="H404" s="17" t="str">
        <f t="shared" si="48"/>
        <v/>
      </c>
      <c r="I404" s="18" t="str">
        <f>IF(OR(A404="",B404=""),"",IFERROR(LOOKUP(2,1/(单次交易!$A$2:$A$201=A404),单次交易!$H$2:$H$201),0)+SUMIFS($G$2:$G$1001,$A$2:$A$1001,A404,$B$2:$B$1001,"&lt;"&amp;B404))</f>
        <v/>
      </c>
      <c r="J404" s="17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17" t="str">
        <f t="shared" si="49"/>
        <v/>
      </c>
      <c r="L404" s="18" t="str">
        <f t="shared" si="50"/>
        <v/>
      </c>
      <c r="M404" s="18" t="str">
        <f t="shared" si="51"/>
        <v/>
      </c>
      <c r="N404" s="18" t="str">
        <f t="shared" si="52"/>
        <v/>
      </c>
      <c r="O404" s="18" t="str">
        <f t="shared" si="53"/>
        <v/>
      </c>
      <c r="P404" s="17" t="str">
        <f t="shared" si="54"/>
        <v/>
      </c>
      <c r="Q404" s="17" t="str">
        <f t="shared" si="55"/>
        <v/>
      </c>
      <c r="R404" s="19" t="str">
        <f ca="1">IF(A404="","",IF(COUNTIF(_TradeIds,A404)=0,"违规：交易编号不存在",IF(OR(B404="",B404&lt;1,B404&gt;5,B404&lt;&gt;INT(B404)),"违规：加仓序号须为1到5的整数",IF(COUNTIFS($A$2:$A$1001,A404,$B$2:$B$1001,B404)&gt;1,"违规：同一交易的加仓序号重复",IF(OR(D404="",E404="",F404=""),"计划不完整：请填写加仓价、新止损价和风险预算",IF(OR(D404&lt;=0,E404&lt;=0,F404&lt;=0,D404&lt;=E404),"违规：加仓价必须高于新止损价，金额须大于0",IF(AND(B404&gt;1,COUNTIFS($A$2:$A$1001,A404,$B$2:$B$1001,B404-1,$G$2:$G$1001,"&gt;0")=0),"违规：须先完成上一次加仓",IF(AND(B404&gt;1,E404&lt;SUMIFS($E$2:$E$1001,$A$2:$A$1001,A404,$B$2:$B$1001,B404-1)),"违规：新止损价不得低于上一次",IF(AND(B404&gt;1,F404&gt;SUMIFS($F$2:$F$1001,$A$2:$A$1001,A404,$B$2:$B$1001,B404-1)),"违规：风险预算须逐次不增加",IF(OR(_LockStatus="已锁仓",_LockStatus="解锁信息不完整"),"违规：锁仓期间禁止加仓",IF(G404="","计划可执行：建议股数见N列",IF(OR(G404&lt;=0,G404&lt;&gt;INT(G404),MOD(G404,100)&lt;&gt;0),"违规：实际股数须为100股整数倍",IF(G404&gt;N404,"违规：实际股数超过风险或金字塔上限",IF(AND(B404&gt;1,G404&gt;SUMIFS($G$2:$G$1001,$A$2:$A$1001,A404,$B$2:$B$1001,B404-1)),"违规：加仓股数须逐次不增加",IF(Q404&gt;F404,"违规：止损风险超过本次预算","通过")))))))))))))))</f>
        <v/>
      </c>
    </row>
    <row r="405" ht="17" spans="1:18">
      <c r="A405" s="13"/>
      <c r="B405" s="14"/>
      <c r="C405" s="15"/>
      <c r="D405" s="16"/>
      <c r="E405" s="16"/>
      <c r="F405" s="16"/>
      <c r="G405" s="14"/>
      <c r="H405" s="17" t="str">
        <f t="shared" si="48"/>
        <v/>
      </c>
      <c r="I405" s="18" t="str">
        <f>IF(OR(A405="",B405=""),"",IFERROR(LOOKUP(2,1/(单次交易!$A$2:$A$201=A405),单次交易!$H$2:$H$201),0)+SUMIFS($G$2:$G$1001,$A$2:$A$1001,A405,$B$2:$B$1001,"&lt;"&amp;B405))</f>
        <v/>
      </c>
      <c r="J405" s="17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17" t="str">
        <f t="shared" si="49"/>
        <v/>
      </c>
      <c r="L405" s="18" t="str">
        <f t="shared" si="50"/>
        <v/>
      </c>
      <c r="M405" s="18" t="str">
        <f t="shared" si="51"/>
        <v/>
      </c>
      <c r="N405" s="18" t="str">
        <f t="shared" si="52"/>
        <v/>
      </c>
      <c r="O405" s="18" t="str">
        <f t="shared" si="53"/>
        <v/>
      </c>
      <c r="P405" s="17" t="str">
        <f t="shared" si="54"/>
        <v/>
      </c>
      <c r="Q405" s="17" t="str">
        <f t="shared" si="55"/>
        <v/>
      </c>
      <c r="R405" s="19" t="str">
        <f ca="1">IF(A405="","",IF(COUNTIF(_TradeIds,A405)=0,"违规：交易编号不存在",IF(OR(B405="",B405&lt;1,B405&gt;5,B405&lt;&gt;INT(B405)),"违规：加仓序号须为1到5的整数",IF(COUNTIFS($A$2:$A$1001,A405,$B$2:$B$1001,B405)&gt;1,"违规：同一交易的加仓序号重复",IF(OR(D405="",E405="",F405=""),"计划不完整：请填写加仓价、新止损价和风险预算",IF(OR(D405&lt;=0,E405&lt;=0,F405&lt;=0,D405&lt;=E405),"违规：加仓价必须高于新止损价，金额须大于0",IF(AND(B405&gt;1,COUNTIFS($A$2:$A$1001,A405,$B$2:$B$1001,B405-1,$G$2:$G$1001,"&gt;0")=0),"违规：须先完成上一次加仓",IF(AND(B405&gt;1,E405&lt;SUMIFS($E$2:$E$1001,$A$2:$A$1001,A405,$B$2:$B$1001,B405-1)),"违规：新止损价不得低于上一次",IF(AND(B405&gt;1,F405&gt;SUMIFS($F$2:$F$1001,$A$2:$A$1001,A405,$B$2:$B$1001,B405-1)),"违规：风险预算须逐次不增加",IF(OR(_LockStatus="已锁仓",_LockStatus="解锁信息不完整"),"违规：锁仓期间禁止加仓",IF(G405="","计划可执行：建议股数见N列",IF(OR(G405&lt;=0,G405&lt;&gt;INT(G405),MOD(G405,100)&lt;&gt;0),"违规：实际股数须为100股整数倍",IF(G405&gt;N405,"违规：实际股数超过风险或金字塔上限",IF(AND(B405&gt;1,G405&gt;SUMIFS($G$2:$G$1001,$A$2:$A$1001,A405,$B$2:$B$1001,B405-1)),"违规：加仓股数须逐次不增加",IF(Q405&gt;F405,"违规：止损风险超过本次预算","通过")))))))))))))))</f>
        <v/>
      </c>
    </row>
    <row r="406" ht="17" spans="1:18">
      <c r="A406" s="13"/>
      <c r="B406" s="14"/>
      <c r="C406" s="15"/>
      <c r="D406" s="16"/>
      <c r="E406" s="16"/>
      <c r="F406" s="16"/>
      <c r="G406" s="14"/>
      <c r="H406" s="17" t="str">
        <f t="shared" si="48"/>
        <v/>
      </c>
      <c r="I406" s="18" t="str">
        <f>IF(OR(A406="",B406=""),"",IFERROR(LOOKUP(2,1/(单次交易!$A$2:$A$201=A406),单次交易!$H$2:$H$201),0)+SUMIFS($G$2:$G$1001,$A$2:$A$1001,A406,$B$2:$B$1001,"&lt;"&amp;B406))</f>
        <v/>
      </c>
      <c r="J406" s="17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17" t="str">
        <f t="shared" si="49"/>
        <v/>
      </c>
      <c r="L406" s="18" t="str">
        <f t="shared" si="50"/>
        <v/>
      </c>
      <c r="M406" s="18" t="str">
        <f t="shared" si="51"/>
        <v/>
      </c>
      <c r="N406" s="18" t="str">
        <f t="shared" si="52"/>
        <v/>
      </c>
      <c r="O406" s="18" t="str">
        <f t="shared" si="53"/>
        <v/>
      </c>
      <c r="P406" s="17" t="str">
        <f t="shared" si="54"/>
        <v/>
      </c>
      <c r="Q406" s="17" t="str">
        <f t="shared" si="55"/>
        <v/>
      </c>
      <c r="R406" s="19" t="str">
        <f ca="1">IF(A406="","",IF(COUNTIF(_TradeIds,A406)=0,"违规：交易编号不存在",IF(OR(B406="",B406&lt;1,B406&gt;5,B406&lt;&gt;INT(B406)),"违规：加仓序号须为1到5的整数",IF(COUNTIFS($A$2:$A$1001,A406,$B$2:$B$1001,B406)&gt;1,"违规：同一交易的加仓序号重复",IF(OR(D406="",E406="",F406=""),"计划不完整：请填写加仓价、新止损价和风险预算",IF(OR(D406&lt;=0,E406&lt;=0,F406&lt;=0,D406&lt;=E406),"违规：加仓价必须高于新止损价，金额须大于0",IF(AND(B406&gt;1,COUNTIFS($A$2:$A$1001,A406,$B$2:$B$1001,B406-1,$G$2:$G$1001,"&gt;0")=0),"违规：须先完成上一次加仓",IF(AND(B406&gt;1,E406&lt;SUMIFS($E$2:$E$1001,$A$2:$A$1001,A406,$B$2:$B$1001,B406-1)),"违规：新止损价不得低于上一次",IF(AND(B406&gt;1,F406&gt;SUMIFS($F$2:$F$1001,$A$2:$A$1001,A406,$B$2:$B$1001,B406-1)),"违规：风险预算须逐次不增加",IF(OR(_LockStatus="已锁仓",_LockStatus="解锁信息不完整"),"违规：锁仓期间禁止加仓",IF(G406="","计划可执行：建议股数见N列",IF(OR(G406&lt;=0,G406&lt;&gt;INT(G406),MOD(G406,100)&lt;&gt;0),"违规：实际股数须为100股整数倍",IF(G406&gt;N406,"违规：实际股数超过风险或金字塔上限",IF(AND(B406&gt;1,G406&gt;SUMIFS($G$2:$G$1001,$A$2:$A$1001,A406,$B$2:$B$1001,B406-1)),"违规：加仓股数须逐次不增加",IF(Q406&gt;F406,"违规：止损风险超过本次预算","通过")))))))))))))))</f>
        <v/>
      </c>
    </row>
    <row r="407" ht="17" spans="1:18">
      <c r="A407" s="13"/>
      <c r="B407" s="14"/>
      <c r="C407" s="15"/>
      <c r="D407" s="16"/>
      <c r="E407" s="16"/>
      <c r="F407" s="16"/>
      <c r="G407" s="14"/>
      <c r="H407" s="17" t="str">
        <f t="shared" si="48"/>
        <v/>
      </c>
      <c r="I407" s="18" t="str">
        <f>IF(OR(A407="",B407=""),"",IFERROR(LOOKUP(2,1/(单次交易!$A$2:$A$201=A407),单次交易!$H$2:$H$201),0)+SUMIFS($G$2:$G$1001,$A$2:$A$1001,A407,$B$2:$B$1001,"&lt;"&amp;B407))</f>
        <v/>
      </c>
      <c r="J407" s="17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17" t="str">
        <f t="shared" si="49"/>
        <v/>
      </c>
      <c r="L407" s="18" t="str">
        <f t="shared" si="50"/>
        <v/>
      </c>
      <c r="M407" s="18" t="str">
        <f t="shared" si="51"/>
        <v/>
      </c>
      <c r="N407" s="18" t="str">
        <f t="shared" si="52"/>
        <v/>
      </c>
      <c r="O407" s="18" t="str">
        <f t="shared" si="53"/>
        <v/>
      </c>
      <c r="P407" s="17" t="str">
        <f t="shared" si="54"/>
        <v/>
      </c>
      <c r="Q407" s="17" t="str">
        <f t="shared" si="55"/>
        <v/>
      </c>
      <c r="R407" s="19" t="str">
        <f ca="1">IF(A407="","",IF(COUNTIF(_TradeIds,A407)=0,"违规：交易编号不存在",IF(OR(B407="",B407&lt;1,B407&gt;5,B407&lt;&gt;INT(B407)),"违规：加仓序号须为1到5的整数",IF(COUNTIFS($A$2:$A$1001,A407,$B$2:$B$1001,B407)&gt;1,"违规：同一交易的加仓序号重复",IF(OR(D407="",E407="",F407=""),"计划不完整：请填写加仓价、新止损价和风险预算",IF(OR(D407&lt;=0,E407&lt;=0,F407&lt;=0,D407&lt;=E407),"违规：加仓价必须高于新止损价，金额须大于0",IF(AND(B407&gt;1,COUNTIFS($A$2:$A$1001,A407,$B$2:$B$1001,B407-1,$G$2:$G$1001,"&gt;0")=0),"违规：须先完成上一次加仓",IF(AND(B407&gt;1,E407&lt;SUMIFS($E$2:$E$1001,$A$2:$A$1001,A407,$B$2:$B$1001,B407-1)),"违规：新止损价不得低于上一次",IF(AND(B407&gt;1,F407&gt;SUMIFS($F$2:$F$1001,$A$2:$A$1001,A407,$B$2:$B$1001,B407-1)),"违规：风险预算须逐次不增加",IF(OR(_LockStatus="已锁仓",_LockStatus="解锁信息不完整"),"违规：锁仓期间禁止加仓",IF(G407="","计划可执行：建议股数见N列",IF(OR(G407&lt;=0,G407&lt;&gt;INT(G407),MOD(G407,100)&lt;&gt;0),"违规：实际股数须为100股整数倍",IF(G407&gt;N407,"违规：实际股数超过风险或金字塔上限",IF(AND(B407&gt;1,G407&gt;SUMIFS($G$2:$G$1001,$A$2:$A$1001,A407,$B$2:$B$1001,B407-1)),"违规：加仓股数须逐次不增加",IF(Q407&gt;F407,"违规：止损风险超过本次预算","通过")))))))))))))))</f>
        <v/>
      </c>
    </row>
    <row r="408" ht="17" spans="1:18">
      <c r="A408" s="13"/>
      <c r="B408" s="14"/>
      <c r="C408" s="15"/>
      <c r="D408" s="16"/>
      <c r="E408" s="16"/>
      <c r="F408" s="16"/>
      <c r="G408" s="14"/>
      <c r="H408" s="17" t="str">
        <f t="shared" si="48"/>
        <v/>
      </c>
      <c r="I408" s="18" t="str">
        <f>IF(OR(A408="",B408=""),"",IFERROR(LOOKUP(2,1/(单次交易!$A$2:$A$201=A408),单次交易!$H$2:$H$201),0)+SUMIFS($G$2:$G$1001,$A$2:$A$1001,A408,$B$2:$B$1001,"&lt;"&amp;B408))</f>
        <v/>
      </c>
      <c r="J408" s="17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17" t="str">
        <f t="shared" si="49"/>
        <v/>
      </c>
      <c r="L408" s="18" t="str">
        <f t="shared" si="50"/>
        <v/>
      </c>
      <c r="M408" s="18" t="str">
        <f t="shared" si="51"/>
        <v/>
      </c>
      <c r="N408" s="18" t="str">
        <f t="shared" si="52"/>
        <v/>
      </c>
      <c r="O408" s="18" t="str">
        <f t="shared" si="53"/>
        <v/>
      </c>
      <c r="P408" s="17" t="str">
        <f t="shared" si="54"/>
        <v/>
      </c>
      <c r="Q408" s="17" t="str">
        <f t="shared" si="55"/>
        <v/>
      </c>
      <c r="R408" s="19" t="str">
        <f ca="1">IF(A408="","",IF(COUNTIF(_TradeIds,A408)=0,"违规：交易编号不存在",IF(OR(B408="",B408&lt;1,B408&gt;5,B408&lt;&gt;INT(B408)),"违规：加仓序号须为1到5的整数",IF(COUNTIFS($A$2:$A$1001,A408,$B$2:$B$1001,B408)&gt;1,"违规：同一交易的加仓序号重复",IF(OR(D408="",E408="",F408=""),"计划不完整：请填写加仓价、新止损价和风险预算",IF(OR(D408&lt;=0,E408&lt;=0,F408&lt;=0,D408&lt;=E408),"违规：加仓价必须高于新止损价，金额须大于0",IF(AND(B408&gt;1,COUNTIFS($A$2:$A$1001,A408,$B$2:$B$1001,B408-1,$G$2:$G$1001,"&gt;0")=0),"违规：须先完成上一次加仓",IF(AND(B408&gt;1,E408&lt;SUMIFS($E$2:$E$1001,$A$2:$A$1001,A408,$B$2:$B$1001,B408-1)),"违规：新止损价不得低于上一次",IF(AND(B408&gt;1,F408&gt;SUMIFS($F$2:$F$1001,$A$2:$A$1001,A408,$B$2:$B$1001,B408-1)),"违规：风险预算须逐次不增加",IF(OR(_LockStatus="已锁仓",_LockStatus="解锁信息不完整"),"违规：锁仓期间禁止加仓",IF(G408="","计划可执行：建议股数见N列",IF(OR(G408&lt;=0,G408&lt;&gt;INT(G408),MOD(G408,100)&lt;&gt;0),"违规：实际股数须为100股整数倍",IF(G408&gt;N408,"违规：实际股数超过风险或金字塔上限",IF(AND(B408&gt;1,G408&gt;SUMIFS($G$2:$G$1001,$A$2:$A$1001,A408,$B$2:$B$1001,B408-1)),"违规：加仓股数须逐次不增加",IF(Q408&gt;F408,"违规：止损风险超过本次预算","通过")))))))))))))))</f>
        <v/>
      </c>
    </row>
    <row r="409" ht="17" spans="1:18">
      <c r="A409" s="13"/>
      <c r="B409" s="14"/>
      <c r="C409" s="15"/>
      <c r="D409" s="16"/>
      <c r="E409" s="16"/>
      <c r="F409" s="16"/>
      <c r="G409" s="14"/>
      <c r="H409" s="17" t="str">
        <f t="shared" si="48"/>
        <v/>
      </c>
      <c r="I409" s="18" t="str">
        <f>IF(OR(A409="",B409=""),"",IFERROR(LOOKUP(2,1/(单次交易!$A$2:$A$201=A409),单次交易!$H$2:$H$201),0)+SUMIFS($G$2:$G$1001,$A$2:$A$1001,A409,$B$2:$B$1001,"&lt;"&amp;B409))</f>
        <v/>
      </c>
      <c r="J409" s="17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17" t="str">
        <f t="shared" si="49"/>
        <v/>
      </c>
      <c r="L409" s="18" t="str">
        <f t="shared" si="50"/>
        <v/>
      </c>
      <c r="M409" s="18" t="str">
        <f t="shared" si="51"/>
        <v/>
      </c>
      <c r="N409" s="18" t="str">
        <f t="shared" si="52"/>
        <v/>
      </c>
      <c r="O409" s="18" t="str">
        <f t="shared" si="53"/>
        <v/>
      </c>
      <c r="P409" s="17" t="str">
        <f t="shared" si="54"/>
        <v/>
      </c>
      <c r="Q409" s="17" t="str">
        <f t="shared" si="55"/>
        <v/>
      </c>
      <c r="R409" s="19" t="str">
        <f ca="1">IF(A409="","",IF(COUNTIF(_TradeIds,A409)=0,"违规：交易编号不存在",IF(OR(B409="",B409&lt;1,B409&gt;5,B409&lt;&gt;INT(B409)),"违规：加仓序号须为1到5的整数",IF(COUNTIFS($A$2:$A$1001,A409,$B$2:$B$1001,B409)&gt;1,"违规：同一交易的加仓序号重复",IF(OR(D409="",E409="",F409=""),"计划不完整：请填写加仓价、新止损价和风险预算",IF(OR(D409&lt;=0,E409&lt;=0,F409&lt;=0,D409&lt;=E409),"违规：加仓价必须高于新止损价，金额须大于0",IF(AND(B409&gt;1,COUNTIFS($A$2:$A$1001,A409,$B$2:$B$1001,B409-1,$G$2:$G$1001,"&gt;0")=0),"违规：须先完成上一次加仓",IF(AND(B409&gt;1,E409&lt;SUMIFS($E$2:$E$1001,$A$2:$A$1001,A409,$B$2:$B$1001,B409-1)),"违规：新止损价不得低于上一次",IF(AND(B409&gt;1,F409&gt;SUMIFS($F$2:$F$1001,$A$2:$A$1001,A409,$B$2:$B$1001,B409-1)),"违规：风险预算须逐次不增加",IF(OR(_LockStatus="已锁仓",_LockStatus="解锁信息不完整"),"违规：锁仓期间禁止加仓",IF(G409="","计划可执行：建议股数见N列",IF(OR(G409&lt;=0,G409&lt;&gt;INT(G409),MOD(G409,100)&lt;&gt;0),"违规：实际股数须为100股整数倍",IF(G409&gt;N409,"违规：实际股数超过风险或金字塔上限",IF(AND(B409&gt;1,G409&gt;SUMIFS($G$2:$G$1001,$A$2:$A$1001,A409,$B$2:$B$1001,B409-1)),"违规：加仓股数须逐次不增加",IF(Q409&gt;F409,"违规：止损风险超过本次预算","通过")))))))))))))))</f>
        <v/>
      </c>
    </row>
    <row r="410" ht="17" spans="1:18">
      <c r="A410" s="13"/>
      <c r="B410" s="14"/>
      <c r="C410" s="15"/>
      <c r="D410" s="16"/>
      <c r="E410" s="16"/>
      <c r="F410" s="16"/>
      <c r="G410" s="14"/>
      <c r="H410" s="17" t="str">
        <f t="shared" si="48"/>
        <v/>
      </c>
      <c r="I410" s="18" t="str">
        <f>IF(OR(A410="",B410=""),"",IFERROR(LOOKUP(2,1/(单次交易!$A$2:$A$201=A410),单次交易!$H$2:$H$201),0)+SUMIFS($G$2:$G$1001,$A$2:$A$1001,A410,$B$2:$B$1001,"&lt;"&amp;B410))</f>
        <v/>
      </c>
      <c r="J410" s="17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17" t="str">
        <f t="shared" si="49"/>
        <v/>
      </c>
      <c r="L410" s="18" t="str">
        <f t="shared" si="50"/>
        <v/>
      </c>
      <c r="M410" s="18" t="str">
        <f t="shared" si="51"/>
        <v/>
      </c>
      <c r="N410" s="18" t="str">
        <f t="shared" si="52"/>
        <v/>
      </c>
      <c r="O410" s="18" t="str">
        <f t="shared" si="53"/>
        <v/>
      </c>
      <c r="P410" s="17" t="str">
        <f t="shared" si="54"/>
        <v/>
      </c>
      <c r="Q410" s="17" t="str">
        <f t="shared" si="55"/>
        <v/>
      </c>
      <c r="R410" s="19" t="str">
        <f ca="1">IF(A410="","",IF(COUNTIF(_TradeIds,A410)=0,"违规：交易编号不存在",IF(OR(B410="",B410&lt;1,B410&gt;5,B410&lt;&gt;INT(B410)),"违规：加仓序号须为1到5的整数",IF(COUNTIFS($A$2:$A$1001,A410,$B$2:$B$1001,B410)&gt;1,"违规：同一交易的加仓序号重复",IF(OR(D410="",E410="",F410=""),"计划不完整：请填写加仓价、新止损价和风险预算",IF(OR(D410&lt;=0,E410&lt;=0,F410&lt;=0,D410&lt;=E410),"违规：加仓价必须高于新止损价，金额须大于0",IF(AND(B410&gt;1,COUNTIFS($A$2:$A$1001,A410,$B$2:$B$1001,B410-1,$G$2:$G$1001,"&gt;0")=0),"违规：须先完成上一次加仓",IF(AND(B410&gt;1,E410&lt;SUMIFS($E$2:$E$1001,$A$2:$A$1001,A410,$B$2:$B$1001,B410-1)),"违规：新止损价不得低于上一次",IF(AND(B410&gt;1,F410&gt;SUMIFS($F$2:$F$1001,$A$2:$A$1001,A410,$B$2:$B$1001,B410-1)),"违规：风险预算须逐次不增加",IF(OR(_LockStatus="已锁仓",_LockStatus="解锁信息不完整"),"违规：锁仓期间禁止加仓",IF(G410="","计划可执行：建议股数见N列",IF(OR(G410&lt;=0,G410&lt;&gt;INT(G410),MOD(G410,100)&lt;&gt;0),"违规：实际股数须为100股整数倍",IF(G410&gt;N410,"违规：实际股数超过风险或金字塔上限",IF(AND(B410&gt;1,G410&gt;SUMIFS($G$2:$G$1001,$A$2:$A$1001,A410,$B$2:$B$1001,B410-1)),"违规：加仓股数须逐次不增加",IF(Q410&gt;F410,"违规：止损风险超过本次预算","通过")))))))))))))))</f>
        <v/>
      </c>
    </row>
    <row r="411" ht="17" spans="1:18">
      <c r="A411" s="13"/>
      <c r="B411" s="14"/>
      <c r="C411" s="15"/>
      <c r="D411" s="16"/>
      <c r="E411" s="16"/>
      <c r="F411" s="16"/>
      <c r="G411" s="14"/>
      <c r="H411" s="17" t="str">
        <f t="shared" si="48"/>
        <v/>
      </c>
      <c r="I411" s="18" t="str">
        <f>IF(OR(A411="",B411=""),"",IFERROR(LOOKUP(2,1/(单次交易!$A$2:$A$201=A411),单次交易!$H$2:$H$201),0)+SUMIFS($G$2:$G$1001,$A$2:$A$1001,A411,$B$2:$B$1001,"&lt;"&amp;B411))</f>
        <v/>
      </c>
      <c r="J411" s="17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17" t="str">
        <f t="shared" si="49"/>
        <v/>
      </c>
      <c r="L411" s="18" t="str">
        <f t="shared" si="50"/>
        <v/>
      </c>
      <c r="M411" s="18" t="str">
        <f t="shared" si="51"/>
        <v/>
      </c>
      <c r="N411" s="18" t="str">
        <f t="shared" si="52"/>
        <v/>
      </c>
      <c r="O411" s="18" t="str">
        <f t="shared" si="53"/>
        <v/>
      </c>
      <c r="P411" s="17" t="str">
        <f t="shared" si="54"/>
        <v/>
      </c>
      <c r="Q411" s="17" t="str">
        <f t="shared" si="55"/>
        <v/>
      </c>
      <c r="R411" s="19" t="str">
        <f ca="1">IF(A411="","",IF(COUNTIF(_TradeIds,A411)=0,"违规：交易编号不存在",IF(OR(B411="",B411&lt;1,B411&gt;5,B411&lt;&gt;INT(B411)),"违规：加仓序号须为1到5的整数",IF(COUNTIFS($A$2:$A$1001,A411,$B$2:$B$1001,B411)&gt;1,"违规：同一交易的加仓序号重复",IF(OR(D411="",E411="",F411=""),"计划不完整：请填写加仓价、新止损价和风险预算",IF(OR(D411&lt;=0,E411&lt;=0,F411&lt;=0,D411&lt;=E411),"违规：加仓价必须高于新止损价，金额须大于0",IF(AND(B411&gt;1,COUNTIFS($A$2:$A$1001,A411,$B$2:$B$1001,B411-1,$G$2:$G$1001,"&gt;0")=0),"违规：须先完成上一次加仓",IF(AND(B411&gt;1,E411&lt;SUMIFS($E$2:$E$1001,$A$2:$A$1001,A411,$B$2:$B$1001,B411-1)),"违规：新止损价不得低于上一次",IF(AND(B411&gt;1,F411&gt;SUMIFS($F$2:$F$1001,$A$2:$A$1001,A411,$B$2:$B$1001,B411-1)),"违规：风险预算须逐次不增加",IF(OR(_LockStatus="已锁仓",_LockStatus="解锁信息不完整"),"违规：锁仓期间禁止加仓",IF(G411="","计划可执行：建议股数见N列",IF(OR(G411&lt;=0,G411&lt;&gt;INT(G411),MOD(G411,100)&lt;&gt;0),"违规：实际股数须为100股整数倍",IF(G411&gt;N411,"违规：实际股数超过风险或金字塔上限",IF(AND(B411&gt;1,G411&gt;SUMIFS($G$2:$G$1001,$A$2:$A$1001,A411,$B$2:$B$1001,B411-1)),"违规：加仓股数须逐次不增加",IF(Q411&gt;F411,"违规：止损风险超过本次预算","通过")))))))))))))))</f>
        <v/>
      </c>
    </row>
    <row r="412" ht="17" spans="1:18">
      <c r="A412" s="13"/>
      <c r="B412" s="14"/>
      <c r="C412" s="15"/>
      <c r="D412" s="16"/>
      <c r="E412" s="16"/>
      <c r="F412" s="16"/>
      <c r="G412" s="14"/>
      <c r="H412" s="17" t="str">
        <f t="shared" si="48"/>
        <v/>
      </c>
      <c r="I412" s="18" t="str">
        <f>IF(OR(A412="",B412=""),"",IFERROR(LOOKUP(2,1/(单次交易!$A$2:$A$201=A412),单次交易!$H$2:$H$201),0)+SUMIFS($G$2:$G$1001,$A$2:$A$1001,A412,$B$2:$B$1001,"&lt;"&amp;B412))</f>
        <v/>
      </c>
      <c r="J412" s="17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17" t="str">
        <f t="shared" si="49"/>
        <v/>
      </c>
      <c r="L412" s="18" t="str">
        <f t="shared" si="50"/>
        <v/>
      </c>
      <c r="M412" s="18" t="str">
        <f t="shared" si="51"/>
        <v/>
      </c>
      <c r="N412" s="18" t="str">
        <f t="shared" si="52"/>
        <v/>
      </c>
      <c r="O412" s="18" t="str">
        <f t="shared" si="53"/>
        <v/>
      </c>
      <c r="P412" s="17" t="str">
        <f t="shared" si="54"/>
        <v/>
      </c>
      <c r="Q412" s="17" t="str">
        <f t="shared" si="55"/>
        <v/>
      </c>
      <c r="R412" s="19" t="str">
        <f ca="1">IF(A412="","",IF(COUNTIF(_TradeIds,A412)=0,"违规：交易编号不存在",IF(OR(B412="",B412&lt;1,B412&gt;5,B412&lt;&gt;INT(B412)),"违规：加仓序号须为1到5的整数",IF(COUNTIFS($A$2:$A$1001,A412,$B$2:$B$1001,B412)&gt;1,"违规：同一交易的加仓序号重复",IF(OR(D412="",E412="",F412=""),"计划不完整：请填写加仓价、新止损价和风险预算",IF(OR(D412&lt;=0,E412&lt;=0,F412&lt;=0,D412&lt;=E412),"违规：加仓价必须高于新止损价，金额须大于0",IF(AND(B412&gt;1,COUNTIFS($A$2:$A$1001,A412,$B$2:$B$1001,B412-1,$G$2:$G$1001,"&gt;0")=0),"违规：须先完成上一次加仓",IF(AND(B412&gt;1,E412&lt;SUMIFS($E$2:$E$1001,$A$2:$A$1001,A412,$B$2:$B$1001,B412-1)),"违规：新止损价不得低于上一次",IF(AND(B412&gt;1,F412&gt;SUMIFS($F$2:$F$1001,$A$2:$A$1001,A412,$B$2:$B$1001,B412-1)),"违规：风险预算须逐次不增加",IF(OR(_LockStatus="已锁仓",_LockStatus="解锁信息不完整"),"违规：锁仓期间禁止加仓",IF(G412="","计划可执行：建议股数见N列",IF(OR(G412&lt;=0,G412&lt;&gt;INT(G412),MOD(G412,100)&lt;&gt;0),"违规：实际股数须为100股整数倍",IF(G412&gt;N412,"违规：实际股数超过风险或金字塔上限",IF(AND(B412&gt;1,G412&gt;SUMIFS($G$2:$G$1001,$A$2:$A$1001,A412,$B$2:$B$1001,B412-1)),"违规：加仓股数须逐次不增加",IF(Q412&gt;F412,"违规：止损风险超过本次预算","通过")))))))))))))))</f>
        <v/>
      </c>
    </row>
    <row r="413" ht="17" spans="1:18">
      <c r="A413" s="13"/>
      <c r="B413" s="14"/>
      <c r="C413" s="15"/>
      <c r="D413" s="16"/>
      <c r="E413" s="16"/>
      <c r="F413" s="16"/>
      <c r="G413" s="14"/>
      <c r="H413" s="17" t="str">
        <f t="shared" si="48"/>
        <v/>
      </c>
      <c r="I413" s="18" t="str">
        <f>IF(OR(A413="",B413=""),"",IFERROR(LOOKUP(2,1/(单次交易!$A$2:$A$201=A413),单次交易!$H$2:$H$201),0)+SUMIFS($G$2:$G$1001,$A$2:$A$1001,A413,$B$2:$B$1001,"&lt;"&amp;B413))</f>
        <v/>
      </c>
      <c r="J413" s="17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17" t="str">
        <f t="shared" si="49"/>
        <v/>
      </c>
      <c r="L413" s="18" t="str">
        <f t="shared" si="50"/>
        <v/>
      </c>
      <c r="M413" s="18" t="str">
        <f t="shared" si="51"/>
        <v/>
      </c>
      <c r="N413" s="18" t="str">
        <f t="shared" si="52"/>
        <v/>
      </c>
      <c r="O413" s="18" t="str">
        <f t="shared" si="53"/>
        <v/>
      </c>
      <c r="P413" s="17" t="str">
        <f t="shared" si="54"/>
        <v/>
      </c>
      <c r="Q413" s="17" t="str">
        <f t="shared" si="55"/>
        <v/>
      </c>
      <c r="R413" s="19" t="str">
        <f ca="1">IF(A413="","",IF(COUNTIF(_TradeIds,A413)=0,"违规：交易编号不存在",IF(OR(B413="",B413&lt;1,B413&gt;5,B413&lt;&gt;INT(B413)),"违规：加仓序号须为1到5的整数",IF(COUNTIFS($A$2:$A$1001,A413,$B$2:$B$1001,B413)&gt;1,"违规：同一交易的加仓序号重复",IF(OR(D413="",E413="",F413=""),"计划不完整：请填写加仓价、新止损价和风险预算",IF(OR(D413&lt;=0,E413&lt;=0,F413&lt;=0,D413&lt;=E413),"违规：加仓价必须高于新止损价，金额须大于0",IF(AND(B413&gt;1,COUNTIFS($A$2:$A$1001,A413,$B$2:$B$1001,B413-1,$G$2:$G$1001,"&gt;0")=0),"违规：须先完成上一次加仓",IF(AND(B413&gt;1,E413&lt;SUMIFS($E$2:$E$1001,$A$2:$A$1001,A413,$B$2:$B$1001,B413-1)),"违规：新止损价不得低于上一次",IF(AND(B413&gt;1,F413&gt;SUMIFS($F$2:$F$1001,$A$2:$A$1001,A413,$B$2:$B$1001,B413-1)),"违规：风险预算须逐次不增加",IF(OR(_LockStatus="已锁仓",_LockStatus="解锁信息不完整"),"违规：锁仓期间禁止加仓",IF(G413="","计划可执行：建议股数见N列",IF(OR(G413&lt;=0,G413&lt;&gt;INT(G413),MOD(G413,100)&lt;&gt;0),"违规：实际股数须为100股整数倍",IF(G413&gt;N413,"违规：实际股数超过风险或金字塔上限",IF(AND(B413&gt;1,G413&gt;SUMIFS($G$2:$G$1001,$A$2:$A$1001,A413,$B$2:$B$1001,B413-1)),"违规：加仓股数须逐次不增加",IF(Q413&gt;F413,"违规：止损风险超过本次预算","通过")))))))))))))))</f>
        <v/>
      </c>
    </row>
    <row r="414" ht="17" spans="1:18">
      <c r="A414" s="13"/>
      <c r="B414" s="14"/>
      <c r="C414" s="15"/>
      <c r="D414" s="16"/>
      <c r="E414" s="16"/>
      <c r="F414" s="16"/>
      <c r="G414" s="14"/>
      <c r="H414" s="17" t="str">
        <f t="shared" si="48"/>
        <v/>
      </c>
      <c r="I414" s="18" t="str">
        <f>IF(OR(A414="",B414=""),"",IFERROR(LOOKUP(2,1/(单次交易!$A$2:$A$201=A414),单次交易!$H$2:$H$201),0)+SUMIFS($G$2:$G$1001,$A$2:$A$1001,A414,$B$2:$B$1001,"&lt;"&amp;B414))</f>
        <v/>
      </c>
      <c r="J414" s="17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17" t="str">
        <f t="shared" si="49"/>
        <v/>
      </c>
      <c r="L414" s="18" t="str">
        <f t="shared" si="50"/>
        <v/>
      </c>
      <c r="M414" s="18" t="str">
        <f t="shared" si="51"/>
        <v/>
      </c>
      <c r="N414" s="18" t="str">
        <f t="shared" si="52"/>
        <v/>
      </c>
      <c r="O414" s="18" t="str">
        <f t="shared" si="53"/>
        <v/>
      </c>
      <c r="P414" s="17" t="str">
        <f t="shared" si="54"/>
        <v/>
      </c>
      <c r="Q414" s="17" t="str">
        <f t="shared" si="55"/>
        <v/>
      </c>
      <c r="R414" s="19" t="str">
        <f ca="1">IF(A414="","",IF(COUNTIF(_TradeIds,A414)=0,"违规：交易编号不存在",IF(OR(B414="",B414&lt;1,B414&gt;5,B414&lt;&gt;INT(B414)),"违规：加仓序号须为1到5的整数",IF(COUNTIFS($A$2:$A$1001,A414,$B$2:$B$1001,B414)&gt;1,"违规：同一交易的加仓序号重复",IF(OR(D414="",E414="",F414=""),"计划不完整：请填写加仓价、新止损价和风险预算",IF(OR(D414&lt;=0,E414&lt;=0,F414&lt;=0,D414&lt;=E414),"违规：加仓价必须高于新止损价，金额须大于0",IF(AND(B414&gt;1,COUNTIFS($A$2:$A$1001,A414,$B$2:$B$1001,B414-1,$G$2:$G$1001,"&gt;0")=0),"违规：须先完成上一次加仓",IF(AND(B414&gt;1,E414&lt;SUMIFS($E$2:$E$1001,$A$2:$A$1001,A414,$B$2:$B$1001,B414-1)),"违规：新止损价不得低于上一次",IF(AND(B414&gt;1,F414&gt;SUMIFS($F$2:$F$1001,$A$2:$A$1001,A414,$B$2:$B$1001,B414-1)),"违规：风险预算须逐次不增加",IF(OR(_LockStatus="已锁仓",_LockStatus="解锁信息不完整"),"违规：锁仓期间禁止加仓",IF(G414="","计划可执行：建议股数见N列",IF(OR(G414&lt;=0,G414&lt;&gt;INT(G414),MOD(G414,100)&lt;&gt;0),"违规：实际股数须为100股整数倍",IF(G414&gt;N414,"违规：实际股数超过风险或金字塔上限",IF(AND(B414&gt;1,G414&gt;SUMIFS($G$2:$G$1001,$A$2:$A$1001,A414,$B$2:$B$1001,B414-1)),"违规：加仓股数须逐次不增加",IF(Q414&gt;F414,"违规：止损风险超过本次预算","通过")))))))))))))))</f>
        <v/>
      </c>
    </row>
    <row r="415" ht="17" spans="1:18">
      <c r="A415" s="13"/>
      <c r="B415" s="14"/>
      <c r="C415" s="15"/>
      <c r="D415" s="16"/>
      <c r="E415" s="16"/>
      <c r="F415" s="16"/>
      <c r="G415" s="14"/>
      <c r="H415" s="17" t="str">
        <f t="shared" si="48"/>
        <v/>
      </c>
      <c r="I415" s="18" t="str">
        <f>IF(OR(A415="",B415=""),"",IFERROR(LOOKUP(2,1/(单次交易!$A$2:$A$201=A415),单次交易!$H$2:$H$201),0)+SUMIFS($G$2:$G$1001,$A$2:$A$1001,A415,$B$2:$B$1001,"&lt;"&amp;B415))</f>
        <v/>
      </c>
      <c r="J415" s="17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17" t="str">
        <f t="shared" si="49"/>
        <v/>
      </c>
      <c r="L415" s="18" t="str">
        <f t="shared" si="50"/>
        <v/>
      </c>
      <c r="M415" s="18" t="str">
        <f t="shared" si="51"/>
        <v/>
      </c>
      <c r="N415" s="18" t="str">
        <f t="shared" si="52"/>
        <v/>
      </c>
      <c r="O415" s="18" t="str">
        <f t="shared" si="53"/>
        <v/>
      </c>
      <c r="P415" s="17" t="str">
        <f t="shared" si="54"/>
        <v/>
      </c>
      <c r="Q415" s="17" t="str">
        <f t="shared" si="55"/>
        <v/>
      </c>
      <c r="R415" s="19" t="str">
        <f ca="1">IF(A415="","",IF(COUNTIF(_TradeIds,A415)=0,"违规：交易编号不存在",IF(OR(B415="",B415&lt;1,B415&gt;5,B415&lt;&gt;INT(B415)),"违规：加仓序号须为1到5的整数",IF(COUNTIFS($A$2:$A$1001,A415,$B$2:$B$1001,B415)&gt;1,"违规：同一交易的加仓序号重复",IF(OR(D415="",E415="",F415=""),"计划不完整：请填写加仓价、新止损价和风险预算",IF(OR(D415&lt;=0,E415&lt;=0,F415&lt;=0,D415&lt;=E415),"违规：加仓价必须高于新止损价，金额须大于0",IF(AND(B415&gt;1,COUNTIFS($A$2:$A$1001,A415,$B$2:$B$1001,B415-1,$G$2:$G$1001,"&gt;0")=0),"违规：须先完成上一次加仓",IF(AND(B415&gt;1,E415&lt;SUMIFS($E$2:$E$1001,$A$2:$A$1001,A415,$B$2:$B$1001,B415-1)),"违规：新止损价不得低于上一次",IF(AND(B415&gt;1,F415&gt;SUMIFS($F$2:$F$1001,$A$2:$A$1001,A415,$B$2:$B$1001,B415-1)),"违规：风险预算须逐次不增加",IF(OR(_LockStatus="已锁仓",_LockStatus="解锁信息不完整"),"违规：锁仓期间禁止加仓",IF(G415="","计划可执行：建议股数见N列",IF(OR(G415&lt;=0,G415&lt;&gt;INT(G415),MOD(G415,100)&lt;&gt;0),"违规：实际股数须为100股整数倍",IF(G415&gt;N415,"违规：实际股数超过风险或金字塔上限",IF(AND(B415&gt;1,G415&gt;SUMIFS($G$2:$G$1001,$A$2:$A$1001,A415,$B$2:$B$1001,B415-1)),"违规：加仓股数须逐次不增加",IF(Q415&gt;F415,"违规：止损风险超过本次预算","通过")))))))))))))))</f>
        <v/>
      </c>
    </row>
    <row r="416" ht="17" spans="1:18">
      <c r="A416" s="13"/>
      <c r="B416" s="14"/>
      <c r="C416" s="15"/>
      <c r="D416" s="16"/>
      <c r="E416" s="16"/>
      <c r="F416" s="16"/>
      <c r="G416" s="14"/>
      <c r="H416" s="17" t="str">
        <f t="shared" si="48"/>
        <v/>
      </c>
      <c r="I416" s="18" t="str">
        <f>IF(OR(A416="",B416=""),"",IFERROR(LOOKUP(2,1/(单次交易!$A$2:$A$201=A416),单次交易!$H$2:$H$201),0)+SUMIFS($G$2:$G$1001,$A$2:$A$1001,A416,$B$2:$B$1001,"&lt;"&amp;B416))</f>
        <v/>
      </c>
      <c r="J416" s="17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17" t="str">
        <f t="shared" si="49"/>
        <v/>
      </c>
      <c r="L416" s="18" t="str">
        <f t="shared" si="50"/>
        <v/>
      </c>
      <c r="M416" s="18" t="str">
        <f t="shared" si="51"/>
        <v/>
      </c>
      <c r="N416" s="18" t="str">
        <f t="shared" si="52"/>
        <v/>
      </c>
      <c r="O416" s="18" t="str">
        <f t="shared" si="53"/>
        <v/>
      </c>
      <c r="P416" s="17" t="str">
        <f t="shared" si="54"/>
        <v/>
      </c>
      <c r="Q416" s="17" t="str">
        <f t="shared" si="55"/>
        <v/>
      </c>
      <c r="R416" s="19" t="str">
        <f ca="1">IF(A416="","",IF(COUNTIF(_TradeIds,A416)=0,"违规：交易编号不存在",IF(OR(B416="",B416&lt;1,B416&gt;5,B416&lt;&gt;INT(B416)),"违规：加仓序号须为1到5的整数",IF(COUNTIFS($A$2:$A$1001,A416,$B$2:$B$1001,B416)&gt;1,"违规：同一交易的加仓序号重复",IF(OR(D416="",E416="",F416=""),"计划不完整：请填写加仓价、新止损价和风险预算",IF(OR(D416&lt;=0,E416&lt;=0,F416&lt;=0,D416&lt;=E416),"违规：加仓价必须高于新止损价，金额须大于0",IF(AND(B416&gt;1,COUNTIFS($A$2:$A$1001,A416,$B$2:$B$1001,B416-1,$G$2:$G$1001,"&gt;0")=0),"违规：须先完成上一次加仓",IF(AND(B416&gt;1,E416&lt;SUMIFS($E$2:$E$1001,$A$2:$A$1001,A416,$B$2:$B$1001,B416-1)),"违规：新止损价不得低于上一次",IF(AND(B416&gt;1,F416&gt;SUMIFS($F$2:$F$1001,$A$2:$A$1001,A416,$B$2:$B$1001,B416-1)),"违规：风险预算须逐次不增加",IF(OR(_LockStatus="已锁仓",_LockStatus="解锁信息不完整"),"违规：锁仓期间禁止加仓",IF(G416="","计划可执行：建议股数见N列",IF(OR(G416&lt;=0,G416&lt;&gt;INT(G416),MOD(G416,100)&lt;&gt;0),"违规：实际股数须为100股整数倍",IF(G416&gt;N416,"违规：实际股数超过风险或金字塔上限",IF(AND(B416&gt;1,G416&gt;SUMIFS($G$2:$G$1001,$A$2:$A$1001,A416,$B$2:$B$1001,B416-1)),"违规：加仓股数须逐次不增加",IF(Q416&gt;F416,"违规：止损风险超过本次预算","通过")))))))))))))))</f>
        <v/>
      </c>
    </row>
    <row r="417" ht="17" spans="1:18">
      <c r="A417" s="13"/>
      <c r="B417" s="14"/>
      <c r="C417" s="15"/>
      <c r="D417" s="16"/>
      <c r="E417" s="16"/>
      <c r="F417" s="16"/>
      <c r="G417" s="14"/>
      <c r="H417" s="17" t="str">
        <f t="shared" si="48"/>
        <v/>
      </c>
      <c r="I417" s="18" t="str">
        <f>IF(OR(A417="",B417=""),"",IFERROR(LOOKUP(2,1/(单次交易!$A$2:$A$201=A417),单次交易!$H$2:$H$201),0)+SUMIFS($G$2:$G$1001,$A$2:$A$1001,A417,$B$2:$B$1001,"&lt;"&amp;B417))</f>
        <v/>
      </c>
      <c r="J417" s="17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17" t="str">
        <f t="shared" si="49"/>
        <v/>
      </c>
      <c r="L417" s="18" t="str">
        <f t="shared" si="50"/>
        <v/>
      </c>
      <c r="M417" s="18" t="str">
        <f t="shared" si="51"/>
        <v/>
      </c>
      <c r="N417" s="18" t="str">
        <f t="shared" si="52"/>
        <v/>
      </c>
      <c r="O417" s="18" t="str">
        <f t="shared" si="53"/>
        <v/>
      </c>
      <c r="P417" s="17" t="str">
        <f t="shared" si="54"/>
        <v/>
      </c>
      <c r="Q417" s="17" t="str">
        <f t="shared" si="55"/>
        <v/>
      </c>
      <c r="R417" s="19" t="str">
        <f ca="1">IF(A417="","",IF(COUNTIF(_TradeIds,A417)=0,"违规：交易编号不存在",IF(OR(B417="",B417&lt;1,B417&gt;5,B417&lt;&gt;INT(B417)),"违规：加仓序号须为1到5的整数",IF(COUNTIFS($A$2:$A$1001,A417,$B$2:$B$1001,B417)&gt;1,"违规：同一交易的加仓序号重复",IF(OR(D417="",E417="",F417=""),"计划不完整：请填写加仓价、新止损价和风险预算",IF(OR(D417&lt;=0,E417&lt;=0,F417&lt;=0,D417&lt;=E417),"违规：加仓价必须高于新止损价，金额须大于0",IF(AND(B417&gt;1,COUNTIFS($A$2:$A$1001,A417,$B$2:$B$1001,B417-1,$G$2:$G$1001,"&gt;0")=0),"违规：须先完成上一次加仓",IF(AND(B417&gt;1,E417&lt;SUMIFS($E$2:$E$1001,$A$2:$A$1001,A417,$B$2:$B$1001,B417-1)),"违规：新止损价不得低于上一次",IF(AND(B417&gt;1,F417&gt;SUMIFS($F$2:$F$1001,$A$2:$A$1001,A417,$B$2:$B$1001,B417-1)),"违规：风险预算须逐次不增加",IF(OR(_LockStatus="已锁仓",_LockStatus="解锁信息不完整"),"违规：锁仓期间禁止加仓",IF(G417="","计划可执行：建议股数见N列",IF(OR(G417&lt;=0,G417&lt;&gt;INT(G417),MOD(G417,100)&lt;&gt;0),"违规：实际股数须为100股整数倍",IF(G417&gt;N417,"违规：实际股数超过风险或金字塔上限",IF(AND(B417&gt;1,G417&gt;SUMIFS($G$2:$G$1001,$A$2:$A$1001,A417,$B$2:$B$1001,B417-1)),"违规：加仓股数须逐次不增加",IF(Q417&gt;F417,"违规：止损风险超过本次预算","通过")))))))))))))))</f>
        <v/>
      </c>
    </row>
    <row r="418" ht="17" spans="1:18">
      <c r="A418" s="13"/>
      <c r="B418" s="14"/>
      <c r="C418" s="15"/>
      <c r="D418" s="16"/>
      <c r="E418" s="16"/>
      <c r="F418" s="16"/>
      <c r="G418" s="14"/>
      <c r="H418" s="17" t="str">
        <f t="shared" si="48"/>
        <v/>
      </c>
      <c r="I418" s="18" t="str">
        <f>IF(OR(A418="",B418=""),"",IFERROR(LOOKUP(2,1/(单次交易!$A$2:$A$201=A418),单次交易!$H$2:$H$201),0)+SUMIFS($G$2:$G$1001,$A$2:$A$1001,A418,$B$2:$B$1001,"&lt;"&amp;B418))</f>
        <v/>
      </c>
      <c r="J418" s="17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17" t="str">
        <f t="shared" si="49"/>
        <v/>
      </c>
      <c r="L418" s="18" t="str">
        <f t="shared" si="50"/>
        <v/>
      </c>
      <c r="M418" s="18" t="str">
        <f t="shared" si="51"/>
        <v/>
      </c>
      <c r="N418" s="18" t="str">
        <f t="shared" si="52"/>
        <v/>
      </c>
      <c r="O418" s="18" t="str">
        <f t="shared" si="53"/>
        <v/>
      </c>
      <c r="P418" s="17" t="str">
        <f t="shared" si="54"/>
        <v/>
      </c>
      <c r="Q418" s="17" t="str">
        <f t="shared" si="55"/>
        <v/>
      </c>
      <c r="R418" s="19" t="str">
        <f ca="1">IF(A418="","",IF(COUNTIF(_TradeIds,A418)=0,"违规：交易编号不存在",IF(OR(B418="",B418&lt;1,B418&gt;5,B418&lt;&gt;INT(B418)),"违规：加仓序号须为1到5的整数",IF(COUNTIFS($A$2:$A$1001,A418,$B$2:$B$1001,B418)&gt;1,"违规：同一交易的加仓序号重复",IF(OR(D418="",E418="",F418=""),"计划不完整：请填写加仓价、新止损价和风险预算",IF(OR(D418&lt;=0,E418&lt;=0,F418&lt;=0,D418&lt;=E418),"违规：加仓价必须高于新止损价，金额须大于0",IF(AND(B418&gt;1,COUNTIFS($A$2:$A$1001,A418,$B$2:$B$1001,B418-1,$G$2:$G$1001,"&gt;0")=0),"违规：须先完成上一次加仓",IF(AND(B418&gt;1,E418&lt;SUMIFS($E$2:$E$1001,$A$2:$A$1001,A418,$B$2:$B$1001,B418-1)),"违规：新止损价不得低于上一次",IF(AND(B418&gt;1,F418&gt;SUMIFS($F$2:$F$1001,$A$2:$A$1001,A418,$B$2:$B$1001,B418-1)),"违规：风险预算须逐次不增加",IF(OR(_LockStatus="已锁仓",_LockStatus="解锁信息不完整"),"违规：锁仓期间禁止加仓",IF(G418="","计划可执行：建议股数见N列",IF(OR(G418&lt;=0,G418&lt;&gt;INT(G418),MOD(G418,100)&lt;&gt;0),"违规：实际股数须为100股整数倍",IF(G418&gt;N418,"违规：实际股数超过风险或金字塔上限",IF(AND(B418&gt;1,G418&gt;SUMIFS($G$2:$G$1001,$A$2:$A$1001,A418,$B$2:$B$1001,B418-1)),"违规：加仓股数须逐次不增加",IF(Q418&gt;F418,"违规：止损风险超过本次预算","通过")))))))))))))))</f>
        <v/>
      </c>
    </row>
    <row r="419" ht="17" spans="1:18">
      <c r="A419" s="13"/>
      <c r="B419" s="14"/>
      <c r="C419" s="15"/>
      <c r="D419" s="16"/>
      <c r="E419" s="16"/>
      <c r="F419" s="16"/>
      <c r="G419" s="14"/>
      <c r="H419" s="17" t="str">
        <f t="shared" si="48"/>
        <v/>
      </c>
      <c r="I419" s="18" t="str">
        <f>IF(OR(A419="",B419=""),"",IFERROR(LOOKUP(2,1/(单次交易!$A$2:$A$201=A419),单次交易!$H$2:$H$201),0)+SUMIFS($G$2:$G$1001,$A$2:$A$1001,A419,$B$2:$B$1001,"&lt;"&amp;B419))</f>
        <v/>
      </c>
      <c r="J419" s="17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17" t="str">
        <f t="shared" si="49"/>
        <v/>
      </c>
      <c r="L419" s="18" t="str">
        <f t="shared" si="50"/>
        <v/>
      </c>
      <c r="M419" s="18" t="str">
        <f t="shared" si="51"/>
        <v/>
      </c>
      <c r="N419" s="18" t="str">
        <f t="shared" si="52"/>
        <v/>
      </c>
      <c r="O419" s="18" t="str">
        <f t="shared" si="53"/>
        <v/>
      </c>
      <c r="P419" s="17" t="str">
        <f t="shared" si="54"/>
        <v/>
      </c>
      <c r="Q419" s="17" t="str">
        <f t="shared" si="55"/>
        <v/>
      </c>
      <c r="R419" s="19" t="str">
        <f ca="1">IF(A419="","",IF(COUNTIF(_TradeIds,A419)=0,"违规：交易编号不存在",IF(OR(B419="",B419&lt;1,B419&gt;5,B419&lt;&gt;INT(B419)),"违规：加仓序号须为1到5的整数",IF(COUNTIFS($A$2:$A$1001,A419,$B$2:$B$1001,B419)&gt;1,"违规：同一交易的加仓序号重复",IF(OR(D419="",E419="",F419=""),"计划不完整：请填写加仓价、新止损价和风险预算",IF(OR(D419&lt;=0,E419&lt;=0,F419&lt;=0,D419&lt;=E419),"违规：加仓价必须高于新止损价，金额须大于0",IF(AND(B419&gt;1,COUNTIFS($A$2:$A$1001,A419,$B$2:$B$1001,B419-1,$G$2:$G$1001,"&gt;0")=0),"违规：须先完成上一次加仓",IF(AND(B419&gt;1,E419&lt;SUMIFS($E$2:$E$1001,$A$2:$A$1001,A419,$B$2:$B$1001,B419-1)),"违规：新止损价不得低于上一次",IF(AND(B419&gt;1,F419&gt;SUMIFS($F$2:$F$1001,$A$2:$A$1001,A419,$B$2:$B$1001,B419-1)),"违规：风险预算须逐次不增加",IF(OR(_LockStatus="已锁仓",_LockStatus="解锁信息不完整"),"违规：锁仓期间禁止加仓",IF(G419="","计划可执行：建议股数见N列",IF(OR(G419&lt;=0,G419&lt;&gt;INT(G419),MOD(G419,100)&lt;&gt;0),"违规：实际股数须为100股整数倍",IF(G419&gt;N419,"违规：实际股数超过风险或金字塔上限",IF(AND(B419&gt;1,G419&gt;SUMIFS($G$2:$G$1001,$A$2:$A$1001,A419,$B$2:$B$1001,B419-1)),"违规：加仓股数须逐次不增加",IF(Q419&gt;F419,"违规：止损风险超过本次预算","通过")))))))))))))))</f>
        <v/>
      </c>
    </row>
    <row r="420" ht="17" spans="1:18">
      <c r="A420" s="13"/>
      <c r="B420" s="14"/>
      <c r="C420" s="15"/>
      <c r="D420" s="16"/>
      <c r="E420" s="16"/>
      <c r="F420" s="16"/>
      <c r="G420" s="14"/>
      <c r="H420" s="17" t="str">
        <f t="shared" si="48"/>
        <v/>
      </c>
      <c r="I420" s="18" t="str">
        <f>IF(OR(A420="",B420=""),"",IFERROR(LOOKUP(2,1/(单次交易!$A$2:$A$201=A420),单次交易!$H$2:$H$201),0)+SUMIFS($G$2:$G$1001,$A$2:$A$1001,A420,$B$2:$B$1001,"&lt;"&amp;B420))</f>
        <v/>
      </c>
      <c r="J420" s="17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17" t="str">
        <f t="shared" si="49"/>
        <v/>
      </c>
      <c r="L420" s="18" t="str">
        <f t="shared" si="50"/>
        <v/>
      </c>
      <c r="M420" s="18" t="str">
        <f t="shared" si="51"/>
        <v/>
      </c>
      <c r="N420" s="18" t="str">
        <f t="shared" si="52"/>
        <v/>
      </c>
      <c r="O420" s="18" t="str">
        <f t="shared" si="53"/>
        <v/>
      </c>
      <c r="P420" s="17" t="str">
        <f t="shared" si="54"/>
        <v/>
      </c>
      <c r="Q420" s="17" t="str">
        <f t="shared" si="55"/>
        <v/>
      </c>
      <c r="R420" s="19" t="str">
        <f ca="1">IF(A420="","",IF(COUNTIF(_TradeIds,A420)=0,"违规：交易编号不存在",IF(OR(B420="",B420&lt;1,B420&gt;5,B420&lt;&gt;INT(B420)),"违规：加仓序号须为1到5的整数",IF(COUNTIFS($A$2:$A$1001,A420,$B$2:$B$1001,B420)&gt;1,"违规：同一交易的加仓序号重复",IF(OR(D420="",E420="",F420=""),"计划不完整：请填写加仓价、新止损价和风险预算",IF(OR(D420&lt;=0,E420&lt;=0,F420&lt;=0,D420&lt;=E420),"违规：加仓价必须高于新止损价，金额须大于0",IF(AND(B420&gt;1,COUNTIFS($A$2:$A$1001,A420,$B$2:$B$1001,B420-1,$G$2:$G$1001,"&gt;0")=0),"违规：须先完成上一次加仓",IF(AND(B420&gt;1,E420&lt;SUMIFS($E$2:$E$1001,$A$2:$A$1001,A420,$B$2:$B$1001,B420-1)),"违规：新止损价不得低于上一次",IF(AND(B420&gt;1,F420&gt;SUMIFS($F$2:$F$1001,$A$2:$A$1001,A420,$B$2:$B$1001,B420-1)),"违规：风险预算须逐次不增加",IF(OR(_LockStatus="已锁仓",_LockStatus="解锁信息不完整"),"违规：锁仓期间禁止加仓",IF(G420="","计划可执行：建议股数见N列",IF(OR(G420&lt;=0,G420&lt;&gt;INT(G420),MOD(G420,100)&lt;&gt;0),"违规：实际股数须为100股整数倍",IF(G420&gt;N420,"违规：实际股数超过风险或金字塔上限",IF(AND(B420&gt;1,G420&gt;SUMIFS($G$2:$G$1001,$A$2:$A$1001,A420,$B$2:$B$1001,B420-1)),"违规：加仓股数须逐次不增加",IF(Q420&gt;F420,"违规：止损风险超过本次预算","通过")))))))))))))))</f>
        <v/>
      </c>
    </row>
    <row r="421" ht="17" spans="1:18">
      <c r="A421" s="13"/>
      <c r="B421" s="14"/>
      <c r="C421" s="15"/>
      <c r="D421" s="16"/>
      <c r="E421" s="16"/>
      <c r="F421" s="16"/>
      <c r="G421" s="14"/>
      <c r="H421" s="17" t="str">
        <f t="shared" si="48"/>
        <v/>
      </c>
      <c r="I421" s="18" t="str">
        <f>IF(OR(A421="",B421=""),"",IFERROR(LOOKUP(2,1/(单次交易!$A$2:$A$201=A421),单次交易!$H$2:$H$201),0)+SUMIFS($G$2:$G$1001,$A$2:$A$1001,A421,$B$2:$B$1001,"&lt;"&amp;B421))</f>
        <v/>
      </c>
      <c r="J421" s="17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17" t="str">
        <f t="shared" si="49"/>
        <v/>
      </c>
      <c r="L421" s="18" t="str">
        <f t="shared" si="50"/>
        <v/>
      </c>
      <c r="M421" s="18" t="str">
        <f t="shared" si="51"/>
        <v/>
      </c>
      <c r="N421" s="18" t="str">
        <f t="shared" si="52"/>
        <v/>
      </c>
      <c r="O421" s="18" t="str">
        <f t="shared" si="53"/>
        <v/>
      </c>
      <c r="P421" s="17" t="str">
        <f t="shared" si="54"/>
        <v/>
      </c>
      <c r="Q421" s="17" t="str">
        <f t="shared" si="55"/>
        <v/>
      </c>
      <c r="R421" s="19" t="str">
        <f ca="1">IF(A421="","",IF(COUNTIF(_TradeIds,A421)=0,"违规：交易编号不存在",IF(OR(B421="",B421&lt;1,B421&gt;5,B421&lt;&gt;INT(B421)),"违规：加仓序号须为1到5的整数",IF(COUNTIFS($A$2:$A$1001,A421,$B$2:$B$1001,B421)&gt;1,"违规：同一交易的加仓序号重复",IF(OR(D421="",E421="",F421=""),"计划不完整：请填写加仓价、新止损价和风险预算",IF(OR(D421&lt;=0,E421&lt;=0,F421&lt;=0,D421&lt;=E421),"违规：加仓价必须高于新止损价，金额须大于0",IF(AND(B421&gt;1,COUNTIFS($A$2:$A$1001,A421,$B$2:$B$1001,B421-1,$G$2:$G$1001,"&gt;0")=0),"违规：须先完成上一次加仓",IF(AND(B421&gt;1,E421&lt;SUMIFS($E$2:$E$1001,$A$2:$A$1001,A421,$B$2:$B$1001,B421-1)),"违规：新止损价不得低于上一次",IF(AND(B421&gt;1,F421&gt;SUMIFS($F$2:$F$1001,$A$2:$A$1001,A421,$B$2:$B$1001,B421-1)),"违规：风险预算须逐次不增加",IF(OR(_LockStatus="已锁仓",_LockStatus="解锁信息不完整"),"违规：锁仓期间禁止加仓",IF(G421="","计划可执行：建议股数见N列",IF(OR(G421&lt;=0,G421&lt;&gt;INT(G421),MOD(G421,100)&lt;&gt;0),"违规：实际股数须为100股整数倍",IF(G421&gt;N421,"违规：实际股数超过风险或金字塔上限",IF(AND(B421&gt;1,G421&gt;SUMIFS($G$2:$G$1001,$A$2:$A$1001,A421,$B$2:$B$1001,B421-1)),"违规：加仓股数须逐次不增加",IF(Q421&gt;F421,"违规：止损风险超过本次预算","通过")))))))))))))))</f>
        <v/>
      </c>
    </row>
    <row r="422" ht="17" spans="1:18">
      <c r="A422" s="13"/>
      <c r="B422" s="14"/>
      <c r="C422" s="15"/>
      <c r="D422" s="16"/>
      <c r="E422" s="16"/>
      <c r="F422" s="16"/>
      <c r="G422" s="14"/>
      <c r="H422" s="17" t="str">
        <f t="shared" si="48"/>
        <v/>
      </c>
      <c r="I422" s="18" t="str">
        <f>IF(OR(A422="",B422=""),"",IFERROR(LOOKUP(2,1/(单次交易!$A$2:$A$201=A422),单次交易!$H$2:$H$201),0)+SUMIFS($G$2:$G$1001,$A$2:$A$1001,A422,$B$2:$B$1001,"&lt;"&amp;B422))</f>
        <v/>
      </c>
      <c r="J422" s="17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17" t="str">
        <f t="shared" si="49"/>
        <v/>
      </c>
      <c r="L422" s="18" t="str">
        <f t="shared" si="50"/>
        <v/>
      </c>
      <c r="M422" s="18" t="str">
        <f t="shared" si="51"/>
        <v/>
      </c>
      <c r="N422" s="18" t="str">
        <f t="shared" si="52"/>
        <v/>
      </c>
      <c r="O422" s="18" t="str">
        <f t="shared" si="53"/>
        <v/>
      </c>
      <c r="P422" s="17" t="str">
        <f t="shared" si="54"/>
        <v/>
      </c>
      <c r="Q422" s="17" t="str">
        <f t="shared" si="55"/>
        <v/>
      </c>
      <c r="R422" s="19" t="str">
        <f ca="1">IF(A422="","",IF(COUNTIF(_TradeIds,A422)=0,"违规：交易编号不存在",IF(OR(B422="",B422&lt;1,B422&gt;5,B422&lt;&gt;INT(B422)),"违规：加仓序号须为1到5的整数",IF(COUNTIFS($A$2:$A$1001,A422,$B$2:$B$1001,B422)&gt;1,"违规：同一交易的加仓序号重复",IF(OR(D422="",E422="",F422=""),"计划不完整：请填写加仓价、新止损价和风险预算",IF(OR(D422&lt;=0,E422&lt;=0,F422&lt;=0,D422&lt;=E422),"违规：加仓价必须高于新止损价，金额须大于0",IF(AND(B422&gt;1,COUNTIFS($A$2:$A$1001,A422,$B$2:$B$1001,B422-1,$G$2:$G$1001,"&gt;0")=0),"违规：须先完成上一次加仓",IF(AND(B422&gt;1,E422&lt;SUMIFS($E$2:$E$1001,$A$2:$A$1001,A422,$B$2:$B$1001,B422-1)),"违规：新止损价不得低于上一次",IF(AND(B422&gt;1,F422&gt;SUMIFS($F$2:$F$1001,$A$2:$A$1001,A422,$B$2:$B$1001,B422-1)),"违规：风险预算须逐次不增加",IF(OR(_LockStatus="已锁仓",_LockStatus="解锁信息不完整"),"违规：锁仓期间禁止加仓",IF(G422="","计划可执行：建议股数见N列",IF(OR(G422&lt;=0,G422&lt;&gt;INT(G422),MOD(G422,100)&lt;&gt;0),"违规：实际股数须为100股整数倍",IF(G422&gt;N422,"违规：实际股数超过风险或金字塔上限",IF(AND(B422&gt;1,G422&gt;SUMIFS($G$2:$G$1001,$A$2:$A$1001,A422,$B$2:$B$1001,B422-1)),"违规：加仓股数须逐次不增加",IF(Q422&gt;F422,"违规：止损风险超过本次预算","通过")))))))))))))))</f>
        <v/>
      </c>
    </row>
    <row r="423" ht="17" spans="1:18">
      <c r="A423" s="13"/>
      <c r="B423" s="14"/>
      <c r="C423" s="15"/>
      <c r="D423" s="16"/>
      <c r="E423" s="16"/>
      <c r="F423" s="16"/>
      <c r="G423" s="14"/>
      <c r="H423" s="17" t="str">
        <f t="shared" si="48"/>
        <v/>
      </c>
      <c r="I423" s="18" t="str">
        <f>IF(OR(A423="",B423=""),"",IFERROR(LOOKUP(2,1/(单次交易!$A$2:$A$201=A423),单次交易!$H$2:$H$201),0)+SUMIFS($G$2:$G$1001,$A$2:$A$1001,A423,$B$2:$B$1001,"&lt;"&amp;B423))</f>
        <v/>
      </c>
      <c r="J423" s="17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17" t="str">
        <f t="shared" si="49"/>
        <v/>
      </c>
      <c r="L423" s="18" t="str">
        <f t="shared" si="50"/>
        <v/>
      </c>
      <c r="M423" s="18" t="str">
        <f t="shared" si="51"/>
        <v/>
      </c>
      <c r="N423" s="18" t="str">
        <f t="shared" si="52"/>
        <v/>
      </c>
      <c r="O423" s="18" t="str">
        <f t="shared" si="53"/>
        <v/>
      </c>
      <c r="P423" s="17" t="str">
        <f t="shared" si="54"/>
        <v/>
      </c>
      <c r="Q423" s="17" t="str">
        <f t="shared" si="55"/>
        <v/>
      </c>
      <c r="R423" s="19" t="str">
        <f ca="1">IF(A423="","",IF(COUNTIF(_TradeIds,A423)=0,"违规：交易编号不存在",IF(OR(B423="",B423&lt;1,B423&gt;5,B423&lt;&gt;INT(B423)),"违规：加仓序号须为1到5的整数",IF(COUNTIFS($A$2:$A$1001,A423,$B$2:$B$1001,B423)&gt;1,"违规：同一交易的加仓序号重复",IF(OR(D423="",E423="",F423=""),"计划不完整：请填写加仓价、新止损价和风险预算",IF(OR(D423&lt;=0,E423&lt;=0,F423&lt;=0,D423&lt;=E423),"违规：加仓价必须高于新止损价，金额须大于0",IF(AND(B423&gt;1,COUNTIFS($A$2:$A$1001,A423,$B$2:$B$1001,B423-1,$G$2:$G$1001,"&gt;0")=0),"违规：须先完成上一次加仓",IF(AND(B423&gt;1,E423&lt;SUMIFS($E$2:$E$1001,$A$2:$A$1001,A423,$B$2:$B$1001,B423-1)),"违规：新止损价不得低于上一次",IF(AND(B423&gt;1,F423&gt;SUMIFS($F$2:$F$1001,$A$2:$A$1001,A423,$B$2:$B$1001,B423-1)),"违规：风险预算须逐次不增加",IF(OR(_LockStatus="已锁仓",_LockStatus="解锁信息不完整"),"违规：锁仓期间禁止加仓",IF(G423="","计划可执行：建议股数见N列",IF(OR(G423&lt;=0,G423&lt;&gt;INT(G423),MOD(G423,100)&lt;&gt;0),"违规：实际股数须为100股整数倍",IF(G423&gt;N423,"违规：实际股数超过风险或金字塔上限",IF(AND(B423&gt;1,G423&gt;SUMIFS($G$2:$G$1001,$A$2:$A$1001,A423,$B$2:$B$1001,B423-1)),"违规：加仓股数须逐次不增加",IF(Q423&gt;F423,"违规：止损风险超过本次预算","通过")))))))))))))))</f>
        <v/>
      </c>
    </row>
    <row r="424" ht="17" spans="1:18">
      <c r="A424" s="13"/>
      <c r="B424" s="14"/>
      <c r="C424" s="15"/>
      <c r="D424" s="16"/>
      <c r="E424" s="16"/>
      <c r="F424" s="16"/>
      <c r="G424" s="14"/>
      <c r="H424" s="17" t="str">
        <f t="shared" si="48"/>
        <v/>
      </c>
      <c r="I424" s="18" t="str">
        <f>IF(OR(A424="",B424=""),"",IFERROR(LOOKUP(2,1/(单次交易!$A$2:$A$201=A424),单次交易!$H$2:$H$201),0)+SUMIFS($G$2:$G$1001,$A$2:$A$1001,A424,$B$2:$B$1001,"&lt;"&amp;B424))</f>
        <v/>
      </c>
      <c r="J424" s="17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17" t="str">
        <f t="shared" si="49"/>
        <v/>
      </c>
      <c r="L424" s="18" t="str">
        <f t="shared" si="50"/>
        <v/>
      </c>
      <c r="M424" s="18" t="str">
        <f t="shared" si="51"/>
        <v/>
      </c>
      <c r="N424" s="18" t="str">
        <f t="shared" si="52"/>
        <v/>
      </c>
      <c r="O424" s="18" t="str">
        <f t="shared" si="53"/>
        <v/>
      </c>
      <c r="P424" s="17" t="str">
        <f t="shared" si="54"/>
        <v/>
      </c>
      <c r="Q424" s="17" t="str">
        <f t="shared" si="55"/>
        <v/>
      </c>
      <c r="R424" s="19" t="str">
        <f ca="1">IF(A424="","",IF(COUNTIF(_TradeIds,A424)=0,"违规：交易编号不存在",IF(OR(B424="",B424&lt;1,B424&gt;5,B424&lt;&gt;INT(B424)),"违规：加仓序号须为1到5的整数",IF(COUNTIFS($A$2:$A$1001,A424,$B$2:$B$1001,B424)&gt;1,"违规：同一交易的加仓序号重复",IF(OR(D424="",E424="",F424=""),"计划不完整：请填写加仓价、新止损价和风险预算",IF(OR(D424&lt;=0,E424&lt;=0,F424&lt;=0,D424&lt;=E424),"违规：加仓价必须高于新止损价，金额须大于0",IF(AND(B424&gt;1,COUNTIFS($A$2:$A$1001,A424,$B$2:$B$1001,B424-1,$G$2:$G$1001,"&gt;0")=0),"违规：须先完成上一次加仓",IF(AND(B424&gt;1,E424&lt;SUMIFS($E$2:$E$1001,$A$2:$A$1001,A424,$B$2:$B$1001,B424-1)),"违规：新止损价不得低于上一次",IF(AND(B424&gt;1,F424&gt;SUMIFS($F$2:$F$1001,$A$2:$A$1001,A424,$B$2:$B$1001,B424-1)),"违规：风险预算须逐次不增加",IF(OR(_LockStatus="已锁仓",_LockStatus="解锁信息不完整"),"违规：锁仓期间禁止加仓",IF(G424="","计划可执行：建议股数见N列",IF(OR(G424&lt;=0,G424&lt;&gt;INT(G424),MOD(G424,100)&lt;&gt;0),"违规：实际股数须为100股整数倍",IF(G424&gt;N424,"违规：实际股数超过风险或金字塔上限",IF(AND(B424&gt;1,G424&gt;SUMIFS($G$2:$G$1001,$A$2:$A$1001,A424,$B$2:$B$1001,B424-1)),"违规：加仓股数须逐次不增加",IF(Q424&gt;F424,"违规：止损风险超过本次预算","通过")))))))))))))))</f>
        <v/>
      </c>
    </row>
    <row r="425" ht="17" spans="1:18">
      <c r="A425" s="13"/>
      <c r="B425" s="14"/>
      <c r="C425" s="15"/>
      <c r="D425" s="16"/>
      <c r="E425" s="16"/>
      <c r="F425" s="16"/>
      <c r="G425" s="14"/>
      <c r="H425" s="17" t="str">
        <f t="shared" si="48"/>
        <v/>
      </c>
      <c r="I425" s="18" t="str">
        <f>IF(OR(A425="",B425=""),"",IFERROR(LOOKUP(2,1/(单次交易!$A$2:$A$201=A425),单次交易!$H$2:$H$201),0)+SUMIFS($G$2:$G$1001,$A$2:$A$1001,A425,$B$2:$B$1001,"&lt;"&amp;B425))</f>
        <v/>
      </c>
      <c r="J425" s="17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17" t="str">
        <f t="shared" si="49"/>
        <v/>
      </c>
      <c r="L425" s="18" t="str">
        <f t="shared" si="50"/>
        <v/>
      </c>
      <c r="M425" s="18" t="str">
        <f t="shared" si="51"/>
        <v/>
      </c>
      <c r="N425" s="18" t="str">
        <f t="shared" si="52"/>
        <v/>
      </c>
      <c r="O425" s="18" t="str">
        <f t="shared" si="53"/>
        <v/>
      </c>
      <c r="P425" s="17" t="str">
        <f t="shared" si="54"/>
        <v/>
      </c>
      <c r="Q425" s="17" t="str">
        <f t="shared" si="55"/>
        <v/>
      </c>
      <c r="R425" s="19" t="str">
        <f ca="1">IF(A425="","",IF(COUNTIF(_TradeIds,A425)=0,"违规：交易编号不存在",IF(OR(B425="",B425&lt;1,B425&gt;5,B425&lt;&gt;INT(B425)),"违规：加仓序号须为1到5的整数",IF(COUNTIFS($A$2:$A$1001,A425,$B$2:$B$1001,B425)&gt;1,"违规：同一交易的加仓序号重复",IF(OR(D425="",E425="",F425=""),"计划不完整：请填写加仓价、新止损价和风险预算",IF(OR(D425&lt;=0,E425&lt;=0,F425&lt;=0,D425&lt;=E425),"违规：加仓价必须高于新止损价，金额须大于0",IF(AND(B425&gt;1,COUNTIFS($A$2:$A$1001,A425,$B$2:$B$1001,B425-1,$G$2:$G$1001,"&gt;0")=0),"违规：须先完成上一次加仓",IF(AND(B425&gt;1,E425&lt;SUMIFS($E$2:$E$1001,$A$2:$A$1001,A425,$B$2:$B$1001,B425-1)),"违规：新止损价不得低于上一次",IF(AND(B425&gt;1,F425&gt;SUMIFS($F$2:$F$1001,$A$2:$A$1001,A425,$B$2:$B$1001,B425-1)),"违规：风险预算须逐次不增加",IF(OR(_LockStatus="已锁仓",_LockStatus="解锁信息不完整"),"违规：锁仓期间禁止加仓",IF(G425="","计划可执行：建议股数见N列",IF(OR(G425&lt;=0,G425&lt;&gt;INT(G425),MOD(G425,100)&lt;&gt;0),"违规：实际股数须为100股整数倍",IF(G425&gt;N425,"违规：实际股数超过风险或金字塔上限",IF(AND(B425&gt;1,G425&gt;SUMIFS($G$2:$G$1001,$A$2:$A$1001,A425,$B$2:$B$1001,B425-1)),"违规：加仓股数须逐次不增加",IF(Q425&gt;F425,"违规：止损风险超过本次预算","通过")))))))))))))))</f>
        <v/>
      </c>
    </row>
    <row r="426" ht="17" spans="1:18">
      <c r="A426" s="13"/>
      <c r="B426" s="14"/>
      <c r="C426" s="15"/>
      <c r="D426" s="16"/>
      <c r="E426" s="16"/>
      <c r="F426" s="16"/>
      <c r="G426" s="14"/>
      <c r="H426" s="17" t="str">
        <f t="shared" si="48"/>
        <v/>
      </c>
      <c r="I426" s="18" t="str">
        <f>IF(OR(A426="",B426=""),"",IFERROR(LOOKUP(2,1/(单次交易!$A$2:$A$201=A426),单次交易!$H$2:$H$201),0)+SUMIFS($G$2:$G$1001,$A$2:$A$1001,A426,$B$2:$B$1001,"&lt;"&amp;B426))</f>
        <v/>
      </c>
      <c r="J426" s="17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17" t="str">
        <f t="shared" si="49"/>
        <v/>
      </c>
      <c r="L426" s="18" t="str">
        <f t="shared" si="50"/>
        <v/>
      </c>
      <c r="M426" s="18" t="str">
        <f t="shared" si="51"/>
        <v/>
      </c>
      <c r="N426" s="18" t="str">
        <f t="shared" si="52"/>
        <v/>
      </c>
      <c r="O426" s="18" t="str">
        <f t="shared" si="53"/>
        <v/>
      </c>
      <c r="P426" s="17" t="str">
        <f t="shared" si="54"/>
        <v/>
      </c>
      <c r="Q426" s="17" t="str">
        <f t="shared" si="55"/>
        <v/>
      </c>
      <c r="R426" s="19" t="str">
        <f ca="1">IF(A426="","",IF(COUNTIF(_TradeIds,A426)=0,"违规：交易编号不存在",IF(OR(B426="",B426&lt;1,B426&gt;5,B426&lt;&gt;INT(B426)),"违规：加仓序号须为1到5的整数",IF(COUNTIFS($A$2:$A$1001,A426,$B$2:$B$1001,B426)&gt;1,"违规：同一交易的加仓序号重复",IF(OR(D426="",E426="",F426=""),"计划不完整：请填写加仓价、新止损价和风险预算",IF(OR(D426&lt;=0,E426&lt;=0,F426&lt;=0,D426&lt;=E426),"违规：加仓价必须高于新止损价，金额须大于0",IF(AND(B426&gt;1,COUNTIFS($A$2:$A$1001,A426,$B$2:$B$1001,B426-1,$G$2:$G$1001,"&gt;0")=0),"违规：须先完成上一次加仓",IF(AND(B426&gt;1,E426&lt;SUMIFS($E$2:$E$1001,$A$2:$A$1001,A426,$B$2:$B$1001,B426-1)),"违规：新止损价不得低于上一次",IF(AND(B426&gt;1,F426&gt;SUMIFS($F$2:$F$1001,$A$2:$A$1001,A426,$B$2:$B$1001,B426-1)),"违规：风险预算须逐次不增加",IF(OR(_LockStatus="已锁仓",_LockStatus="解锁信息不完整"),"违规：锁仓期间禁止加仓",IF(G426="","计划可执行：建议股数见N列",IF(OR(G426&lt;=0,G426&lt;&gt;INT(G426),MOD(G426,100)&lt;&gt;0),"违规：实际股数须为100股整数倍",IF(G426&gt;N426,"违规：实际股数超过风险或金字塔上限",IF(AND(B426&gt;1,G426&gt;SUMIFS($G$2:$G$1001,$A$2:$A$1001,A426,$B$2:$B$1001,B426-1)),"违规：加仓股数须逐次不增加",IF(Q426&gt;F426,"违规：止损风险超过本次预算","通过")))))))))))))))</f>
        <v/>
      </c>
    </row>
    <row r="427" ht="17" spans="1:18">
      <c r="A427" s="13"/>
      <c r="B427" s="14"/>
      <c r="C427" s="15"/>
      <c r="D427" s="16"/>
      <c r="E427" s="16"/>
      <c r="F427" s="16"/>
      <c r="G427" s="14"/>
      <c r="H427" s="17" t="str">
        <f t="shared" si="48"/>
        <v/>
      </c>
      <c r="I427" s="18" t="str">
        <f>IF(OR(A427="",B427=""),"",IFERROR(LOOKUP(2,1/(单次交易!$A$2:$A$201=A427),单次交易!$H$2:$H$201),0)+SUMIFS($G$2:$G$1001,$A$2:$A$1001,A427,$B$2:$B$1001,"&lt;"&amp;B427))</f>
        <v/>
      </c>
      <c r="J427" s="17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17" t="str">
        <f t="shared" si="49"/>
        <v/>
      </c>
      <c r="L427" s="18" t="str">
        <f t="shared" si="50"/>
        <v/>
      </c>
      <c r="M427" s="18" t="str">
        <f t="shared" si="51"/>
        <v/>
      </c>
      <c r="N427" s="18" t="str">
        <f t="shared" si="52"/>
        <v/>
      </c>
      <c r="O427" s="18" t="str">
        <f t="shared" si="53"/>
        <v/>
      </c>
      <c r="P427" s="17" t="str">
        <f t="shared" si="54"/>
        <v/>
      </c>
      <c r="Q427" s="17" t="str">
        <f t="shared" si="55"/>
        <v/>
      </c>
      <c r="R427" s="19" t="str">
        <f ca="1">IF(A427="","",IF(COUNTIF(_TradeIds,A427)=0,"违规：交易编号不存在",IF(OR(B427="",B427&lt;1,B427&gt;5,B427&lt;&gt;INT(B427)),"违规：加仓序号须为1到5的整数",IF(COUNTIFS($A$2:$A$1001,A427,$B$2:$B$1001,B427)&gt;1,"违规：同一交易的加仓序号重复",IF(OR(D427="",E427="",F427=""),"计划不完整：请填写加仓价、新止损价和风险预算",IF(OR(D427&lt;=0,E427&lt;=0,F427&lt;=0,D427&lt;=E427),"违规：加仓价必须高于新止损价，金额须大于0",IF(AND(B427&gt;1,COUNTIFS($A$2:$A$1001,A427,$B$2:$B$1001,B427-1,$G$2:$G$1001,"&gt;0")=0),"违规：须先完成上一次加仓",IF(AND(B427&gt;1,E427&lt;SUMIFS($E$2:$E$1001,$A$2:$A$1001,A427,$B$2:$B$1001,B427-1)),"违规：新止损价不得低于上一次",IF(AND(B427&gt;1,F427&gt;SUMIFS($F$2:$F$1001,$A$2:$A$1001,A427,$B$2:$B$1001,B427-1)),"违规：风险预算须逐次不增加",IF(OR(_LockStatus="已锁仓",_LockStatus="解锁信息不完整"),"违规：锁仓期间禁止加仓",IF(G427="","计划可执行：建议股数见N列",IF(OR(G427&lt;=0,G427&lt;&gt;INT(G427),MOD(G427,100)&lt;&gt;0),"违规：实际股数须为100股整数倍",IF(G427&gt;N427,"违规：实际股数超过风险或金字塔上限",IF(AND(B427&gt;1,G427&gt;SUMIFS($G$2:$G$1001,$A$2:$A$1001,A427,$B$2:$B$1001,B427-1)),"违规：加仓股数须逐次不增加",IF(Q427&gt;F427,"违规：止损风险超过本次预算","通过")))))))))))))))</f>
        <v/>
      </c>
    </row>
    <row r="428" ht="17" spans="1:18">
      <c r="A428" s="13"/>
      <c r="B428" s="14"/>
      <c r="C428" s="15"/>
      <c r="D428" s="16"/>
      <c r="E428" s="16"/>
      <c r="F428" s="16"/>
      <c r="G428" s="14"/>
      <c r="H428" s="17" t="str">
        <f t="shared" si="48"/>
        <v/>
      </c>
      <c r="I428" s="18" t="str">
        <f>IF(OR(A428="",B428=""),"",IFERROR(LOOKUP(2,1/(单次交易!$A$2:$A$201=A428),单次交易!$H$2:$H$201),0)+SUMIFS($G$2:$G$1001,$A$2:$A$1001,A428,$B$2:$B$1001,"&lt;"&amp;B428))</f>
        <v/>
      </c>
      <c r="J428" s="17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17" t="str">
        <f t="shared" si="49"/>
        <v/>
      </c>
      <c r="L428" s="18" t="str">
        <f t="shared" si="50"/>
        <v/>
      </c>
      <c r="M428" s="18" t="str">
        <f t="shared" si="51"/>
        <v/>
      </c>
      <c r="N428" s="18" t="str">
        <f t="shared" si="52"/>
        <v/>
      </c>
      <c r="O428" s="18" t="str">
        <f t="shared" si="53"/>
        <v/>
      </c>
      <c r="P428" s="17" t="str">
        <f t="shared" si="54"/>
        <v/>
      </c>
      <c r="Q428" s="17" t="str">
        <f t="shared" si="55"/>
        <v/>
      </c>
      <c r="R428" s="19" t="str">
        <f ca="1">IF(A428="","",IF(COUNTIF(_TradeIds,A428)=0,"违规：交易编号不存在",IF(OR(B428="",B428&lt;1,B428&gt;5,B428&lt;&gt;INT(B428)),"违规：加仓序号须为1到5的整数",IF(COUNTIFS($A$2:$A$1001,A428,$B$2:$B$1001,B428)&gt;1,"违规：同一交易的加仓序号重复",IF(OR(D428="",E428="",F428=""),"计划不完整：请填写加仓价、新止损价和风险预算",IF(OR(D428&lt;=0,E428&lt;=0,F428&lt;=0,D428&lt;=E428),"违规：加仓价必须高于新止损价，金额须大于0",IF(AND(B428&gt;1,COUNTIFS($A$2:$A$1001,A428,$B$2:$B$1001,B428-1,$G$2:$G$1001,"&gt;0")=0),"违规：须先完成上一次加仓",IF(AND(B428&gt;1,E428&lt;SUMIFS($E$2:$E$1001,$A$2:$A$1001,A428,$B$2:$B$1001,B428-1)),"违规：新止损价不得低于上一次",IF(AND(B428&gt;1,F428&gt;SUMIFS($F$2:$F$1001,$A$2:$A$1001,A428,$B$2:$B$1001,B428-1)),"违规：风险预算须逐次不增加",IF(OR(_LockStatus="已锁仓",_LockStatus="解锁信息不完整"),"违规：锁仓期间禁止加仓",IF(G428="","计划可执行：建议股数见N列",IF(OR(G428&lt;=0,G428&lt;&gt;INT(G428),MOD(G428,100)&lt;&gt;0),"违规：实际股数须为100股整数倍",IF(G428&gt;N428,"违规：实际股数超过风险或金字塔上限",IF(AND(B428&gt;1,G428&gt;SUMIFS($G$2:$G$1001,$A$2:$A$1001,A428,$B$2:$B$1001,B428-1)),"违规：加仓股数须逐次不增加",IF(Q428&gt;F428,"违规：止损风险超过本次预算","通过")))))))))))))))</f>
        <v/>
      </c>
    </row>
    <row r="429" ht="17" spans="1:18">
      <c r="A429" s="13"/>
      <c r="B429" s="14"/>
      <c r="C429" s="15"/>
      <c r="D429" s="16"/>
      <c r="E429" s="16"/>
      <c r="F429" s="16"/>
      <c r="G429" s="14"/>
      <c r="H429" s="17" t="str">
        <f t="shared" si="48"/>
        <v/>
      </c>
      <c r="I429" s="18" t="str">
        <f>IF(OR(A429="",B429=""),"",IFERROR(LOOKUP(2,1/(单次交易!$A$2:$A$201=A429),单次交易!$H$2:$H$201),0)+SUMIFS($G$2:$G$1001,$A$2:$A$1001,A429,$B$2:$B$1001,"&lt;"&amp;B429))</f>
        <v/>
      </c>
      <c r="J429" s="17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17" t="str">
        <f t="shared" si="49"/>
        <v/>
      </c>
      <c r="L429" s="18" t="str">
        <f t="shared" si="50"/>
        <v/>
      </c>
      <c r="M429" s="18" t="str">
        <f t="shared" si="51"/>
        <v/>
      </c>
      <c r="N429" s="18" t="str">
        <f t="shared" si="52"/>
        <v/>
      </c>
      <c r="O429" s="18" t="str">
        <f t="shared" si="53"/>
        <v/>
      </c>
      <c r="P429" s="17" t="str">
        <f t="shared" si="54"/>
        <v/>
      </c>
      <c r="Q429" s="17" t="str">
        <f t="shared" si="55"/>
        <v/>
      </c>
      <c r="R429" s="19" t="str">
        <f ca="1">IF(A429="","",IF(COUNTIF(_TradeIds,A429)=0,"违规：交易编号不存在",IF(OR(B429="",B429&lt;1,B429&gt;5,B429&lt;&gt;INT(B429)),"违规：加仓序号须为1到5的整数",IF(COUNTIFS($A$2:$A$1001,A429,$B$2:$B$1001,B429)&gt;1,"违规：同一交易的加仓序号重复",IF(OR(D429="",E429="",F429=""),"计划不完整：请填写加仓价、新止损价和风险预算",IF(OR(D429&lt;=0,E429&lt;=0,F429&lt;=0,D429&lt;=E429),"违规：加仓价必须高于新止损价，金额须大于0",IF(AND(B429&gt;1,COUNTIFS($A$2:$A$1001,A429,$B$2:$B$1001,B429-1,$G$2:$G$1001,"&gt;0")=0),"违规：须先完成上一次加仓",IF(AND(B429&gt;1,E429&lt;SUMIFS($E$2:$E$1001,$A$2:$A$1001,A429,$B$2:$B$1001,B429-1)),"违规：新止损价不得低于上一次",IF(AND(B429&gt;1,F429&gt;SUMIFS($F$2:$F$1001,$A$2:$A$1001,A429,$B$2:$B$1001,B429-1)),"违规：风险预算须逐次不增加",IF(OR(_LockStatus="已锁仓",_LockStatus="解锁信息不完整"),"违规：锁仓期间禁止加仓",IF(G429="","计划可执行：建议股数见N列",IF(OR(G429&lt;=0,G429&lt;&gt;INT(G429),MOD(G429,100)&lt;&gt;0),"违规：实际股数须为100股整数倍",IF(G429&gt;N429,"违规：实际股数超过风险或金字塔上限",IF(AND(B429&gt;1,G429&gt;SUMIFS($G$2:$G$1001,$A$2:$A$1001,A429,$B$2:$B$1001,B429-1)),"违规：加仓股数须逐次不增加",IF(Q429&gt;F429,"违规：止损风险超过本次预算","通过")))))))))))))))</f>
        <v/>
      </c>
    </row>
    <row r="430" ht="17" spans="1:18">
      <c r="A430" s="13"/>
      <c r="B430" s="14"/>
      <c r="C430" s="15"/>
      <c r="D430" s="16"/>
      <c r="E430" s="16"/>
      <c r="F430" s="16"/>
      <c r="G430" s="14"/>
      <c r="H430" s="17" t="str">
        <f t="shared" si="48"/>
        <v/>
      </c>
      <c r="I430" s="18" t="str">
        <f>IF(OR(A430="",B430=""),"",IFERROR(LOOKUP(2,1/(单次交易!$A$2:$A$201=A430),单次交易!$H$2:$H$201),0)+SUMIFS($G$2:$G$1001,$A$2:$A$1001,A430,$B$2:$B$1001,"&lt;"&amp;B430))</f>
        <v/>
      </c>
      <c r="J430" s="17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17" t="str">
        <f t="shared" si="49"/>
        <v/>
      </c>
      <c r="L430" s="18" t="str">
        <f t="shared" si="50"/>
        <v/>
      </c>
      <c r="M430" s="18" t="str">
        <f t="shared" si="51"/>
        <v/>
      </c>
      <c r="N430" s="18" t="str">
        <f t="shared" si="52"/>
        <v/>
      </c>
      <c r="O430" s="18" t="str">
        <f t="shared" si="53"/>
        <v/>
      </c>
      <c r="P430" s="17" t="str">
        <f t="shared" si="54"/>
        <v/>
      </c>
      <c r="Q430" s="17" t="str">
        <f t="shared" si="55"/>
        <v/>
      </c>
      <c r="R430" s="19" t="str">
        <f ca="1">IF(A430="","",IF(COUNTIF(_TradeIds,A430)=0,"违规：交易编号不存在",IF(OR(B430="",B430&lt;1,B430&gt;5,B430&lt;&gt;INT(B430)),"违规：加仓序号须为1到5的整数",IF(COUNTIFS($A$2:$A$1001,A430,$B$2:$B$1001,B430)&gt;1,"违规：同一交易的加仓序号重复",IF(OR(D430="",E430="",F430=""),"计划不完整：请填写加仓价、新止损价和风险预算",IF(OR(D430&lt;=0,E430&lt;=0,F430&lt;=0,D430&lt;=E430),"违规：加仓价必须高于新止损价，金额须大于0",IF(AND(B430&gt;1,COUNTIFS($A$2:$A$1001,A430,$B$2:$B$1001,B430-1,$G$2:$G$1001,"&gt;0")=0),"违规：须先完成上一次加仓",IF(AND(B430&gt;1,E430&lt;SUMIFS($E$2:$E$1001,$A$2:$A$1001,A430,$B$2:$B$1001,B430-1)),"违规：新止损价不得低于上一次",IF(AND(B430&gt;1,F430&gt;SUMIFS($F$2:$F$1001,$A$2:$A$1001,A430,$B$2:$B$1001,B430-1)),"违规：风险预算须逐次不增加",IF(OR(_LockStatus="已锁仓",_LockStatus="解锁信息不完整"),"违规：锁仓期间禁止加仓",IF(G430="","计划可执行：建议股数见N列",IF(OR(G430&lt;=0,G430&lt;&gt;INT(G430),MOD(G430,100)&lt;&gt;0),"违规：实际股数须为100股整数倍",IF(G430&gt;N430,"违规：实际股数超过风险或金字塔上限",IF(AND(B430&gt;1,G430&gt;SUMIFS($G$2:$G$1001,$A$2:$A$1001,A430,$B$2:$B$1001,B430-1)),"违规：加仓股数须逐次不增加",IF(Q430&gt;F430,"违规：止损风险超过本次预算","通过")))))))))))))))</f>
        <v/>
      </c>
    </row>
    <row r="431" ht="17" spans="1:18">
      <c r="A431" s="13"/>
      <c r="B431" s="14"/>
      <c r="C431" s="15"/>
      <c r="D431" s="16"/>
      <c r="E431" s="16"/>
      <c r="F431" s="16"/>
      <c r="G431" s="14"/>
      <c r="H431" s="17" t="str">
        <f t="shared" si="48"/>
        <v/>
      </c>
      <c r="I431" s="18" t="str">
        <f>IF(OR(A431="",B431=""),"",IFERROR(LOOKUP(2,1/(单次交易!$A$2:$A$201=A431),单次交易!$H$2:$H$201),0)+SUMIFS($G$2:$G$1001,$A$2:$A$1001,A431,$B$2:$B$1001,"&lt;"&amp;B431))</f>
        <v/>
      </c>
      <c r="J431" s="17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17" t="str">
        <f t="shared" si="49"/>
        <v/>
      </c>
      <c r="L431" s="18" t="str">
        <f t="shared" si="50"/>
        <v/>
      </c>
      <c r="M431" s="18" t="str">
        <f t="shared" si="51"/>
        <v/>
      </c>
      <c r="N431" s="18" t="str">
        <f t="shared" si="52"/>
        <v/>
      </c>
      <c r="O431" s="18" t="str">
        <f t="shared" si="53"/>
        <v/>
      </c>
      <c r="P431" s="17" t="str">
        <f t="shared" si="54"/>
        <v/>
      </c>
      <c r="Q431" s="17" t="str">
        <f t="shared" si="55"/>
        <v/>
      </c>
      <c r="R431" s="19" t="str">
        <f ca="1">IF(A431="","",IF(COUNTIF(_TradeIds,A431)=0,"违规：交易编号不存在",IF(OR(B431="",B431&lt;1,B431&gt;5,B431&lt;&gt;INT(B431)),"违规：加仓序号须为1到5的整数",IF(COUNTIFS($A$2:$A$1001,A431,$B$2:$B$1001,B431)&gt;1,"违规：同一交易的加仓序号重复",IF(OR(D431="",E431="",F431=""),"计划不完整：请填写加仓价、新止损价和风险预算",IF(OR(D431&lt;=0,E431&lt;=0,F431&lt;=0,D431&lt;=E431),"违规：加仓价必须高于新止损价，金额须大于0",IF(AND(B431&gt;1,COUNTIFS($A$2:$A$1001,A431,$B$2:$B$1001,B431-1,$G$2:$G$1001,"&gt;0")=0),"违规：须先完成上一次加仓",IF(AND(B431&gt;1,E431&lt;SUMIFS($E$2:$E$1001,$A$2:$A$1001,A431,$B$2:$B$1001,B431-1)),"违规：新止损价不得低于上一次",IF(AND(B431&gt;1,F431&gt;SUMIFS($F$2:$F$1001,$A$2:$A$1001,A431,$B$2:$B$1001,B431-1)),"违规：风险预算须逐次不增加",IF(OR(_LockStatus="已锁仓",_LockStatus="解锁信息不完整"),"违规：锁仓期间禁止加仓",IF(G431="","计划可执行：建议股数见N列",IF(OR(G431&lt;=0,G431&lt;&gt;INT(G431),MOD(G431,100)&lt;&gt;0),"违规：实际股数须为100股整数倍",IF(G431&gt;N431,"违规：实际股数超过风险或金字塔上限",IF(AND(B431&gt;1,G431&gt;SUMIFS($G$2:$G$1001,$A$2:$A$1001,A431,$B$2:$B$1001,B431-1)),"违规：加仓股数须逐次不增加",IF(Q431&gt;F431,"违规：止损风险超过本次预算","通过")))))))))))))))</f>
        <v/>
      </c>
    </row>
    <row r="432" ht="17" spans="1:18">
      <c r="A432" s="13"/>
      <c r="B432" s="14"/>
      <c r="C432" s="15"/>
      <c r="D432" s="16"/>
      <c r="E432" s="16"/>
      <c r="F432" s="16"/>
      <c r="G432" s="14"/>
      <c r="H432" s="17" t="str">
        <f t="shared" si="48"/>
        <v/>
      </c>
      <c r="I432" s="18" t="str">
        <f>IF(OR(A432="",B432=""),"",IFERROR(LOOKUP(2,1/(单次交易!$A$2:$A$201=A432),单次交易!$H$2:$H$201),0)+SUMIFS($G$2:$G$1001,$A$2:$A$1001,A432,$B$2:$B$1001,"&lt;"&amp;B432))</f>
        <v/>
      </c>
      <c r="J432" s="17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17" t="str">
        <f t="shared" si="49"/>
        <v/>
      </c>
      <c r="L432" s="18" t="str">
        <f t="shared" si="50"/>
        <v/>
      </c>
      <c r="M432" s="18" t="str">
        <f t="shared" si="51"/>
        <v/>
      </c>
      <c r="N432" s="18" t="str">
        <f t="shared" si="52"/>
        <v/>
      </c>
      <c r="O432" s="18" t="str">
        <f t="shared" si="53"/>
        <v/>
      </c>
      <c r="P432" s="17" t="str">
        <f t="shared" si="54"/>
        <v/>
      </c>
      <c r="Q432" s="17" t="str">
        <f t="shared" si="55"/>
        <v/>
      </c>
      <c r="R432" s="19" t="str">
        <f ca="1">IF(A432="","",IF(COUNTIF(_TradeIds,A432)=0,"违规：交易编号不存在",IF(OR(B432="",B432&lt;1,B432&gt;5,B432&lt;&gt;INT(B432)),"违规：加仓序号须为1到5的整数",IF(COUNTIFS($A$2:$A$1001,A432,$B$2:$B$1001,B432)&gt;1,"违规：同一交易的加仓序号重复",IF(OR(D432="",E432="",F432=""),"计划不完整：请填写加仓价、新止损价和风险预算",IF(OR(D432&lt;=0,E432&lt;=0,F432&lt;=0,D432&lt;=E432),"违规：加仓价必须高于新止损价，金额须大于0",IF(AND(B432&gt;1,COUNTIFS($A$2:$A$1001,A432,$B$2:$B$1001,B432-1,$G$2:$G$1001,"&gt;0")=0),"违规：须先完成上一次加仓",IF(AND(B432&gt;1,E432&lt;SUMIFS($E$2:$E$1001,$A$2:$A$1001,A432,$B$2:$B$1001,B432-1)),"违规：新止损价不得低于上一次",IF(AND(B432&gt;1,F432&gt;SUMIFS($F$2:$F$1001,$A$2:$A$1001,A432,$B$2:$B$1001,B432-1)),"违规：风险预算须逐次不增加",IF(OR(_LockStatus="已锁仓",_LockStatus="解锁信息不完整"),"违规：锁仓期间禁止加仓",IF(G432="","计划可执行：建议股数见N列",IF(OR(G432&lt;=0,G432&lt;&gt;INT(G432),MOD(G432,100)&lt;&gt;0),"违规：实际股数须为100股整数倍",IF(G432&gt;N432,"违规：实际股数超过风险或金字塔上限",IF(AND(B432&gt;1,G432&gt;SUMIFS($G$2:$G$1001,$A$2:$A$1001,A432,$B$2:$B$1001,B432-1)),"违规：加仓股数须逐次不增加",IF(Q432&gt;F432,"违规：止损风险超过本次预算","通过")))))))))))))))</f>
        <v/>
      </c>
    </row>
    <row r="433" ht="17" spans="1:18">
      <c r="A433" s="13"/>
      <c r="B433" s="14"/>
      <c r="C433" s="15"/>
      <c r="D433" s="16"/>
      <c r="E433" s="16"/>
      <c r="F433" s="16"/>
      <c r="G433" s="14"/>
      <c r="H433" s="17" t="str">
        <f t="shared" si="48"/>
        <v/>
      </c>
      <c r="I433" s="18" t="str">
        <f>IF(OR(A433="",B433=""),"",IFERROR(LOOKUP(2,1/(单次交易!$A$2:$A$201=A433),单次交易!$H$2:$H$201),0)+SUMIFS($G$2:$G$1001,$A$2:$A$1001,A433,$B$2:$B$1001,"&lt;"&amp;B433))</f>
        <v/>
      </c>
      <c r="J433" s="17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17" t="str">
        <f t="shared" si="49"/>
        <v/>
      </c>
      <c r="L433" s="18" t="str">
        <f t="shared" si="50"/>
        <v/>
      </c>
      <c r="M433" s="18" t="str">
        <f t="shared" si="51"/>
        <v/>
      </c>
      <c r="N433" s="18" t="str">
        <f t="shared" si="52"/>
        <v/>
      </c>
      <c r="O433" s="18" t="str">
        <f t="shared" si="53"/>
        <v/>
      </c>
      <c r="P433" s="17" t="str">
        <f t="shared" si="54"/>
        <v/>
      </c>
      <c r="Q433" s="17" t="str">
        <f t="shared" si="55"/>
        <v/>
      </c>
      <c r="R433" s="19" t="str">
        <f ca="1">IF(A433="","",IF(COUNTIF(_TradeIds,A433)=0,"违规：交易编号不存在",IF(OR(B433="",B433&lt;1,B433&gt;5,B433&lt;&gt;INT(B433)),"违规：加仓序号须为1到5的整数",IF(COUNTIFS($A$2:$A$1001,A433,$B$2:$B$1001,B433)&gt;1,"违规：同一交易的加仓序号重复",IF(OR(D433="",E433="",F433=""),"计划不完整：请填写加仓价、新止损价和风险预算",IF(OR(D433&lt;=0,E433&lt;=0,F433&lt;=0,D433&lt;=E433),"违规：加仓价必须高于新止损价，金额须大于0",IF(AND(B433&gt;1,COUNTIFS($A$2:$A$1001,A433,$B$2:$B$1001,B433-1,$G$2:$G$1001,"&gt;0")=0),"违规：须先完成上一次加仓",IF(AND(B433&gt;1,E433&lt;SUMIFS($E$2:$E$1001,$A$2:$A$1001,A433,$B$2:$B$1001,B433-1)),"违规：新止损价不得低于上一次",IF(AND(B433&gt;1,F433&gt;SUMIFS($F$2:$F$1001,$A$2:$A$1001,A433,$B$2:$B$1001,B433-1)),"违规：风险预算须逐次不增加",IF(OR(_LockStatus="已锁仓",_LockStatus="解锁信息不完整"),"违规：锁仓期间禁止加仓",IF(G433="","计划可执行：建议股数见N列",IF(OR(G433&lt;=0,G433&lt;&gt;INT(G433),MOD(G433,100)&lt;&gt;0),"违规：实际股数须为100股整数倍",IF(G433&gt;N433,"违规：实际股数超过风险或金字塔上限",IF(AND(B433&gt;1,G433&gt;SUMIFS($G$2:$G$1001,$A$2:$A$1001,A433,$B$2:$B$1001,B433-1)),"违规：加仓股数须逐次不增加",IF(Q433&gt;F433,"违规：止损风险超过本次预算","通过")))))))))))))))</f>
        <v/>
      </c>
    </row>
    <row r="434" ht="17" spans="1:18">
      <c r="A434" s="13"/>
      <c r="B434" s="14"/>
      <c r="C434" s="15"/>
      <c r="D434" s="16"/>
      <c r="E434" s="16"/>
      <c r="F434" s="16"/>
      <c r="G434" s="14"/>
      <c r="H434" s="17" t="str">
        <f t="shared" si="48"/>
        <v/>
      </c>
      <c r="I434" s="18" t="str">
        <f>IF(OR(A434="",B434=""),"",IFERROR(LOOKUP(2,1/(单次交易!$A$2:$A$201=A434),单次交易!$H$2:$H$201),0)+SUMIFS($G$2:$G$1001,$A$2:$A$1001,A434,$B$2:$B$1001,"&lt;"&amp;B434))</f>
        <v/>
      </c>
      <c r="J434" s="17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17" t="str">
        <f t="shared" si="49"/>
        <v/>
      </c>
      <c r="L434" s="18" t="str">
        <f t="shared" si="50"/>
        <v/>
      </c>
      <c r="M434" s="18" t="str">
        <f t="shared" si="51"/>
        <v/>
      </c>
      <c r="N434" s="18" t="str">
        <f t="shared" si="52"/>
        <v/>
      </c>
      <c r="O434" s="18" t="str">
        <f t="shared" si="53"/>
        <v/>
      </c>
      <c r="P434" s="17" t="str">
        <f t="shared" si="54"/>
        <v/>
      </c>
      <c r="Q434" s="17" t="str">
        <f t="shared" si="55"/>
        <v/>
      </c>
      <c r="R434" s="19" t="str">
        <f ca="1">IF(A434="","",IF(COUNTIF(_TradeIds,A434)=0,"违规：交易编号不存在",IF(OR(B434="",B434&lt;1,B434&gt;5,B434&lt;&gt;INT(B434)),"违规：加仓序号须为1到5的整数",IF(COUNTIFS($A$2:$A$1001,A434,$B$2:$B$1001,B434)&gt;1,"违规：同一交易的加仓序号重复",IF(OR(D434="",E434="",F434=""),"计划不完整：请填写加仓价、新止损价和风险预算",IF(OR(D434&lt;=0,E434&lt;=0,F434&lt;=0,D434&lt;=E434),"违规：加仓价必须高于新止损价，金额须大于0",IF(AND(B434&gt;1,COUNTIFS($A$2:$A$1001,A434,$B$2:$B$1001,B434-1,$G$2:$G$1001,"&gt;0")=0),"违规：须先完成上一次加仓",IF(AND(B434&gt;1,E434&lt;SUMIFS($E$2:$E$1001,$A$2:$A$1001,A434,$B$2:$B$1001,B434-1)),"违规：新止损价不得低于上一次",IF(AND(B434&gt;1,F434&gt;SUMIFS($F$2:$F$1001,$A$2:$A$1001,A434,$B$2:$B$1001,B434-1)),"违规：风险预算须逐次不增加",IF(OR(_LockStatus="已锁仓",_LockStatus="解锁信息不完整"),"违规：锁仓期间禁止加仓",IF(G434="","计划可执行：建议股数见N列",IF(OR(G434&lt;=0,G434&lt;&gt;INT(G434),MOD(G434,100)&lt;&gt;0),"违规：实际股数须为100股整数倍",IF(G434&gt;N434,"违规：实际股数超过风险或金字塔上限",IF(AND(B434&gt;1,G434&gt;SUMIFS($G$2:$G$1001,$A$2:$A$1001,A434,$B$2:$B$1001,B434-1)),"违规：加仓股数须逐次不增加",IF(Q434&gt;F434,"违规：止损风险超过本次预算","通过")))))))))))))))</f>
        <v/>
      </c>
    </row>
    <row r="435" ht="17" spans="1:18">
      <c r="A435" s="13"/>
      <c r="B435" s="14"/>
      <c r="C435" s="15"/>
      <c r="D435" s="16"/>
      <c r="E435" s="16"/>
      <c r="F435" s="16"/>
      <c r="G435" s="14"/>
      <c r="H435" s="17" t="str">
        <f t="shared" si="48"/>
        <v/>
      </c>
      <c r="I435" s="18" t="str">
        <f>IF(OR(A435="",B435=""),"",IFERROR(LOOKUP(2,1/(单次交易!$A$2:$A$201=A435),单次交易!$H$2:$H$201),0)+SUMIFS($G$2:$G$1001,$A$2:$A$1001,A435,$B$2:$B$1001,"&lt;"&amp;B435))</f>
        <v/>
      </c>
      <c r="J435" s="17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17" t="str">
        <f t="shared" si="49"/>
        <v/>
      </c>
      <c r="L435" s="18" t="str">
        <f t="shared" si="50"/>
        <v/>
      </c>
      <c r="M435" s="18" t="str">
        <f t="shared" si="51"/>
        <v/>
      </c>
      <c r="N435" s="18" t="str">
        <f t="shared" si="52"/>
        <v/>
      </c>
      <c r="O435" s="18" t="str">
        <f t="shared" si="53"/>
        <v/>
      </c>
      <c r="P435" s="17" t="str">
        <f t="shared" si="54"/>
        <v/>
      </c>
      <c r="Q435" s="17" t="str">
        <f t="shared" si="55"/>
        <v/>
      </c>
      <c r="R435" s="19" t="str">
        <f ca="1">IF(A435="","",IF(COUNTIF(_TradeIds,A435)=0,"违规：交易编号不存在",IF(OR(B435="",B435&lt;1,B435&gt;5,B435&lt;&gt;INT(B435)),"违规：加仓序号须为1到5的整数",IF(COUNTIFS($A$2:$A$1001,A435,$B$2:$B$1001,B435)&gt;1,"违规：同一交易的加仓序号重复",IF(OR(D435="",E435="",F435=""),"计划不完整：请填写加仓价、新止损价和风险预算",IF(OR(D435&lt;=0,E435&lt;=0,F435&lt;=0,D435&lt;=E435),"违规：加仓价必须高于新止损价，金额须大于0",IF(AND(B435&gt;1,COUNTIFS($A$2:$A$1001,A435,$B$2:$B$1001,B435-1,$G$2:$G$1001,"&gt;0")=0),"违规：须先完成上一次加仓",IF(AND(B435&gt;1,E435&lt;SUMIFS($E$2:$E$1001,$A$2:$A$1001,A435,$B$2:$B$1001,B435-1)),"违规：新止损价不得低于上一次",IF(AND(B435&gt;1,F435&gt;SUMIFS($F$2:$F$1001,$A$2:$A$1001,A435,$B$2:$B$1001,B435-1)),"违规：风险预算须逐次不增加",IF(OR(_LockStatus="已锁仓",_LockStatus="解锁信息不完整"),"违规：锁仓期间禁止加仓",IF(G435="","计划可执行：建议股数见N列",IF(OR(G435&lt;=0,G435&lt;&gt;INT(G435),MOD(G435,100)&lt;&gt;0),"违规：实际股数须为100股整数倍",IF(G435&gt;N435,"违规：实际股数超过风险或金字塔上限",IF(AND(B435&gt;1,G435&gt;SUMIFS($G$2:$G$1001,$A$2:$A$1001,A435,$B$2:$B$1001,B435-1)),"违规：加仓股数须逐次不增加",IF(Q435&gt;F435,"违规：止损风险超过本次预算","通过")))))))))))))))</f>
        <v/>
      </c>
    </row>
    <row r="436" ht="17" spans="1:18">
      <c r="A436" s="13"/>
      <c r="B436" s="14"/>
      <c r="C436" s="15"/>
      <c r="D436" s="16"/>
      <c r="E436" s="16"/>
      <c r="F436" s="16"/>
      <c r="G436" s="14"/>
      <c r="H436" s="17" t="str">
        <f t="shared" si="48"/>
        <v/>
      </c>
      <c r="I436" s="18" t="str">
        <f>IF(OR(A436="",B436=""),"",IFERROR(LOOKUP(2,1/(单次交易!$A$2:$A$201=A436),单次交易!$H$2:$H$201),0)+SUMIFS($G$2:$G$1001,$A$2:$A$1001,A436,$B$2:$B$1001,"&lt;"&amp;B436))</f>
        <v/>
      </c>
      <c r="J436" s="17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17" t="str">
        <f t="shared" si="49"/>
        <v/>
      </c>
      <c r="L436" s="18" t="str">
        <f t="shared" si="50"/>
        <v/>
      </c>
      <c r="M436" s="18" t="str">
        <f t="shared" si="51"/>
        <v/>
      </c>
      <c r="N436" s="18" t="str">
        <f t="shared" si="52"/>
        <v/>
      </c>
      <c r="O436" s="18" t="str">
        <f t="shared" si="53"/>
        <v/>
      </c>
      <c r="P436" s="17" t="str">
        <f t="shared" si="54"/>
        <v/>
      </c>
      <c r="Q436" s="17" t="str">
        <f t="shared" si="55"/>
        <v/>
      </c>
      <c r="R436" s="19" t="str">
        <f ca="1">IF(A436="","",IF(COUNTIF(_TradeIds,A436)=0,"违规：交易编号不存在",IF(OR(B436="",B436&lt;1,B436&gt;5,B436&lt;&gt;INT(B436)),"违规：加仓序号须为1到5的整数",IF(COUNTIFS($A$2:$A$1001,A436,$B$2:$B$1001,B436)&gt;1,"违规：同一交易的加仓序号重复",IF(OR(D436="",E436="",F436=""),"计划不完整：请填写加仓价、新止损价和风险预算",IF(OR(D436&lt;=0,E436&lt;=0,F436&lt;=0,D436&lt;=E436),"违规：加仓价必须高于新止损价，金额须大于0",IF(AND(B436&gt;1,COUNTIFS($A$2:$A$1001,A436,$B$2:$B$1001,B436-1,$G$2:$G$1001,"&gt;0")=0),"违规：须先完成上一次加仓",IF(AND(B436&gt;1,E436&lt;SUMIFS($E$2:$E$1001,$A$2:$A$1001,A436,$B$2:$B$1001,B436-1)),"违规：新止损价不得低于上一次",IF(AND(B436&gt;1,F436&gt;SUMIFS($F$2:$F$1001,$A$2:$A$1001,A436,$B$2:$B$1001,B436-1)),"违规：风险预算须逐次不增加",IF(OR(_LockStatus="已锁仓",_LockStatus="解锁信息不完整"),"违规：锁仓期间禁止加仓",IF(G436="","计划可执行：建议股数见N列",IF(OR(G436&lt;=0,G436&lt;&gt;INT(G436),MOD(G436,100)&lt;&gt;0),"违规：实际股数须为100股整数倍",IF(G436&gt;N436,"违规：实际股数超过风险或金字塔上限",IF(AND(B436&gt;1,G436&gt;SUMIFS($G$2:$G$1001,$A$2:$A$1001,A436,$B$2:$B$1001,B436-1)),"违规：加仓股数须逐次不增加",IF(Q436&gt;F436,"违规：止损风险超过本次预算","通过")))))))))))))))</f>
        <v/>
      </c>
    </row>
    <row r="437" ht="17" spans="1:18">
      <c r="A437" s="13"/>
      <c r="B437" s="14"/>
      <c r="C437" s="15"/>
      <c r="D437" s="16"/>
      <c r="E437" s="16"/>
      <c r="F437" s="16"/>
      <c r="G437" s="14"/>
      <c r="H437" s="17" t="str">
        <f t="shared" si="48"/>
        <v/>
      </c>
      <c r="I437" s="18" t="str">
        <f>IF(OR(A437="",B437=""),"",IFERROR(LOOKUP(2,1/(单次交易!$A$2:$A$201=A437),单次交易!$H$2:$H$201),0)+SUMIFS($G$2:$G$1001,$A$2:$A$1001,A437,$B$2:$B$1001,"&lt;"&amp;B437))</f>
        <v/>
      </c>
      <c r="J437" s="17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17" t="str">
        <f t="shared" si="49"/>
        <v/>
      </c>
      <c r="L437" s="18" t="str">
        <f t="shared" si="50"/>
        <v/>
      </c>
      <c r="M437" s="18" t="str">
        <f t="shared" si="51"/>
        <v/>
      </c>
      <c r="N437" s="18" t="str">
        <f t="shared" si="52"/>
        <v/>
      </c>
      <c r="O437" s="18" t="str">
        <f t="shared" si="53"/>
        <v/>
      </c>
      <c r="P437" s="17" t="str">
        <f t="shared" si="54"/>
        <v/>
      </c>
      <c r="Q437" s="17" t="str">
        <f t="shared" si="55"/>
        <v/>
      </c>
      <c r="R437" s="19" t="str">
        <f ca="1">IF(A437="","",IF(COUNTIF(_TradeIds,A437)=0,"违规：交易编号不存在",IF(OR(B437="",B437&lt;1,B437&gt;5,B437&lt;&gt;INT(B437)),"违规：加仓序号须为1到5的整数",IF(COUNTIFS($A$2:$A$1001,A437,$B$2:$B$1001,B437)&gt;1,"违规：同一交易的加仓序号重复",IF(OR(D437="",E437="",F437=""),"计划不完整：请填写加仓价、新止损价和风险预算",IF(OR(D437&lt;=0,E437&lt;=0,F437&lt;=0,D437&lt;=E437),"违规：加仓价必须高于新止损价，金额须大于0",IF(AND(B437&gt;1,COUNTIFS($A$2:$A$1001,A437,$B$2:$B$1001,B437-1,$G$2:$G$1001,"&gt;0")=0),"违规：须先完成上一次加仓",IF(AND(B437&gt;1,E437&lt;SUMIFS($E$2:$E$1001,$A$2:$A$1001,A437,$B$2:$B$1001,B437-1)),"违规：新止损价不得低于上一次",IF(AND(B437&gt;1,F437&gt;SUMIFS($F$2:$F$1001,$A$2:$A$1001,A437,$B$2:$B$1001,B437-1)),"违规：风险预算须逐次不增加",IF(OR(_LockStatus="已锁仓",_LockStatus="解锁信息不完整"),"违规：锁仓期间禁止加仓",IF(G437="","计划可执行：建议股数见N列",IF(OR(G437&lt;=0,G437&lt;&gt;INT(G437),MOD(G437,100)&lt;&gt;0),"违规：实际股数须为100股整数倍",IF(G437&gt;N437,"违规：实际股数超过风险或金字塔上限",IF(AND(B437&gt;1,G437&gt;SUMIFS($G$2:$G$1001,$A$2:$A$1001,A437,$B$2:$B$1001,B437-1)),"违规：加仓股数须逐次不增加",IF(Q437&gt;F437,"违规：止损风险超过本次预算","通过")))))))))))))))</f>
        <v/>
      </c>
    </row>
    <row r="438" ht="17" spans="1:18">
      <c r="A438" s="13"/>
      <c r="B438" s="14"/>
      <c r="C438" s="15"/>
      <c r="D438" s="16"/>
      <c r="E438" s="16"/>
      <c r="F438" s="16"/>
      <c r="G438" s="14"/>
      <c r="H438" s="17" t="str">
        <f t="shared" si="48"/>
        <v/>
      </c>
      <c r="I438" s="18" t="str">
        <f>IF(OR(A438="",B438=""),"",IFERROR(LOOKUP(2,1/(单次交易!$A$2:$A$201=A438),单次交易!$H$2:$H$201),0)+SUMIFS($G$2:$G$1001,$A$2:$A$1001,A438,$B$2:$B$1001,"&lt;"&amp;B438))</f>
        <v/>
      </c>
      <c r="J438" s="17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17" t="str">
        <f t="shared" si="49"/>
        <v/>
      </c>
      <c r="L438" s="18" t="str">
        <f t="shared" si="50"/>
        <v/>
      </c>
      <c r="M438" s="18" t="str">
        <f t="shared" si="51"/>
        <v/>
      </c>
      <c r="N438" s="18" t="str">
        <f t="shared" si="52"/>
        <v/>
      </c>
      <c r="O438" s="18" t="str">
        <f t="shared" si="53"/>
        <v/>
      </c>
      <c r="P438" s="17" t="str">
        <f t="shared" si="54"/>
        <v/>
      </c>
      <c r="Q438" s="17" t="str">
        <f t="shared" si="55"/>
        <v/>
      </c>
      <c r="R438" s="19" t="str">
        <f ca="1">IF(A438="","",IF(COUNTIF(_TradeIds,A438)=0,"违规：交易编号不存在",IF(OR(B438="",B438&lt;1,B438&gt;5,B438&lt;&gt;INT(B438)),"违规：加仓序号须为1到5的整数",IF(COUNTIFS($A$2:$A$1001,A438,$B$2:$B$1001,B438)&gt;1,"违规：同一交易的加仓序号重复",IF(OR(D438="",E438="",F438=""),"计划不完整：请填写加仓价、新止损价和风险预算",IF(OR(D438&lt;=0,E438&lt;=0,F438&lt;=0,D438&lt;=E438),"违规：加仓价必须高于新止损价，金额须大于0",IF(AND(B438&gt;1,COUNTIFS($A$2:$A$1001,A438,$B$2:$B$1001,B438-1,$G$2:$G$1001,"&gt;0")=0),"违规：须先完成上一次加仓",IF(AND(B438&gt;1,E438&lt;SUMIFS($E$2:$E$1001,$A$2:$A$1001,A438,$B$2:$B$1001,B438-1)),"违规：新止损价不得低于上一次",IF(AND(B438&gt;1,F438&gt;SUMIFS($F$2:$F$1001,$A$2:$A$1001,A438,$B$2:$B$1001,B438-1)),"违规：风险预算须逐次不增加",IF(OR(_LockStatus="已锁仓",_LockStatus="解锁信息不完整"),"违规：锁仓期间禁止加仓",IF(G438="","计划可执行：建议股数见N列",IF(OR(G438&lt;=0,G438&lt;&gt;INT(G438),MOD(G438,100)&lt;&gt;0),"违规：实际股数须为100股整数倍",IF(G438&gt;N438,"违规：实际股数超过风险或金字塔上限",IF(AND(B438&gt;1,G438&gt;SUMIFS($G$2:$G$1001,$A$2:$A$1001,A438,$B$2:$B$1001,B438-1)),"违规：加仓股数须逐次不增加",IF(Q438&gt;F438,"违规：止损风险超过本次预算","通过")))))))))))))))</f>
        <v/>
      </c>
    </row>
    <row r="439" ht="17" spans="1:18">
      <c r="A439" s="13"/>
      <c r="B439" s="14"/>
      <c r="C439" s="15"/>
      <c r="D439" s="16"/>
      <c r="E439" s="16"/>
      <c r="F439" s="16"/>
      <c r="G439" s="14"/>
      <c r="H439" s="17" t="str">
        <f t="shared" si="48"/>
        <v/>
      </c>
      <c r="I439" s="18" t="str">
        <f>IF(OR(A439="",B439=""),"",IFERROR(LOOKUP(2,1/(单次交易!$A$2:$A$201=A439),单次交易!$H$2:$H$201),0)+SUMIFS($G$2:$G$1001,$A$2:$A$1001,A439,$B$2:$B$1001,"&lt;"&amp;B439))</f>
        <v/>
      </c>
      <c r="J439" s="17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17" t="str">
        <f t="shared" si="49"/>
        <v/>
      </c>
      <c r="L439" s="18" t="str">
        <f t="shared" si="50"/>
        <v/>
      </c>
      <c r="M439" s="18" t="str">
        <f t="shared" si="51"/>
        <v/>
      </c>
      <c r="N439" s="18" t="str">
        <f t="shared" si="52"/>
        <v/>
      </c>
      <c r="O439" s="18" t="str">
        <f t="shared" si="53"/>
        <v/>
      </c>
      <c r="P439" s="17" t="str">
        <f t="shared" si="54"/>
        <v/>
      </c>
      <c r="Q439" s="17" t="str">
        <f t="shared" si="55"/>
        <v/>
      </c>
      <c r="R439" s="19" t="str">
        <f ca="1">IF(A439="","",IF(COUNTIF(_TradeIds,A439)=0,"违规：交易编号不存在",IF(OR(B439="",B439&lt;1,B439&gt;5,B439&lt;&gt;INT(B439)),"违规：加仓序号须为1到5的整数",IF(COUNTIFS($A$2:$A$1001,A439,$B$2:$B$1001,B439)&gt;1,"违规：同一交易的加仓序号重复",IF(OR(D439="",E439="",F439=""),"计划不完整：请填写加仓价、新止损价和风险预算",IF(OR(D439&lt;=0,E439&lt;=0,F439&lt;=0,D439&lt;=E439),"违规：加仓价必须高于新止损价，金额须大于0",IF(AND(B439&gt;1,COUNTIFS($A$2:$A$1001,A439,$B$2:$B$1001,B439-1,$G$2:$G$1001,"&gt;0")=0),"违规：须先完成上一次加仓",IF(AND(B439&gt;1,E439&lt;SUMIFS($E$2:$E$1001,$A$2:$A$1001,A439,$B$2:$B$1001,B439-1)),"违规：新止损价不得低于上一次",IF(AND(B439&gt;1,F439&gt;SUMIFS($F$2:$F$1001,$A$2:$A$1001,A439,$B$2:$B$1001,B439-1)),"违规：风险预算须逐次不增加",IF(OR(_LockStatus="已锁仓",_LockStatus="解锁信息不完整"),"违规：锁仓期间禁止加仓",IF(G439="","计划可执行：建议股数见N列",IF(OR(G439&lt;=0,G439&lt;&gt;INT(G439),MOD(G439,100)&lt;&gt;0),"违规：实际股数须为100股整数倍",IF(G439&gt;N439,"违规：实际股数超过风险或金字塔上限",IF(AND(B439&gt;1,G439&gt;SUMIFS($G$2:$G$1001,$A$2:$A$1001,A439,$B$2:$B$1001,B439-1)),"违规：加仓股数须逐次不增加",IF(Q439&gt;F439,"违规：止损风险超过本次预算","通过")))))))))))))))</f>
        <v/>
      </c>
    </row>
    <row r="440" ht="17" spans="1:18">
      <c r="A440" s="13"/>
      <c r="B440" s="14"/>
      <c r="C440" s="15"/>
      <c r="D440" s="16"/>
      <c r="E440" s="16"/>
      <c r="F440" s="16"/>
      <c r="G440" s="14"/>
      <c r="H440" s="17" t="str">
        <f t="shared" si="48"/>
        <v/>
      </c>
      <c r="I440" s="18" t="str">
        <f>IF(OR(A440="",B440=""),"",IFERROR(LOOKUP(2,1/(单次交易!$A$2:$A$201=A440),单次交易!$H$2:$H$201),0)+SUMIFS($G$2:$G$1001,$A$2:$A$1001,A440,$B$2:$B$1001,"&lt;"&amp;B440))</f>
        <v/>
      </c>
      <c r="J440" s="17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17" t="str">
        <f t="shared" si="49"/>
        <v/>
      </c>
      <c r="L440" s="18" t="str">
        <f t="shared" si="50"/>
        <v/>
      </c>
      <c r="M440" s="18" t="str">
        <f t="shared" si="51"/>
        <v/>
      </c>
      <c r="N440" s="18" t="str">
        <f t="shared" si="52"/>
        <v/>
      </c>
      <c r="O440" s="18" t="str">
        <f t="shared" si="53"/>
        <v/>
      </c>
      <c r="P440" s="17" t="str">
        <f t="shared" si="54"/>
        <v/>
      </c>
      <c r="Q440" s="17" t="str">
        <f t="shared" si="55"/>
        <v/>
      </c>
      <c r="R440" s="19" t="str">
        <f ca="1">IF(A440="","",IF(COUNTIF(_TradeIds,A440)=0,"违规：交易编号不存在",IF(OR(B440="",B440&lt;1,B440&gt;5,B440&lt;&gt;INT(B440)),"违规：加仓序号须为1到5的整数",IF(COUNTIFS($A$2:$A$1001,A440,$B$2:$B$1001,B440)&gt;1,"违规：同一交易的加仓序号重复",IF(OR(D440="",E440="",F440=""),"计划不完整：请填写加仓价、新止损价和风险预算",IF(OR(D440&lt;=0,E440&lt;=0,F440&lt;=0,D440&lt;=E440),"违规：加仓价必须高于新止损价，金额须大于0",IF(AND(B440&gt;1,COUNTIFS($A$2:$A$1001,A440,$B$2:$B$1001,B440-1,$G$2:$G$1001,"&gt;0")=0),"违规：须先完成上一次加仓",IF(AND(B440&gt;1,E440&lt;SUMIFS($E$2:$E$1001,$A$2:$A$1001,A440,$B$2:$B$1001,B440-1)),"违规：新止损价不得低于上一次",IF(AND(B440&gt;1,F440&gt;SUMIFS($F$2:$F$1001,$A$2:$A$1001,A440,$B$2:$B$1001,B440-1)),"违规：风险预算须逐次不增加",IF(OR(_LockStatus="已锁仓",_LockStatus="解锁信息不完整"),"违规：锁仓期间禁止加仓",IF(G440="","计划可执行：建议股数见N列",IF(OR(G440&lt;=0,G440&lt;&gt;INT(G440),MOD(G440,100)&lt;&gt;0),"违规：实际股数须为100股整数倍",IF(G440&gt;N440,"违规：实际股数超过风险或金字塔上限",IF(AND(B440&gt;1,G440&gt;SUMIFS($G$2:$G$1001,$A$2:$A$1001,A440,$B$2:$B$1001,B440-1)),"违规：加仓股数须逐次不增加",IF(Q440&gt;F440,"违规：止损风险超过本次预算","通过")))))))))))))))</f>
        <v/>
      </c>
    </row>
    <row r="441" ht="17" spans="1:18">
      <c r="A441" s="13"/>
      <c r="B441" s="14"/>
      <c r="C441" s="15"/>
      <c r="D441" s="16"/>
      <c r="E441" s="16"/>
      <c r="F441" s="16"/>
      <c r="G441" s="14"/>
      <c r="H441" s="17" t="str">
        <f t="shared" si="48"/>
        <v/>
      </c>
      <c r="I441" s="18" t="str">
        <f>IF(OR(A441="",B441=""),"",IFERROR(LOOKUP(2,1/(单次交易!$A$2:$A$201=A441),单次交易!$H$2:$H$201),0)+SUMIFS($G$2:$G$1001,$A$2:$A$1001,A441,$B$2:$B$1001,"&lt;"&amp;B441))</f>
        <v/>
      </c>
      <c r="J441" s="17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17" t="str">
        <f t="shared" si="49"/>
        <v/>
      </c>
      <c r="L441" s="18" t="str">
        <f t="shared" si="50"/>
        <v/>
      </c>
      <c r="M441" s="18" t="str">
        <f t="shared" si="51"/>
        <v/>
      </c>
      <c r="N441" s="18" t="str">
        <f t="shared" si="52"/>
        <v/>
      </c>
      <c r="O441" s="18" t="str">
        <f t="shared" si="53"/>
        <v/>
      </c>
      <c r="P441" s="17" t="str">
        <f t="shared" si="54"/>
        <v/>
      </c>
      <c r="Q441" s="17" t="str">
        <f t="shared" si="55"/>
        <v/>
      </c>
      <c r="R441" s="19" t="str">
        <f ca="1">IF(A441="","",IF(COUNTIF(_TradeIds,A441)=0,"违规：交易编号不存在",IF(OR(B441="",B441&lt;1,B441&gt;5,B441&lt;&gt;INT(B441)),"违规：加仓序号须为1到5的整数",IF(COUNTIFS($A$2:$A$1001,A441,$B$2:$B$1001,B441)&gt;1,"违规：同一交易的加仓序号重复",IF(OR(D441="",E441="",F441=""),"计划不完整：请填写加仓价、新止损价和风险预算",IF(OR(D441&lt;=0,E441&lt;=0,F441&lt;=0,D441&lt;=E441),"违规：加仓价必须高于新止损价，金额须大于0",IF(AND(B441&gt;1,COUNTIFS($A$2:$A$1001,A441,$B$2:$B$1001,B441-1,$G$2:$G$1001,"&gt;0")=0),"违规：须先完成上一次加仓",IF(AND(B441&gt;1,E441&lt;SUMIFS($E$2:$E$1001,$A$2:$A$1001,A441,$B$2:$B$1001,B441-1)),"违规：新止损价不得低于上一次",IF(AND(B441&gt;1,F441&gt;SUMIFS($F$2:$F$1001,$A$2:$A$1001,A441,$B$2:$B$1001,B441-1)),"违规：风险预算须逐次不增加",IF(OR(_LockStatus="已锁仓",_LockStatus="解锁信息不完整"),"违规：锁仓期间禁止加仓",IF(G441="","计划可执行：建议股数见N列",IF(OR(G441&lt;=0,G441&lt;&gt;INT(G441),MOD(G441,100)&lt;&gt;0),"违规：实际股数须为100股整数倍",IF(G441&gt;N441,"违规：实际股数超过风险或金字塔上限",IF(AND(B441&gt;1,G441&gt;SUMIFS($G$2:$G$1001,$A$2:$A$1001,A441,$B$2:$B$1001,B441-1)),"违规：加仓股数须逐次不增加",IF(Q441&gt;F441,"违规：止损风险超过本次预算","通过")))))))))))))))</f>
        <v/>
      </c>
    </row>
    <row r="442" ht="17" spans="1:18">
      <c r="A442" s="13"/>
      <c r="B442" s="14"/>
      <c r="C442" s="15"/>
      <c r="D442" s="16"/>
      <c r="E442" s="16"/>
      <c r="F442" s="16"/>
      <c r="G442" s="14"/>
      <c r="H442" s="17" t="str">
        <f t="shared" si="48"/>
        <v/>
      </c>
      <c r="I442" s="18" t="str">
        <f>IF(OR(A442="",B442=""),"",IFERROR(LOOKUP(2,1/(单次交易!$A$2:$A$201=A442),单次交易!$H$2:$H$201),0)+SUMIFS($G$2:$G$1001,$A$2:$A$1001,A442,$B$2:$B$1001,"&lt;"&amp;B442))</f>
        <v/>
      </c>
      <c r="J442" s="17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17" t="str">
        <f t="shared" si="49"/>
        <v/>
      </c>
      <c r="L442" s="18" t="str">
        <f t="shared" si="50"/>
        <v/>
      </c>
      <c r="M442" s="18" t="str">
        <f t="shared" si="51"/>
        <v/>
      </c>
      <c r="N442" s="18" t="str">
        <f t="shared" si="52"/>
        <v/>
      </c>
      <c r="O442" s="18" t="str">
        <f t="shared" si="53"/>
        <v/>
      </c>
      <c r="P442" s="17" t="str">
        <f t="shared" si="54"/>
        <v/>
      </c>
      <c r="Q442" s="17" t="str">
        <f t="shared" si="55"/>
        <v/>
      </c>
      <c r="R442" s="19" t="str">
        <f ca="1">IF(A442="","",IF(COUNTIF(_TradeIds,A442)=0,"违规：交易编号不存在",IF(OR(B442="",B442&lt;1,B442&gt;5,B442&lt;&gt;INT(B442)),"违规：加仓序号须为1到5的整数",IF(COUNTIFS($A$2:$A$1001,A442,$B$2:$B$1001,B442)&gt;1,"违规：同一交易的加仓序号重复",IF(OR(D442="",E442="",F442=""),"计划不完整：请填写加仓价、新止损价和风险预算",IF(OR(D442&lt;=0,E442&lt;=0,F442&lt;=0,D442&lt;=E442),"违规：加仓价必须高于新止损价，金额须大于0",IF(AND(B442&gt;1,COUNTIFS($A$2:$A$1001,A442,$B$2:$B$1001,B442-1,$G$2:$G$1001,"&gt;0")=0),"违规：须先完成上一次加仓",IF(AND(B442&gt;1,E442&lt;SUMIFS($E$2:$E$1001,$A$2:$A$1001,A442,$B$2:$B$1001,B442-1)),"违规：新止损价不得低于上一次",IF(AND(B442&gt;1,F442&gt;SUMIFS($F$2:$F$1001,$A$2:$A$1001,A442,$B$2:$B$1001,B442-1)),"违规：风险预算须逐次不增加",IF(OR(_LockStatus="已锁仓",_LockStatus="解锁信息不完整"),"违规：锁仓期间禁止加仓",IF(G442="","计划可执行：建议股数见N列",IF(OR(G442&lt;=0,G442&lt;&gt;INT(G442),MOD(G442,100)&lt;&gt;0),"违规：实际股数须为100股整数倍",IF(G442&gt;N442,"违规：实际股数超过风险或金字塔上限",IF(AND(B442&gt;1,G442&gt;SUMIFS($G$2:$G$1001,$A$2:$A$1001,A442,$B$2:$B$1001,B442-1)),"违规：加仓股数须逐次不增加",IF(Q442&gt;F442,"违规：止损风险超过本次预算","通过")))))))))))))))</f>
        <v/>
      </c>
    </row>
    <row r="443" ht="17" spans="1:18">
      <c r="A443" s="13"/>
      <c r="B443" s="14"/>
      <c r="C443" s="15"/>
      <c r="D443" s="16"/>
      <c r="E443" s="16"/>
      <c r="F443" s="16"/>
      <c r="G443" s="14"/>
      <c r="H443" s="17" t="str">
        <f t="shared" si="48"/>
        <v/>
      </c>
      <c r="I443" s="18" t="str">
        <f>IF(OR(A443="",B443=""),"",IFERROR(LOOKUP(2,1/(单次交易!$A$2:$A$201=A443),单次交易!$H$2:$H$201),0)+SUMIFS($G$2:$G$1001,$A$2:$A$1001,A443,$B$2:$B$1001,"&lt;"&amp;B443))</f>
        <v/>
      </c>
      <c r="J443" s="17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17" t="str">
        <f t="shared" si="49"/>
        <v/>
      </c>
      <c r="L443" s="18" t="str">
        <f t="shared" si="50"/>
        <v/>
      </c>
      <c r="M443" s="18" t="str">
        <f t="shared" si="51"/>
        <v/>
      </c>
      <c r="N443" s="18" t="str">
        <f t="shared" si="52"/>
        <v/>
      </c>
      <c r="O443" s="18" t="str">
        <f t="shared" si="53"/>
        <v/>
      </c>
      <c r="P443" s="17" t="str">
        <f t="shared" si="54"/>
        <v/>
      </c>
      <c r="Q443" s="17" t="str">
        <f t="shared" si="55"/>
        <v/>
      </c>
      <c r="R443" s="19" t="str">
        <f ca="1">IF(A443="","",IF(COUNTIF(_TradeIds,A443)=0,"违规：交易编号不存在",IF(OR(B443="",B443&lt;1,B443&gt;5,B443&lt;&gt;INT(B443)),"违规：加仓序号须为1到5的整数",IF(COUNTIFS($A$2:$A$1001,A443,$B$2:$B$1001,B443)&gt;1,"违规：同一交易的加仓序号重复",IF(OR(D443="",E443="",F443=""),"计划不完整：请填写加仓价、新止损价和风险预算",IF(OR(D443&lt;=0,E443&lt;=0,F443&lt;=0,D443&lt;=E443),"违规：加仓价必须高于新止损价，金额须大于0",IF(AND(B443&gt;1,COUNTIFS($A$2:$A$1001,A443,$B$2:$B$1001,B443-1,$G$2:$G$1001,"&gt;0")=0),"违规：须先完成上一次加仓",IF(AND(B443&gt;1,E443&lt;SUMIFS($E$2:$E$1001,$A$2:$A$1001,A443,$B$2:$B$1001,B443-1)),"违规：新止损价不得低于上一次",IF(AND(B443&gt;1,F443&gt;SUMIFS($F$2:$F$1001,$A$2:$A$1001,A443,$B$2:$B$1001,B443-1)),"违规：风险预算须逐次不增加",IF(OR(_LockStatus="已锁仓",_LockStatus="解锁信息不完整"),"违规：锁仓期间禁止加仓",IF(G443="","计划可执行：建议股数见N列",IF(OR(G443&lt;=0,G443&lt;&gt;INT(G443),MOD(G443,100)&lt;&gt;0),"违规：实际股数须为100股整数倍",IF(G443&gt;N443,"违规：实际股数超过风险或金字塔上限",IF(AND(B443&gt;1,G443&gt;SUMIFS($G$2:$G$1001,$A$2:$A$1001,A443,$B$2:$B$1001,B443-1)),"违规：加仓股数须逐次不增加",IF(Q443&gt;F443,"违规：止损风险超过本次预算","通过")))))))))))))))</f>
        <v/>
      </c>
    </row>
    <row r="444" ht="17" spans="1:18">
      <c r="A444" s="13"/>
      <c r="B444" s="14"/>
      <c r="C444" s="15"/>
      <c r="D444" s="16"/>
      <c r="E444" s="16"/>
      <c r="F444" s="16"/>
      <c r="G444" s="14"/>
      <c r="H444" s="17" t="str">
        <f t="shared" si="48"/>
        <v/>
      </c>
      <c r="I444" s="18" t="str">
        <f>IF(OR(A444="",B444=""),"",IFERROR(LOOKUP(2,1/(单次交易!$A$2:$A$201=A444),单次交易!$H$2:$H$201),0)+SUMIFS($G$2:$G$1001,$A$2:$A$1001,A444,$B$2:$B$1001,"&lt;"&amp;B444))</f>
        <v/>
      </c>
      <c r="J444" s="17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17" t="str">
        <f t="shared" si="49"/>
        <v/>
      </c>
      <c r="L444" s="18" t="str">
        <f t="shared" si="50"/>
        <v/>
      </c>
      <c r="M444" s="18" t="str">
        <f t="shared" si="51"/>
        <v/>
      </c>
      <c r="N444" s="18" t="str">
        <f t="shared" si="52"/>
        <v/>
      </c>
      <c r="O444" s="18" t="str">
        <f t="shared" si="53"/>
        <v/>
      </c>
      <c r="P444" s="17" t="str">
        <f t="shared" si="54"/>
        <v/>
      </c>
      <c r="Q444" s="17" t="str">
        <f t="shared" si="55"/>
        <v/>
      </c>
      <c r="R444" s="19" t="str">
        <f ca="1">IF(A444="","",IF(COUNTIF(_TradeIds,A444)=0,"违规：交易编号不存在",IF(OR(B444="",B444&lt;1,B444&gt;5,B444&lt;&gt;INT(B444)),"违规：加仓序号须为1到5的整数",IF(COUNTIFS($A$2:$A$1001,A444,$B$2:$B$1001,B444)&gt;1,"违规：同一交易的加仓序号重复",IF(OR(D444="",E444="",F444=""),"计划不完整：请填写加仓价、新止损价和风险预算",IF(OR(D444&lt;=0,E444&lt;=0,F444&lt;=0,D444&lt;=E444),"违规：加仓价必须高于新止损价，金额须大于0",IF(AND(B444&gt;1,COUNTIFS($A$2:$A$1001,A444,$B$2:$B$1001,B444-1,$G$2:$G$1001,"&gt;0")=0),"违规：须先完成上一次加仓",IF(AND(B444&gt;1,E444&lt;SUMIFS($E$2:$E$1001,$A$2:$A$1001,A444,$B$2:$B$1001,B444-1)),"违规：新止损价不得低于上一次",IF(AND(B444&gt;1,F444&gt;SUMIFS($F$2:$F$1001,$A$2:$A$1001,A444,$B$2:$B$1001,B444-1)),"违规：风险预算须逐次不增加",IF(OR(_LockStatus="已锁仓",_LockStatus="解锁信息不完整"),"违规：锁仓期间禁止加仓",IF(G444="","计划可执行：建议股数见N列",IF(OR(G444&lt;=0,G444&lt;&gt;INT(G444),MOD(G444,100)&lt;&gt;0),"违规：实际股数须为100股整数倍",IF(G444&gt;N444,"违规：实际股数超过风险或金字塔上限",IF(AND(B444&gt;1,G444&gt;SUMIFS($G$2:$G$1001,$A$2:$A$1001,A444,$B$2:$B$1001,B444-1)),"违规：加仓股数须逐次不增加",IF(Q444&gt;F444,"违规：止损风险超过本次预算","通过")))))))))))))))</f>
        <v/>
      </c>
    </row>
    <row r="445" ht="17" spans="1:18">
      <c r="A445" s="13"/>
      <c r="B445" s="14"/>
      <c r="C445" s="15"/>
      <c r="D445" s="16"/>
      <c r="E445" s="16"/>
      <c r="F445" s="16"/>
      <c r="G445" s="14"/>
      <c r="H445" s="17" t="str">
        <f t="shared" si="48"/>
        <v/>
      </c>
      <c r="I445" s="18" t="str">
        <f>IF(OR(A445="",B445=""),"",IFERROR(LOOKUP(2,1/(单次交易!$A$2:$A$201=A445),单次交易!$H$2:$H$201),0)+SUMIFS($G$2:$G$1001,$A$2:$A$1001,A445,$B$2:$B$1001,"&lt;"&amp;B445))</f>
        <v/>
      </c>
      <c r="J445" s="17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17" t="str">
        <f t="shared" si="49"/>
        <v/>
      </c>
      <c r="L445" s="18" t="str">
        <f t="shared" si="50"/>
        <v/>
      </c>
      <c r="M445" s="18" t="str">
        <f t="shared" si="51"/>
        <v/>
      </c>
      <c r="N445" s="18" t="str">
        <f t="shared" si="52"/>
        <v/>
      </c>
      <c r="O445" s="18" t="str">
        <f t="shared" si="53"/>
        <v/>
      </c>
      <c r="P445" s="17" t="str">
        <f t="shared" si="54"/>
        <v/>
      </c>
      <c r="Q445" s="17" t="str">
        <f t="shared" si="55"/>
        <v/>
      </c>
      <c r="R445" s="19" t="str">
        <f ca="1">IF(A445="","",IF(COUNTIF(_TradeIds,A445)=0,"违规：交易编号不存在",IF(OR(B445="",B445&lt;1,B445&gt;5,B445&lt;&gt;INT(B445)),"违规：加仓序号须为1到5的整数",IF(COUNTIFS($A$2:$A$1001,A445,$B$2:$B$1001,B445)&gt;1,"违规：同一交易的加仓序号重复",IF(OR(D445="",E445="",F445=""),"计划不完整：请填写加仓价、新止损价和风险预算",IF(OR(D445&lt;=0,E445&lt;=0,F445&lt;=0,D445&lt;=E445),"违规：加仓价必须高于新止损价，金额须大于0",IF(AND(B445&gt;1,COUNTIFS($A$2:$A$1001,A445,$B$2:$B$1001,B445-1,$G$2:$G$1001,"&gt;0")=0),"违规：须先完成上一次加仓",IF(AND(B445&gt;1,E445&lt;SUMIFS($E$2:$E$1001,$A$2:$A$1001,A445,$B$2:$B$1001,B445-1)),"违规：新止损价不得低于上一次",IF(AND(B445&gt;1,F445&gt;SUMIFS($F$2:$F$1001,$A$2:$A$1001,A445,$B$2:$B$1001,B445-1)),"违规：风险预算须逐次不增加",IF(OR(_LockStatus="已锁仓",_LockStatus="解锁信息不完整"),"违规：锁仓期间禁止加仓",IF(G445="","计划可执行：建议股数见N列",IF(OR(G445&lt;=0,G445&lt;&gt;INT(G445),MOD(G445,100)&lt;&gt;0),"违规：实际股数须为100股整数倍",IF(G445&gt;N445,"违规：实际股数超过风险或金字塔上限",IF(AND(B445&gt;1,G445&gt;SUMIFS($G$2:$G$1001,$A$2:$A$1001,A445,$B$2:$B$1001,B445-1)),"违规：加仓股数须逐次不增加",IF(Q445&gt;F445,"违规：止损风险超过本次预算","通过")))))))))))))))</f>
        <v/>
      </c>
    </row>
    <row r="446" ht="17" spans="1:18">
      <c r="A446" s="13"/>
      <c r="B446" s="14"/>
      <c r="C446" s="15"/>
      <c r="D446" s="16"/>
      <c r="E446" s="16"/>
      <c r="F446" s="16"/>
      <c r="G446" s="14"/>
      <c r="H446" s="17" t="str">
        <f t="shared" si="48"/>
        <v/>
      </c>
      <c r="I446" s="18" t="str">
        <f>IF(OR(A446="",B446=""),"",IFERROR(LOOKUP(2,1/(单次交易!$A$2:$A$201=A446),单次交易!$H$2:$H$201),0)+SUMIFS($G$2:$G$1001,$A$2:$A$1001,A446,$B$2:$B$1001,"&lt;"&amp;B446))</f>
        <v/>
      </c>
      <c r="J446" s="17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17" t="str">
        <f t="shared" si="49"/>
        <v/>
      </c>
      <c r="L446" s="18" t="str">
        <f t="shared" si="50"/>
        <v/>
      </c>
      <c r="M446" s="18" t="str">
        <f t="shared" si="51"/>
        <v/>
      </c>
      <c r="N446" s="18" t="str">
        <f t="shared" si="52"/>
        <v/>
      </c>
      <c r="O446" s="18" t="str">
        <f t="shared" si="53"/>
        <v/>
      </c>
      <c r="P446" s="17" t="str">
        <f t="shared" si="54"/>
        <v/>
      </c>
      <c r="Q446" s="17" t="str">
        <f t="shared" si="55"/>
        <v/>
      </c>
      <c r="R446" s="19" t="str">
        <f ca="1">IF(A446="","",IF(COUNTIF(_TradeIds,A446)=0,"违规：交易编号不存在",IF(OR(B446="",B446&lt;1,B446&gt;5,B446&lt;&gt;INT(B446)),"违规：加仓序号须为1到5的整数",IF(COUNTIFS($A$2:$A$1001,A446,$B$2:$B$1001,B446)&gt;1,"违规：同一交易的加仓序号重复",IF(OR(D446="",E446="",F446=""),"计划不完整：请填写加仓价、新止损价和风险预算",IF(OR(D446&lt;=0,E446&lt;=0,F446&lt;=0,D446&lt;=E446),"违规：加仓价必须高于新止损价，金额须大于0",IF(AND(B446&gt;1,COUNTIFS($A$2:$A$1001,A446,$B$2:$B$1001,B446-1,$G$2:$G$1001,"&gt;0")=0),"违规：须先完成上一次加仓",IF(AND(B446&gt;1,E446&lt;SUMIFS($E$2:$E$1001,$A$2:$A$1001,A446,$B$2:$B$1001,B446-1)),"违规：新止损价不得低于上一次",IF(AND(B446&gt;1,F446&gt;SUMIFS($F$2:$F$1001,$A$2:$A$1001,A446,$B$2:$B$1001,B446-1)),"违规：风险预算须逐次不增加",IF(OR(_LockStatus="已锁仓",_LockStatus="解锁信息不完整"),"违规：锁仓期间禁止加仓",IF(G446="","计划可执行：建议股数见N列",IF(OR(G446&lt;=0,G446&lt;&gt;INT(G446),MOD(G446,100)&lt;&gt;0),"违规：实际股数须为100股整数倍",IF(G446&gt;N446,"违规：实际股数超过风险或金字塔上限",IF(AND(B446&gt;1,G446&gt;SUMIFS($G$2:$G$1001,$A$2:$A$1001,A446,$B$2:$B$1001,B446-1)),"违规：加仓股数须逐次不增加",IF(Q446&gt;F446,"违规：止损风险超过本次预算","通过")))))))))))))))</f>
        <v/>
      </c>
    </row>
    <row r="447" ht="17" spans="1:18">
      <c r="A447" s="13"/>
      <c r="B447" s="14"/>
      <c r="C447" s="15"/>
      <c r="D447" s="16"/>
      <c r="E447" s="16"/>
      <c r="F447" s="16"/>
      <c r="G447" s="14"/>
      <c r="H447" s="17" t="str">
        <f t="shared" si="48"/>
        <v/>
      </c>
      <c r="I447" s="18" t="str">
        <f>IF(OR(A447="",B447=""),"",IFERROR(LOOKUP(2,1/(单次交易!$A$2:$A$201=A447),单次交易!$H$2:$H$201),0)+SUMIFS($G$2:$G$1001,$A$2:$A$1001,A447,$B$2:$B$1001,"&lt;"&amp;B447))</f>
        <v/>
      </c>
      <c r="J447" s="17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17" t="str">
        <f t="shared" si="49"/>
        <v/>
      </c>
      <c r="L447" s="18" t="str">
        <f t="shared" si="50"/>
        <v/>
      </c>
      <c r="M447" s="18" t="str">
        <f t="shared" si="51"/>
        <v/>
      </c>
      <c r="N447" s="18" t="str">
        <f t="shared" si="52"/>
        <v/>
      </c>
      <c r="O447" s="18" t="str">
        <f t="shared" si="53"/>
        <v/>
      </c>
      <c r="P447" s="17" t="str">
        <f t="shared" si="54"/>
        <v/>
      </c>
      <c r="Q447" s="17" t="str">
        <f t="shared" si="55"/>
        <v/>
      </c>
      <c r="R447" s="19" t="str">
        <f ca="1">IF(A447="","",IF(COUNTIF(_TradeIds,A447)=0,"违规：交易编号不存在",IF(OR(B447="",B447&lt;1,B447&gt;5,B447&lt;&gt;INT(B447)),"违规：加仓序号须为1到5的整数",IF(COUNTIFS($A$2:$A$1001,A447,$B$2:$B$1001,B447)&gt;1,"违规：同一交易的加仓序号重复",IF(OR(D447="",E447="",F447=""),"计划不完整：请填写加仓价、新止损价和风险预算",IF(OR(D447&lt;=0,E447&lt;=0,F447&lt;=0,D447&lt;=E447),"违规：加仓价必须高于新止损价，金额须大于0",IF(AND(B447&gt;1,COUNTIFS($A$2:$A$1001,A447,$B$2:$B$1001,B447-1,$G$2:$G$1001,"&gt;0")=0),"违规：须先完成上一次加仓",IF(AND(B447&gt;1,E447&lt;SUMIFS($E$2:$E$1001,$A$2:$A$1001,A447,$B$2:$B$1001,B447-1)),"违规：新止损价不得低于上一次",IF(AND(B447&gt;1,F447&gt;SUMIFS($F$2:$F$1001,$A$2:$A$1001,A447,$B$2:$B$1001,B447-1)),"违规：风险预算须逐次不增加",IF(OR(_LockStatus="已锁仓",_LockStatus="解锁信息不完整"),"违规：锁仓期间禁止加仓",IF(G447="","计划可执行：建议股数见N列",IF(OR(G447&lt;=0,G447&lt;&gt;INT(G447),MOD(G447,100)&lt;&gt;0),"违规：实际股数须为100股整数倍",IF(G447&gt;N447,"违规：实际股数超过风险或金字塔上限",IF(AND(B447&gt;1,G447&gt;SUMIFS($G$2:$G$1001,$A$2:$A$1001,A447,$B$2:$B$1001,B447-1)),"违规：加仓股数须逐次不增加",IF(Q447&gt;F447,"违规：止损风险超过本次预算","通过")))))))))))))))</f>
        <v/>
      </c>
    </row>
    <row r="448" ht="17" spans="1:18">
      <c r="A448" s="13"/>
      <c r="B448" s="14"/>
      <c r="C448" s="15"/>
      <c r="D448" s="16"/>
      <c r="E448" s="16"/>
      <c r="F448" s="16"/>
      <c r="G448" s="14"/>
      <c r="H448" s="17" t="str">
        <f t="shared" si="48"/>
        <v/>
      </c>
      <c r="I448" s="18" t="str">
        <f>IF(OR(A448="",B448=""),"",IFERROR(LOOKUP(2,1/(单次交易!$A$2:$A$201=A448),单次交易!$H$2:$H$201),0)+SUMIFS($G$2:$G$1001,$A$2:$A$1001,A448,$B$2:$B$1001,"&lt;"&amp;B448))</f>
        <v/>
      </c>
      <c r="J448" s="17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17" t="str">
        <f t="shared" si="49"/>
        <v/>
      </c>
      <c r="L448" s="18" t="str">
        <f t="shared" si="50"/>
        <v/>
      </c>
      <c r="M448" s="18" t="str">
        <f t="shared" si="51"/>
        <v/>
      </c>
      <c r="N448" s="18" t="str">
        <f t="shared" si="52"/>
        <v/>
      </c>
      <c r="O448" s="18" t="str">
        <f t="shared" si="53"/>
        <v/>
      </c>
      <c r="P448" s="17" t="str">
        <f t="shared" si="54"/>
        <v/>
      </c>
      <c r="Q448" s="17" t="str">
        <f t="shared" si="55"/>
        <v/>
      </c>
      <c r="R448" s="19" t="str">
        <f ca="1">IF(A448="","",IF(COUNTIF(_TradeIds,A448)=0,"违规：交易编号不存在",IF(OR(B448="",B448&lt;1,B448&gt;5,B448&lt;&gt;INT(B448)),"违规：加仓序号须为1到5的整数",IF(COUNTIFS($A$2:$A$1001,A448,$B$2:$B$1001,B448)&gt;1,"违规：同一交易的加仓序号重复",IF(OR(D448="",E448="",F448=""),"计划不完整：请填写加仓价、新止损价和风险预算",IF(OR(D448&lt;=0,E448&lt;=0,F448&lt;=0,D448&lt;=E448),"违规：加仓价必须高于新止损价，金额须大于0",IF(AND(B448&gt;1,COUNTIFS($A$2:$A$1001,A448,$B$2:$B$1001,B448-1,$G$2:$G$1001,"&gt;0")=0),"违规：须先完成上一次加仓",IF(AND(B448&gt;1,E448&lt;SUMIFS($E$2:$E$1001,$A$2:$A$1001,A448,$B$2:$B$1001,B448-1)),"违规：新止损价不得低于上一次",IF(AND(B448&gt;1,F448&gt;SUMIFS($F$2:$F$1001,$A$2:$A$1001,A448,$B$2:$B$1001,B448-1)),"违规：风险预算须逐次不增加",IF(OR(_LockStatus="已锁仓",_LockStatus="解锁信息不完整"),"违规：锁仓期间禁止加仓",IF(G448="","计划可执行：建议股数见N列",IF(OR(G448&lt;=0,G448&lt;&gt;INT(G448),MOD(G448,100)&lt;&gt;0),"违规：实际股数须为100股整数倍",IF(G448&gt;N448,"违规：实际股数超过风险或金字塔上限",IF(AND(B448&gt;1,G448&gt;SUMIFS($G$2:$G$1001,$A$2:$A$1001,A448,$B$2:$B$1001,B448-1)),"违规：加仓股数须逐次不增加",IF(Q448&gt;F448,"违规：止损风险超过本次预算","通过")))))))))))))))</f>
        <v/>
      </c>
    </row>
    <row r="449" ht="17" spans="1:18">
      <c r="A449" s="13"/>
      <c r="B449" s="14"/>
      <c r="C449" s="15"/>
      <c r="D449" s="16"/>
      <c r="E449" s="16"/>
      <c r="F449" s="16"/>
      <c r="G449" s="14"/>
      <c r="H449" s="17" t="str">
        <f t="shared" si="48"/>
        <v/>
      </c>
      <c r="I449" s="18" t="str">
        <f>IF(OR(A449="",B449=""),"",IFERROR(LOOKUP(2,1/(单次交易!$A$2:$A$201=A449),单次交易!$H$2:$H$201),0)+SUMIFS($G$2:$G$1001,$A$2:$A$1001,A449,$B$2:$B$1001,"&lt;"&amp;B449))</f>
        <v/>
      </c>
      <c r="J449" s="17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17" t="str">
        <f t="shared" si="49"/>
        <v/>
      </c>
      <c r="L449" s="18" t="str">
        <f t="shared" si="50"/>
        <v/>
      </c>
      <c r="M449" s="18" t="str">
        <f t="shared" si="51"/>
        <v/>
      </c>
      <c r="N449" s="18" t="str">
        <f t="shared" si="52"/>
        <v/>
      </c>
      <c r="O449" s="18" t="str">
        <f t="shared" si="53"/>
        <v/>
      </c>
      <c r="P449" s="17" t="str">
        <f t="shared" si="54"/>
        <v/>
      </c>
      <c r="Q449" s="17" t="str">
        <f t="shared" si="55"/>
        <v/>
      </c>
      <c r="R449" s="19" t="str">
        <f ca="1">IF(A449="","",IF(COUNTIF(_TradeIds,A449)=0,"违规：交易编号不存在",IF(OR(B449="",B449&lt;1,B449&gt;5,B449&lt;&gt;INT(B449)),"违规：加仓序号须为1到5的整数",IF(COUNTIFS($A$2:$A$1001,A449,$B$2:$B$1001,B449)&gt;1,"违规：同一交易的加仓序号重复",IF(OR(D449="",E449="",F449=""),"计划不完整：请填写加仓价、新止损价和风险预算",IF(OR(D449&lt;=0,E449&lt;=0,F449&lt;=0,D449&lt;=E449),"违规：加仓价必须高于新止损价，金额须大于0",IF(AND(B449&gt;1,COUNTIFS($A$2:$A$1001,A449,$B$2:$B$1001,B449-1,$G$2:$G$1001,"&gt;0")=0),"违规：须先完成上一次加仓",IF(AND(B449&gt;1,E449&lt;SUMIFS($E$2:$E$1001,$A$2:$A$1001,A449,$B$2:$B$1001,B449-1)),"违规：新止损价不得低于上一次",IF(AND(B449&gt;1,F449&gt;SUMIFS($F$2:$F$1001,$A$2:$A$1001,A449,$B$2:$B$1001,B449-1)),"违规：风险预算须逐次不增加",IF(OR(_LockStatus="已锁仓",_LockStatus="解锁信息不完整"),"违规：锁仓期间禁止加仓",IF(G449="","计划可执行：建议股数见N列",IF(OR(G449&lt;=0,G449&lt;&gt;INT(G449),MOD(G449,100)&lt;&gt;0),"违规：实际股数须为100股整数倍",IF(G449&gt;N449,"违规：实际股数超过风险或金字塔上限",IF(AND(B449&gt;1,G449&gt;SUMIFS($G$2:$G$1001,$A$2:$A$1001,A449,$B$2:$B$1001,B449-1)),"违规：加仓股数须逐次不增加",IF(Q449&gt;F449,"违规：止损风险超过本次预算","通过")))))))))))))))</f>
        <v/>
      </c>
    </row>
    <row r="450" ht="17" spans="1:18">
      <c r="A450" s="13"/>
      <c r="B450" s="14"/>
      <c r="C450" s="15"/>
      <c r="D450" s="16"/>
      <c r="E450" s="16"/>
      <c r="F450" s="16"/>
      <c r="G450" s="14"/>
      <c r="H450" s="17" t="str">
        <f t="shared" ref="H450:H513" si="56">IF(OR(A450="",D450="",G450=""),"",D450*G450)</f>
        <v/>
      </c>
      <c r="I450" s="18" t="str">
        <f>IF(OR(A450="",B450=""),"",IFERROR(LOOKUP(2,1/(单次交易!$A$2:$A$201=A450),单次交易!$H$2:$H$201),0)+SUMIFS($G$2:$G$1001,$A$2:$A$1001,A450,$B$2:$B$1001,"&lt;"&amp;B450))</f>
        <v/>
      </c>
      <c r="J450" s="17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17" t="str">
        <f t="shared" ref="K450:K513" si="57">IF(OR(E450="",I450="",J450=""),"",MAX(E450*I450-J450,0))</f>
        <v/>
      </c>
      <c r="L450" s="18" t="str">
        <f t="shared" ref="L450:L513" si="58">IF(OR(D450="",E450="",F450="",D450&lt;=E450),"",FLOOR((F450+K450)/(D450-E450),100))</f>
        <v/>
      </c>
      <c r="M450" s="18" t="str">
        <f t="shared" ref="M450:M513" si="59">IF(OR(A450="",B450="",L450=""),"",IF(B450=1,L450,IFERROR(SUMIFS($G$2:$G$1001,$A$2:$A$1001,A450,$B$2:$B$1001,B450-1),0)))</f>
        <v/>
      </c>
      <c r="N450" s="18" t="str">
        <f t="shared" ref="N450:N513" si="60">IF(OR(L450="",M450=""),"",MIN(L450,M450))</f>
        <v/>
      </c>
      <c r="O450" s="18" t="str">
        <f t="shared" ref="O450:O513" si="61">IF(OR(I450="",G450=""),"",I450+G450)</f>
        <v/>
      </c>
      <c r="P450" s="17" t="str">
        <f t="shared" ref="P450:P513" si="62">IF(OR(O450="",O450=0),"",(J450+H450)/O450)</f>
        <v/>
      </c>
      <c r="Q450" s="17" t="str">
        <f t="shared" ref="Q450:Q513" si="63">IF(OR(O450="",E450=""),"",MAX(J450+H450-E450*O450,0))</f>
        <v/>
      </c>
      <c r="R450" s="19" t="str">
        <f ca="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ht="17" spans="1:18">
      <c r="A451" s="13"/>
      <c r="B451" s="14"/>
      <c r="C451" s="15"/>
      <c r="D451" s="16"/>
      <c r="E451" s="16"/>
      <c r="F451" s="16"/>
      <c r="G451" s="14"/>
      <c r="H451" s="17" t="str">
        <f t="shared" si="56"/>
        <v/>
      </c>
      <c r="I451" s="18" t="str">
        <f>IF(OR(A451="",B451=""),"",IFERROR(LOOKUP(2,1/(单次交易!$A$2:$A$201=A451),单次交易!$H$2:$H$201),0)+SUMIFS($G$2:$G$1001,$A$2:$A$1001,A451,$B$2:$B$1001,"&lt;"&amp;B451))</f>
        <v/>
      </c>
      <c r="J451" s="17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17" t="str">
        <f t="shared" si="57"/>
        <v/>
      </c>
      <c r="L451" s="18" t="str">
        <f t="shared" si="58"/>
        <v/>
      </c>
      <c r="M451" s="18" t="str">
        <f t="shared" si="59"/>
        <v/>
      </c>
      <c r="N451" s="18" t="str">
        <f t="shared" si="60"/>
        <v/>
      </c>
      <c r="O451" s="18" t="str">
        <f t="shared" si="61"/>
        <v/>
      </c>
      <c r="P451" s="17" t="str">
        <f t="shared" si="62"/>
        <v/>
      </c>
      <c r="Q451" s="17" t="str">
        <f t="shared" si="63"/>
        <v/>
      </c>
      <c r="R451" s="19" t="str">
        <f ca="1">IF(A451="","",IF(COUNTIF(_TradeIds,A451)=0,"违规：交易编号不存在",IF(OR(B451="",B451&lt;1,B451&gt;5,B451&lt;&gt;INT(B451)),"违规：加仓序号须为1到5的整数",IF(COUNTIFS($A$2:$A$1001,A451,$B$2:$B$1001,B451)&gt;1,"违规：同一交易的加仓序号重复",IF(OR(D451="",E451="",F451=""),"计划不完整：请填写加仓价、新止损价和风险预算",IF(OR(D451&lt;=0,E451&lt;=0,F451&lt;=0,D451&lt;=E451),"违规：加仓价必须高于新止损价，金额须大于0",IF(AND(B451&gt;1,COUNTIFS($A$2:$A$1001,A451,$B$2:$B$1001,B451-1,$G$2:$G$1001,"&gt;0")=0),"违规：须先完成上一次加仓",IF(AND(B451&gt;1,E451&lt;SUMIFS($E$2:$E$1001,$A$2:$A$1001,A451,$B$2:$B$1001,B451-1)),"违规：新止损价不得低于上一次",IF(AND(B451&gt;1,F451&gt;SUMIFS($F$2:$F$1001,$A$2:$A$1001,A451,$B$2:$B$1001,B451-1)),"违规：风险预算须逐次不增加",IF(OR(_LockStatus="已锁仓",_LockStatus="解锁信息不完整"),"违规：锁仓期间禁止加仓",IF(G451="","计划可执行：建议股数见N列",IF(OR(G451&lt;=0,G451&lt;&gt;INT(G451),MOD(G451,100)&lt;&gt;0),"违规：实际股数须为100股整数倍",IF(G451&gt;N451,"违规：实际股数超过风险或金字塔上限",IF(AND(B451&gt;1,G451&gt;SUMIFS($G$2:$G$1001,$A$2:$A$1001,A451,$B$2:$B$1001,B451-1)),"违规：加仓股数须逐次不增加",IF(Q451&gt;F451,"违规：止损风险超过本次预算","通过")))))))))))))))</f>
        <v/>
      </c>
    </row>
    <row r="452" ht="17" spans="1:18">
      <c r="A452" s="13"/>
      <c r="B452" s="14"/>
      <c r="C452" s="15"/>
      <c r="D452" s="16"/>
      <c r="E452" s="16"/>
      <c r="F452" s="16"/>
      <c r="G452" s="14"/>
      <c r="H452" s="17" t="str">
        <f t="shared" si="56"/>
        <v/>
      </c>
      <c r="I452" s="18" t="str">
        <f>IF(OR(A452="",B452=""),"",IFERROR(LOOKUP(2,1/(单次交易!$A$2:$A$201=A452),单次交易!$H$2:$H$201),0)+SUMIFS($G$2:$G$1001,$A$2:$A$1001,A452,$B$2:$B$1001,"&lt;"&amp;B452))</f>
        <v/>
      </c>
      <c r="J452" s="17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17" t="str">
        <f t="shared" si="57"/>
        <v/>
      </c>
      <c r="L452" s="18" t="str">
        <f t="shared" si="58"/>
        <v/>
      </c>
      <c r="M452" s="18" t="str">
        <f t="shared" si="59"/>
        <v/>
      </c>
      <c r="N452" s="18" t="str">
        <f t="shared" si="60"/>
        <v/>
      </c>
      <c r="O452" s="18" t="str">
        <f t="shared" si="61"/>
        <v/>
      </c>
      <c r="P452" s="17" t="str">
        <f t="shared" si="62"/>
        <v/>
      </c>
      <c r="Q452" s="17" t="str">
        <f t="shared" si="63"/>
        <v/>
      </c>
      <c r="R452" s="19" t="str">
        <f ca="1">IF(A452="","",IF(COUNTIF(_TradeIds,A452)=0,"违规：交易编号不存在",IF(OR(B452="",B452&lt;1,B452&gt;5,B452&lt;&gt;INT(B452)),"违规：加仓序号须为1到5的整数",IF(COUNTIFS($A$2:$A$1001,A452,$B$2:$B$1001,B452)&gt;1,"违规：同一交易的加仓序号重复",IF(OR(D452="",E452="",F452=""),"计划不完整：请填写加仓价、新止损价和风险预算",IF(OR(D452&lt;=0,E452&lt;=0,F452&lt;=0,D452&lt;=E452),"违规：加仓价必须高于新止损价，金额须大于0",IF(AND(B452&gt;1,COUNTIFS($A$2:$A$1001,A452,$B$2:$B$1001,B452-1,$G$2:$G$1001,"&gt;0")=0),"违规：须先完成上一次加仓",IF(AND(B452&gt;1,E452&lt;SUMIFS($E$2:$E$1001,$A$2:$A$1001,A452,$B$2:$B$1001,B452-1)),"违规：新止损价不得低于上一次",IF(AND(B452&gt;1,F452&gt;SUMIFS($F$2:$F$1001,$A$2:$A$1001,A452,$B$2:$B$1001,B452-1)),"违规：风险预算须逐次不增加",IF(OR(_LockStatus="已锁仓",_LockStatus="解锁信息不完整"),"违规：锁仓期间禁止加仓",IF(G452="","计划可执行：建议股数见N列",IF(OR(G452&lt;=0,G452&lt;&gt;INT(G452),MOD(G452,100)&lt;&gt;0),"违规：实际股数须为100股整数倍",IF(G452&gt;N452,"违规：实际股数超过风险或金字塔上限",IF(AND(B452&gt;1,G452&gt;SUMIFS($G$2:$G$1001,$A$2:$A$1001,A452,$B$2:$B$1001,B452-1)),"违规：加仓股数须逐次不增加",IF(Q452&gt;F452,"违规：止损风险超过本次预算","通过")))))))))))))))</f>
        <v/>
      </c>
    </row>
    <row r="453" ht="17" spans="1:18">
      <c r="A453" s="13"/>
      <c r="B453" s="14"/>
      <c r="C453" s="15"/>
      <c r="D453" s="16"/>
      <c r="E453" s="16"/>
      <c r="F453" s="16"/>
      <c r="G453" s="14"/>
      <c r="H453" s="17" t="str">
        <f t="shared" si="56"/>
        <v/>
      </c>
      <c r="I453" s="18" t="str">
        <f>IF(OR(A453="",B453=""),"",IFERROR(LOOKUP(2,1/(单次交易!$A$2:$A$201=A453),单次交易!$H$2:$H$201),0)+SUMIFS($G$2:$G$1001,$A$2:$A$1001,A453,$B$2:$B$1001,"&lt;"&amp;B453))</f>
        <v/>
      </c>
      <c r="J453" s="17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17" t="str">
        <f t="shared" si="57"/>
        <v/>
      </c>
      <c r="L453" s="18" t="str">
        <f t="shared" si="58"/>
        <v/>
      </c>
      <c r="M453" s="18" t="str">
        <f t="shared" si="59"/>
        <v/>
      </c>
      <c r="N453" s="18" t="str">
        <f t="shared" si="60"/>
        <v/>
      </c>
      <c r="O453" s="18" t="str">
        <f t="shared" si="61"/>
        <v/>
      </c>
      <c r="P453" s="17" t="str">
        <f t="shared" si="62"/>
        <v/>
      </c>
      <c r="Q453" s="17" t="str">
        <f t="shared" si="63"/>
        <v/>
      </c>
      <c r="R453" s="19" t="str">
        <f ca="1">IF(A453="","",IF(COUNTIF(_TradeIds,A453)=0,"违规：交易编号不存在",IF(OR(B453="",B453&lt;1,B453&gt;5,B453&lt;&gt;INT(B453)),"违规：加仓序号须为1到5的整数",IF(COUNTIFS($A$2:$A$1001,A453,$B$2:$B$1001,B453)&gt;1,"违规：同一交易的加仓序号重复",IF(OR(D453="",E453="",F453=""),"计划不完整：请填写加仓价、新止损价和风险预算",IF(OR(D453&lt;=0,E453&lt;=0,F453&lt;=0,D453&lt;=E453),"违规：加仓价必须高于新止损价，金额须大于0",IF(AND(B453&gt;1,COUNTIFS($A$2:$A$1001,A453,$B$2:$B$1001,B453-1,$G$2:$G$1001,"&gt;0")=0),"违规：须先完成上一次加仓",IF(AND(B453&gt;1,E453&lt;SUMIFS($E$2:$E$1001,$A$2:$A$1001,A453,$B$2:$B$1001,B453-1)),"违规：新止损价不得低于上一次",IF(AND(B453&gt;1,F453&gt;SUMIFS($F$2:$F$1001,$A$2:$A$1001,A453,$B$2:$B$1001,B453-1)),"违规：风险预算须逐次不增加",IF(OR(_LockStatus="已锁仓",_LockStatus="解锁信息不完整"),"违规：锁仓期间禁止加仓",IF(G453="","计划可执行：建议股数见N列",IF(OR(G453&lt;=0,G453&lt;&gt;INT(G453),MOD(G453,100)&lt;&gt;0),"违规：实际股数须为100股整数倍",IF(G453&gt;N453,"违规：实际股数超过风险或金字塔上限",IF(AND(B453&gt;1,G453&gt;SUMIFS($G$2:$G$1001,$A$2:$A$1001,A453,$B$2:$B$1001,B453-1)),"违规：加仓股数须逐次不增加",IF(Q453&gt;F453,"违规：止损风险超过本次预算","通过")))))))))))))))</f>
        <v/>
      </c>
    </row>
    <row r="454" ht="17" spans="1:18">
      <c r="A454" s="13"/>
      <c r="B454" s="14"/>
      <c r="C454" s="15"/>
      <c r="D454" s="16"/>
      <c r="E454" s="16"/>
      <c r="F454" s="16"/>
      <c r="G454" s="14"/>
      <c r="H454" s="17" t="str">
        <f t="shared" si="56"/>
        <v/>
      </c>
      <c r="I454" s="18" t="str">
        <f>IF(OR(A454="",B454=""),"",IFERROR(LOOKUP(2,1/(单次交易!$A$2:$A$201=A454),单次交易!$H$2:$H$201),0)+SUMIFS($G$2:$G$1001,$A$2:$A$1001,A454,$B$2:$B$1001,"&lt;"&amp;B454))</f>
        <v/>
      </c>
      <c r="J454" s="17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17" t="str">
        <f t="shared" si="57"/>
        <v/>
      </c>
      <c r="L454" s="18" t="str">
        <f t="shared" si="58"/>
        <v/>
      </c>
      <c r="M454" s="18" t="str">
        <f t="shared" si="59"/>
        <v/>
      </c>
      <c r="N454" s="18" t="str">
        <f t="shared" si="60"/>
        <v/>
      </c>
      <c r="O454" s="18" t="str">
        <f t="shared" si="61"/>
        <v/>
      </c>
      <c r="P454" s="17" t="str">
        <f t="shared" si="62"/>
        <v/>
      </c>
      <c r="Q454" s="17" t="str">
        <f t="shared" si="63"/>
        <v/>
      </c>
      <c r="R454" s="19" t="str">
        <f ca="1">IF(A454="","",IF(COUNTIF(_TradeIds,A454)=0,"违规：交易编号不存在",IF(OR(B454="",B454&lt;1,B454&gt;5,B454&lt;&gt;INT(B454)),"违规：加仓序号须为1到5的整数",IF(COUNTIFS($A$2:$A$1001,A454,$B$2:$B$1001,B454)&gt;1,"违规：同一交易的加仓序号重复",IF(OR(D454="",E454="",F454=""),"计划不完整：请填写加仓价、新止损价和风险预算",IF(OR(D454&lt;=0,E454&lt;=0,F454&lt;=0,D454&lt;=E454),"违规：加仓价必须高于新止损价，金额须大于0",IF(AND(B454&gt;1,COUNTIFS($A$2:$A$1001,A454,$B$2:$B$1001,B454-1,$G$2:$G$1001,"&gt;0")=0),"违规：须先完成上一次加仓",IF(AND(B454&gt;1,E454&lt;SUMIFS($E$2:$E$1001,$A$2:$A$1001,A454,$B$2:$B$1001,B454-1)),"违规：新止损价不得低于上一次",IF(AND(B454&gt;1,F454&gt;SUMIFS($F$2:$F$1001,$A$2:$A$1001,A454,$B$2:$B$1001,B454-1)),"违规：风险预算须逐次不增加",IF(OR(_LockStatus="已锁仓",_LockStatus="解锁信息不完整"),"违规：锁仓期间禁止加仓",IF(G454="","计划可执行：建议股数见N列",IF(OR(G454&lt;=0,G454&lt;&gt;INT(G454),MOD(G454,100)&lt;&gt;0),"违规：实际股数须为100股整数倍",IF(G454&gt;N454,"违规：实际股数超过风险或金字塔上限",IF(AND(B454&gt;1,G454&gt;SUMIFS($G$2:$G$1001,$A$2:$A$1001,A454,$B$2:$B$1001,B454-1)),"违规：加仓股数须逐次不增加",IF(Q454&gt;F454,"违规：止损风险超过本次预算","通过")))))))))))))))</f>
        <v/>
      </c>
    </row>
    <row r="455" ht="17" spans="1:18">
      <c r="A455" s="13"/>
      <c r="B455" s="14"/>
      <c r="C455" s="15"/>
      <c r="D455" s="16"/>
      <c r="E455" s="16"/>
      <c r="F455" s="16"/>
      <c r="G455" s="14"/>
      <c r="H455" s="17" t="str">
        <f t="shared" si="56"/>
        <v/>
      </c>
      <c r="I455" s="18" t="str">
        <f>IF(OR(A455="",B455=""),"",IFERROR(LOOKUP(2,1/(单次交易!$A$2:$A$201=A455),单次交易!$H$2:$H$201),0)+SUMIFS($G$2:$G$1001,$A$2:$A$1001,A455,$B$2:$B$1001,"&lt;"&amp;B455))</f>
        <v/>
      </c>
      <c r="J455" s="17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17" t="str">
        <f t="shared" si="57"/>
        <v/>
      </c>
      <c r="L455" s="18" t="str">
        <f t="shared" si="58"/>
        <v/>
      </c>
      <c r="M455" s="18" t="str">
        <f t="shared" si="59"/>
        <v/>
      </c>
      <c r="N455" s="18" t="str">
        <f t="shared" si="60"/>
        <v/>
      </c>
      <c r="O455" s="18" t="str">
        <f t="shared" si="61"/>
        <v/>
      </c>
      <c r="P455" s="17" t="str">
        <f t="shared" si="62"/>
        <v/>
      </c>
      <c r="Q455" s="17" t="str">
        <f t="shared" si="63"/>
        <v/>
      </c>
      <c r="R455" s="19" t="str">
        <f ca="1">IF(A455="","",IF(COUNTIF(_TradeIds,A455)=0,"违规：交易编号不存在",IF(OR(B455="",B455&lt;1,B455&gt;5,B455&lt;&gt;INT(B455)),"违规：加仓序号须为1到5的整数",IF(COUNTIFS($A$2:$A$1001,A455,$B$2:$B$1001,B455)&gt;1,"违规：同一交易的加仓序号重复",IF(OR(D455="",E455="",F455=""),"计划不完整：请填写加仓价、新止损价和风险预算",IF(OR(D455&lt;=0,E455&lt;=0,F455&lt;=0,D455&lt;=E455),"违规：加仓价必须高于新止损价，金额须大于0",IF(AND(B455&gt;1,COUNTIFS($A$2:$A$1001,A455,$B$2:$B$1001,B455-1,$G$2:$G$1001,"&gt;0")=0),"违规：须先完成上一次加仓",IF(AND(B455&gt;1,E455&lt;SUMIFS($E$2:$E$1001,$A$2:$A$1001,A455,$B$2:$B$1001,B455-1)),"违规：新止损价不得低于上一次",IF(AND(B455&gt;1,F455&gt;SUMIFS($F$2:$F$1001,$A$2:$A$1001,A455,$B$2:$B$1001,B455-1)),"违规：风险预算须逐次不增加",IF(OR(_LockStatus="已锁仓",_LockStatus="解锁信息不完整"),"违规：锁仓期间禁止加仓",IF(G455="","计划可执行：建议股数见N列",IF(OR(G455&lt;=0,G455&lt;&gt;INT(G455),MOD(G455,100)&lt;&gt;0),"违规：实际股数须为100股整数倍",IF(G455&gt;N455,"违规：实际股数超过风险或金字塔上限",IF(AND(B455&gt;1,G455&gt;SUMIFS($G$2:$G$1001,$A$2:$A$1001,A455,$B$2:$B$1001,B455-1)),"违规：加仓股数须逐次不增加",IF(Q455&gt;F455,"违规：止损风险超过本次预算","通过")))))))))))))))</f>
        <v/>
      </c>
    </row>
    <row r="456" ht="17" spans="1:18">
      <c r="A456" s="13"/>
      <c r="B456" s="14"/>
      <c r="C456" s="15"/>
      <c r="D456" s="16"/>
      <c r="E456" s="16"/>
      <c r="F456" s="16"/>
      <c r="G456" s="14"/>
      <c r="H456" s="17" t="str">
        <f t="shared" si="56"/>
        <v/>
      </c>
      <c r="I456" s="18" t="str">
        <f>IF(OR(A456="",B456=""),"",IFERROR(LOOKUP(2,1/(单次交易!$A$2:$A$201=A456),单次交易!$H$2:$H$201),0)+SUMIFS($G$2:$G$1001,$A$2:$A$1001,A456,$B$2:$B$1001,"&lt;"&amp;B456))</f>
        <v/>
      </c>
      <c r="J456" s="17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17" t="str">
        <f t="shared" si="57"/>
        <v/>
      </c>
      <c r="L456" s="18" t="str">
        <f t="shared" si="58"/>
        <v/>
      </c>
      <c r="M456" s="18" t="str">
        <f t="shared" si="59"/>
        <v/>
      </c>
      <c r="N456" s="18" t="str">
        <f t="shared" si="60"/>
        <v/>
      </c>
      <c r="O456" s="18" t="str">
        <f t="shared" si="61"/>
        <v/>
      </c>
      <c r="P456" s="17" t="str">
        <f t="shared" si="62"/>
        <v/>
      </c>
      <c r="Q456" s="17" t="str">
        <f t="shared" si="63"/>
        <v/>
      </c>
      <c r="R456" s="19" t="str">
        <f ca="1">IF(A456="","",IF(COUNTIF(_TradeIds,A456)=0,"违规：交易编号不存在",IF(OR(B456="",B456&lt;1,B456&gt;5,B456&lt;&gt;INT(B456)),"违规：加仓序号须为1到5的整数",IF(COUNTIFS($A$2:$A$1001,A456,$B$2:$B$1001,B456)&gt;1,"违规：同一交易的加仓序号重复",IF(OR(D456="",E456="",F456=""),"计划不完整：请填写加仓价、新止损价和风险预算",IF(OR(D456&lt;=0,E456&lt;=0,F456&lt;=0,D456&lt;=E456),"违规：加仓价必须高于新止损价，金额须大于0",IF(AND(B456&gt;1,COUNTIFS($A$2:$A$1001,A456,$B$2:$B$1001,B456-1,$G$2:$G$1001,"&gt;0")=0),"违规：须先完成上一次加仓",IF(AND(B456&gt;1,E456&lt;SUMIFS($E$2:$E$1001,$A$2:$A$1001,A456,$B$2:$B$1001,B456-1)),"违规：新止损价不得低于上一次",IF(AND(B456&gt;1,F456&gt;SUMIFS($F$2:$F$1001,$A$2:$A$1001,A456,$B$2:$B$1001,B456-1)),"违规：风险预算须逐次不增加",IF(OR(_LockStatus="已锁仓",_LockStatus="解锁信息不完整"),"违规：锁仓期间禁止加仓",IF(G456="","计划可执行：建议股数见N列",IF(OR(G456&lt;=0,G456&lt;&gt;INT(G456),MOD(G456,100)&lt;&gt;0),"违规：实际股数须为100股整数倍",IF(G456&gt;N456,"违规：实际股数超过风险或金字塔上限",IF(AND(B456&gt;1,G456&gt;SUMIFS($G$2:$G$1001,$A$2:$A$1001,A456,$B$2:$B$1001,B456-1)),"违规：加仓股数须逐次不增加",IF(Q456&gt;F456,"违规：止损风险超过本次预算","通过")))))))))))))))</f>
        <v/>
      </c>
    </row>
    <row r="457" ht="17" spans="1:18">
      <c r="A457" s="13"/>
      <c r="B457" s="14"/>
      <c r="C457" s="15"/>
      <c r="D457" s="16"/>
      <c r="E457" s="16"/>
      <c r="F457" s="16"/>
      <c r="G457" s="14"/>
      <c r="H457" s="17" t="str">
        <f t="shared" si="56"/>
        <v/>
      </c>
      <c r="I457" s="18" t="str">
        <f>IF(OR(A457="",B457=""),"",IFERROR(LOOKUP(2,1/(单次交易!$A$2:$A$201=A457),单次交易!$H$2:$H$201),0)+SUMIFS($G$2:$G$1001,$A$2:$A$1001,A457,$B$2:$B$1001,"&lt;"&amp;B457))</f>
        <v/>
      </c>
      <c r="J457" s="17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17" t="str">
        <f t="shared" si="57"/>
        <v/>
      </c>
      <c r="L457" s="18" t="str">
        <f t="shared" si="58"/>
        <v/>
      </c>
      <c r="M457" s="18" t="str">
        <f t="shared" si="59"/>
        <v/>
      </c>
      <c r="N457" s="18" t="str">
        <f t="shared" si="60"/>
        <v/>
      </c>
      <c r="O457" s="18" t="str">
        <f t="shared" si="61"/>
        <v/>
      </c>
      <c r="P457" s="17" t="str">
        <f t="shared" si="62"/>
        <v/>
      </c>
      <c r="Q457" s="17" t="str">
        <f t="shared" si="63"/>
        <v/>
      </c>
      <c r="R457" s="19" t="str">
        <f ca="1">IF(A457="","",IF(COUNTIF(_TradeIds,A457)=0,"违规：交易编号不存在",IF(OR(B457="",B457&lt;1,B457&gt;5,B457&lt;&gt;INT(B457)),"违规：加仓序号须为1到5的整数",IF(COUNTIFS($A$2:$A$1001,A457,$B$2:$B$1001,B457)&gt;1,"违规：同一交易的加仓序号重复",IF(OR(D457="",E457="",F457=""),"计划不完整：请填写加仓价、新止损价和风险预算",IF(OR(D457&lt;=0,E457&lt;=0,F457&lt;=0,D457&lt;=E457),"违规：加仓价必须高于新止损价，金额须大于0",IF(AND(B457&gt;1,COUNTIFS($A$2:$A$1001,A457,$B$2:$B$1001,B457-1,$G$2:$G$1001,"&gt;0")=0),"违规：须先完成上一次加仓",IF(AND(B457&gt;1,E457&lt;SUMIFS($E$2:$E$1001,$A$2:$A$1001,A457,$B$2:$B$1001,B457-1)),"违规：新止损价不得低于上一次",IF(AND(B457&gt;1,F457&gt;SUMIFS($F$2:$F$1001,$A$2:$A$1001,A457,$B$2:$B$1001,B457-1)),"违规：风险预算须逐次不增加",IF(OR(_LockStatus="已锁仓",_LockStatus="解锁信息不完整"),"违规：锁仓期间禁止加仓",IF(G457="","计划可执行：建议股数见N列",IF(OR(G457&lt;=0,G457&lt;&gt;INT(G457),MOD(G457,100)&lt;&gt;0),"违规：实际股数须为100股整数倍",IF(G457&gt;N457,"违规：实际股数超过风险或金字塔上限",IF(AND(B457&gt;1,G457&gt;SUMIFS($G$2:$G$1001,$A$2:$A$1001,A457,$B$2:$B$1001,B457-1)),"违规：加仓股数须逐次不增加",IF(Q457&gt;F457,"违规：止损风险超过本次预算","通过")))))))))))))))</f>
        <v/>
      </c>
    </row>
    <row r="458" ht="17" spans="1:18">
      <c r="A458" s="13"/>
      <c r="B458" s="14"/>
      <c r="C458" s="15"/>
      <c r="D458" s="16"/>
      <c r="E458" s="16"/>
      <c r="F458" s="16"/>
      <c r="G458" s="14"/>
      <c r="H458" s="17" t="str">
        <f t="shared" si="56"/>
        <v/>
      </c>
      <c r="I458" s="18" t="str">
        <f>IF(OR(A458="",B458=""),"",IFERROR(LOOKUP(2,1/(单次交易!$A$2:$A$201=A458),单次交易!$H$2:$H$201),0)+SUMIFS($G$2:$G$1001,$A$2:$A$1001,A458,$B$2:$B$1001,"&lt;"&amp;B458))</f>
        <v/>
      </c>
      <c r="J458" s="17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17" t="str">
        <f t="shared" si="57"/>
        <v/>
      </c>
      <c r="L458" s="18" t="str">
        <f t="shared" si="58"/>
        <v/>
      </c>
      <c r="M458" s="18" t="str">
        <f t="shared" si="59"/>
        <v/>
      </c>
      <c r="N458" s="18" t="str">
        <f t="shared" si="60"/>
        <v/>
      </c>
      <c r="O458" s="18" t="str">
        <f t="shared" si="61"/>
        <v/>
      </c>
      <c r="P458" s="17" t="str">
        <f t="shared" si="62"/>
        <v/>
      </c>
      <c r="Q458" s="17" t="str">
        <f t="shared" si="63"/>
        <v/>
      </c>
      <c r="R458" s="19" t="str">
        <f ca="1">IF(A458="","",IF(COUNTIF(_TradeIds,A458)=0,"违规：交易编号不存在",IF(OR(B458="",B458&lt;1,B458&gt;5,B458&lt;&gt;INT(B458)),"违规：加仓序号须为1到5的整数",IF(COUNTIFS($A$2:$A$1001,A458,$B$2:$B$1001,B458)&gt;1,"违规：同一交易的加仓序号重复",IF(OR(D458="",E458="",F458=""),"计划不完整：请填写加仓价、新止损价和风险预算",IF(OR(D458&lt;=0,E458&lt;=0,F458&lt;=0,D458&lt;=E458),"违规：加仓价必须高于新止损价，金额须大于0",IF(AND(B458&gt;1,COUNTIFS($A$2:$A$1001,A458,$B$2:$B$1001,B458-1,$G$2:$G$1001,"&gt;0")=0),"违规：须先完成上一次加仓",IF(AND(B458&gt;1,E458&lt;SUMIFS($E$2:$E$1001,$A$2:$A$1001,A458,$B$2:$B$1001,B458-1)),"违规：新止损价不得低于上一次",IF(AND(B458&gt;1,F458&gt;SUMIFS($F$2:$F$1001,$A$2:$A$1001,A458,$B$2:$B$1001,B458-1)),"违规：风险预算须逐次不增加",IF(OR(_LockStatus="已锁仓",_LockStatus="解锁信息不完整"),"违规：锁仓期间禁止加仓",IF(G458="","计划可执行：建议股数见N列",IF(OR(G458&lt;=0,G458&lt;&gt;INT(G458),MOD(G458,100)&lt;&gt;0),"违规：实际股数须为100股整数倍",IF(G458&gt;N458,"违规：实际股数超过风险或金字塔上限",IF(AND(B458&gt;1,G458&gt;SUMIFS($G$2:$G$1001,$A$2:$A$1001,A458,$B$2:$B$1001,B458-1)),"违规：加仓股数须逐次不增加",IF(Q458&gt;F458,"违规：止损风险超过本次预算","通过")))))))))))))))</f>
        <v/>
      </c>
    </row>
    <row r="459" ht="17" spans="1:18">
      <c r="A459" s="13"/>
      <c r="B459" s="14"/>
      <c r="C459" s="15"/>
      <c r="D459" s="16"/>
      <c r="E459" s="16"/>
      <c r="F459" s="16"/>
      <c r="G459" s="14"/>
      <c r="H459" s="17" t="str">
        <f t="shared" si="56"/>
        <v/>
      </c>
      <c r="I459" s="18" t="str">
        <f>IF(OR(A459="",B459=""),"",IFERROR(LOOKUP(2,1/(单次交易!$A$2:$A$201=A459),单次交易!$H$2:$H$201),0)+SUMIFS($G$2:$G$1001,$A$2:$A$1001,A459,$B$2:$B$1001,"&lt;"&amp;B459))</f>
        <v/>
      </c>
      <c r="J459" s="17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17" t="str">
        <f t="shared" si="57"/>
        <v/>
      </c>
      <c r="L459" s="18" t="str">
        <f t="shared" si="58"/>
        <v/>
      </c>
      <c r="M459" s="18" t="str">
        <f t="shared" si="59"/>
        <v/>
      </c>
      <c r="N459" s="18" t="str">
        <f t="shared" si="60"/>
        <v/>
      </c>
      <c r="O459" s="18" t="str">
        <f t="shared" si="61"/>
        <v/>
      </c>
      <c r="P459" s="17" t="str">
        <f t="shared" si="62"/>
        <v/>
      </c>
      <c r="Q459" s="17" t="str">
        <f t="shared" si="63"/>
        <v/>
      </c>
      <c r="R459" s="19" t="str">
        <f ca="1">IF(A459="","",IF(COUNTIF(_TradeIds,A459)=0,"违规：交易编号不存在",IF(OR(B459="",B459&lt;1,B459&gt;5,B459&lt;&gt;INT(B459)),"违规：加仓序号须为1到5的整数",IF(COUNTIFS($A$2:$A$1001,A459,$B$2:$B$1001,B459)&gt;1,"违规：同一交易的加仓序号重复",IF(OR(D459="",E459="",F459=""),"计划不完整：请填写加仓价、新止损价和风险预算",IF(OR(D459&lt;=0,E459&lt;=0,F459&lt;=0,D459&lt;=E459),"违规：加仓价必须高于新止损价，金额须大于0",IF(AND(B459&gt;1,COUNTIFS($A$2:$A$1001,A459,$B$2:$B$1001,B459-1,$G$2:$G$1001,"&gt;0")=0),"违规：须先完成上一次加仓",IF(AND(B459&gt;1,E459&lt;SUMIFS($E$2:$E$1001,$A$2:$A$1001,A459,$B$2:$B$1001,B459-1)),"违规：新止损价不得低于上一次",IF(AND(B459&gt;1,F459&gt;SUMIFS($F$2:$F$1001,$A$2:$A$1001,A459,$B$2:$B$1001,B459-1)),"违规：风险预算须逐次不增加",IF(OR(_LockStatus="已锁仓",_LockStatus="解锁信息不完整"),"违规：锁仓期间禁止加仓",IF(G459="","计划可执行：建议股数见N列",IF(OR(G459&lt;=0,G459&lt;&gt;INT(G459),MOD(G459,100)&lt;&gt;0),"违规：实际股数须为100股整数倍",IF(G459&gt;N459,"违规：实际股数超过风险或金字塔上限",IF(AND(B459&gt;1,G459&gt;SUMIFS($G$2:$G$1001,$A$2:$A$1001,A459,$B$2:$B$1001,B459-1)),"违规：加仓股数须逐次不增加",IF(Q459&gt;F459,"违规：止损风险超过本次预算","通过")))))))))))))))</f>
        <v/>
      </c>
    </row>
    <row r="460" ht="17" spans="1:18">
      <c r="A460" s="13"/>
      <c r="B460" s="14"/>
      <c r="C460" s="15"/>
      <c r="D460" s="16"/>
      <c r="E460" s="16"/>
      <c r="F460" s="16"/>
      <c r="G460" s="14"/>
      <c r="H460" s="17" t="str">
        <f t="shared" si="56"/>
        <v/>
      </c>
      <c r="I460" s="18" t="str">
        <f>IF(OR(A460="",B460=""),"",IFERROR(LOOKUP(2,1/(单次交易!$A$2:$A$201=A460),单次交易!$H$2:$H$201),0)+SUMIFS($G$2:$G$1001,$A$2:$A$1001,A460,$B$2:$B$1001,"&lt;"&amp;B460))</f>
        <v/>
      </c>
      <c r="J460" s="17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17" t="str">
        <f t="shared" si="57"/>
        <v/>
      </c>
      <c r="L460" s="18" t="str">
        <f t="shared" si="58"/>
        <v/>
      </c>
      <c r="M460" s="18" t="str">
        <f t="shared" si="59"/>
        <v/>
      </c>
      <c r="N460" s="18" t="str">
        <f t="shared" si="60"/>
        <v/>
      </c>
      <c r="O460" s="18" t="str">
        <f t="shared" si="61"/>
        <v/>
      </c>
      <c r="P460" s="17" t="str">
        <f t="shared" si="62"/>
        <v/>
      </c>
      <c r="Q460" s="17" t="str">
        <f t="shared" si="63"/>
        <v/>
      </c>
      <c r="R460" s="19" t="str">
        <f ca="1">IF(A460="","",IF(COUNTIF(_TradeIds,A460)=0,"违规：交易编号不存在",IF(OR(B460="",B460&lt;1,B460&gt;5,B460&lt;&gt;INT(B460)),"违规：加仓序号须为1到5的整数",IF(COUNTIFS($A$2:$A$1001,A460,$B$2:$B$1001,B460)&gt;1,"违规：同一交易的加仓序号重复",IF(OR(D460="",E460="",F460=""),"计划不完整：请填写加仓价、新止损价和风险预算",IF(OR(D460&lt;=0,E460&lt;=0,F460&lt;=0,D460&lt;=E460),"违规：加仓价必须高于新止损价，金额须大于0",IF(AND(B460&gt;1,COUNTIFS($A$2:$A$1001,A460,$B$2:$B$1001,B460-1,$G$2:$G$1001,"&gt;0")=0),"违规：须先完成上一次加仓",IF(AND(B460&gt;1,E460&lt;SUMIFS($E$2:$E$1001,$A$2:$A$1001,A460,$B$2:$B$1001,B460-1)),"违规：新止损价不得低于上一次",IF(AND(B460&gt;1,F460&gt;SUMIFS($F$2:$F$1001,$A$2:$A$1001,A460,$B$2:$B$1001,B460-1)),"违规：风险预算须逐次不增加",IF(OR(_LockStatus="已锁仓",_LockStatus="解锁信息不完整"),"违规：锁仓期间禁止加仓",IF(G460="","计划可执行：建议股数见N列",IF(OR(G460&lt;=0,G460&lt;&gt;INT(G460),MOD(G460,100)&lt;&gt;0),"违规：实际股数须为100股整数倍",IF(G460&gt;N460,"违规：实际股数超过风险或金字塔上限",IF(AND(B460&gt;1,G460&gt;SUMIFS($G$2:$G$1001,$A$2:$A$1001,A460,$B$2:$B$1001,B460-1)),"违规：加仓股数须逐次不增加",IF(Q460&gt;F460,"违规：止损风险超过本次预算","通过")))))))))))))))</f>
        <v/>
      </c>
    </row>
    <row r="461" ht="17" spans="1:18">
      <c r="A461" s="13"/>
      <c r="B461" s="14"/>
      <c r="C461" s="15"/>
      <c r="D461" s="16"/>
      <c r="E461" s="16"/>
      <c r="F461" s="16"/>
      <c r="G461" s="14"/>
      <c r="H461" s="17" t="str">
        <f t="shared" si="56"/>
        <v/>
      </c>
      <c r="I461" s="18" t="str">
        <f>IF(OR(A461="",B461=""),"",IFERROR(LOOKUP(2,1/(单次交易!$A$2:$A$201=A461),单次交易!$H$2:$H$201),0)+SUMIFS($G$2:$G$1001,$A$2:$A$1001,A461,$B$2:$B$1001,"&lt;"&amp;B461))</f>
        <v/>
      </c>
      <c r="J461" s="17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17" t="str">
        <f t="shared" si="57"/>
        <v/>
      </c>
      <c r="L461" s="18" t="str">
        <f t="shared" si="58"/>
        <v/>
      </c>
      <c r="M461" s="18" t="str">
        <f t="shared" si="59"/>
        <v/>
      </c>
      <c r="N461" s="18" t="str">
        <f t="shared" si="60"/>
        <v/>
      </c>
      <c r="O461" s="18" t="str">
        <f t="shared" si="61"/>
        <v/>
      </c>
      <c r="P461" s="17" t="str">
        <f t="shared" si="62"/>
        <v/>
      </c>
      <c r="Q461" s="17" t="str">
        <f t="shared" si="63"/>
        <v/>
      </c>
      <c r="R461" s="19" t="str">
        <f ca="1">IF(A461="","",IF(COUNTIF(_TradeIds,A461)=0,"违规：交易编号不存在",IF(OR(B461="",B461&lt;1,B461&gt;5,B461&lt;&gt;INT(B461)),"违规：加仓序号须为1到5的整数",IF(COUNTIFS($A$2:$A$1001,A461,$B$2:$B$1001,B461)&gt;1,"违规：同一交易的加仓序号重复",IF(OR(D461="",E461="",F461=""),"计划不完整：请填写加仓价、新止损价和风险预算",IF(OR(D461&lt;=0,E461&lt;=0,F461&lt;=0,D461&lt;=E461),"违规：加仓价必须高于新止损价，金额须大于0",IF(AND(B461&gt;1,COUNTIFS($A$2:$A$1001,A461,$B$2:$B$1001,B461-1,$G$2:$G$1001,"&gt;0")=0),"违规：须先完成上一次加仓",IF(AND(B461&gt;1,E461&lt;SUMIFS($E$2:$E$1001,$A$2:$A$1001,A461,$B$2:$B$1001,B461-1)),"违规：新止损价不得低于上一次",IF(AND(B461&gt;1,F461&gt;SUMIFS($F$2:$F$1001,$A$2:$A$1001,A461,$B$2:$B$1001,B461-1)),"违规：风险预算须逐次不增加",IF(OR(_LockStatus="已锁仓",_LockStatus="解锁信息不完整"),"违规：锁仓期间禁止加仓",IF(G461="","计划可执行：建议股数见N列",IF(OR(G461&lt;=0,G461&lt;&gt;INT(G461),MOD(G461,100)&lt;&gt;0),"违规：实际股数须为100股整数倍",IF(G461&gt;N461,"违规：实际股数超过风险或金字塔上限",IF(AND(B461&gt;1,G461&gt;SUMIFS($G$2:$G$1001,$A$2:$A$1001,A461,$B$2:$B$1001,B461-1)),"违规：加仓股数须逐次不增加",IF(Q461&gt;F461,"违规：止损风险超过本次预算","通过")))))))))))))))</f>
        <v/>
      </c>
    </row>
    <row r="462" ht="17" spans="1:18">
      <c r="A462" s="13"/>
      <c r="B462" s="14"/>
      <c r="C462" s="15"/>
      <c r="D462" s="16"/>
      <c r="E462" s="16"/>
      <c r="F462" s="16"/>
      <c r="G462" s="14"/>
      <c r="H462" s="17" t="str">
        <f t="shared" si="56"/>
        <v/>
      </c>
      <c r="I462" s="18" t="str">
        <f>IF(OR(A462="",B462=""),"",IFERROR(LOOKUP(2,1/(单次交易!$A$2:$A$201=A462),单次交易!$H$2:$H$201),0)+SUMIFS($G$2:$G$1001,$A$2:$A$1001,A462,$B$2:$B$1001,"&lt;"&amp;B462))</f>
        <v/>
      </c>
      <c r="J462" s="17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17" t="str">
        <f t="shared" si="57"/>
        <v/>
      </c>
      <c r="L462" s="18" t="str">
        <f t="shared" si="58"/>
        <v/>
      </c>
      <c r="M462" s="18" t="str">
        <f t="shared" si="59"/>
        <v/>
      </c>
      <c r="N462" s="18" t="str">
        <f t="shared" si="60"/>
        <v/>
      </c>
      <c r="O462" s="18" t="str">
        <f t="shared" si="61"/>
        <v/>
      </c>
      <c r="P462" s="17" t="str">
        <f t="shared" si="62"/>
        <v/>
      </c>
      <c r="Q462" s="17" t="str">
        <f t="shared" si="63"/>
        <v/>
      </c>
      <c r="R462" s="19" t="str">
        <f ca="1">IF(A462="","",IF(COUNTIF(_TradeIds,A462)=0,"违规：交易编号不存在",IF(OR(B462="",B462&lt;1,B462&gt;5,B462&lt;&gt;INT(B462)),"违规：加仓序号须为1到5的整数",IF(COUNTIFS($A$2:$A$1001,A462,$B$2:$B$1001,B462)&gt;1,"违规：同一交易的加仓序号重复",IF(OR(D462="",E462="",F462=""),"计划不完整：请填写加仓价、新止损价和风险预算",IF(OR(D462&lt;=0,E462&lt;=0,F462&lt;=0,D462&lt;=E462),"违规：加仓价必须高于新止损价，金额须大于0",IF(AND(B462&gt;1,COUNTIFS($A$2:$A$1001,A462,$B$2:$B$1001,B462-1,$G$2:$G$1001,"&gt;0")=0),"违规：须先完成上一次加仓",IF(AND(B462&gt;1,E462&lt;SUMIFS($E$2:$E$1001,$A$2:$A$1001,A462,$B$2:$B$1001,B462-1)),"违规：新止损价不得低于上一次",IF(AND(B462&gt;1,F462&gt;SUMIFS($F$2:$F$1001,$A$2:$A$1001,A462,$B$2:$B$1001,B462-1)),"违规：风险预算须逐次不增加",IF(OR(_LockStatus="已锁仓",_LockStatus="解锁信息不完整"),"违规：锁仓期间禁止加仓",IF(G462="","计划可执行：建议股数见N列",IF(OR(G462&lt;=0,G462&lt;&gt;INT(G462),MOD(G462,100)&lt;&gt;0),"违规：实际股数须为100股整数倍",IF(G462&gt;N462,"违规：实际股数超过风险或金字塔上限",IF(AND(B462&gt;1,G462&gt;SUMIFS($G$2:$G$1001,$A$2:$A$1001,A462,$B$2:$B$1001,B462-1)),"违规：加仓股数须逐次不增加",IF(Q462&gt;F462,"违规：止损风险超过本次预算","通过")))))))))))))))</f>
        <v/>
      </c>
    </row>
    <row r="463" ht="17" spans="1:18">
      <c r="A463" s="13"/>
      <c r="B463" s="14"/>
      <c r="C463" s="15"/>
      <c r="D463" s="16"/>
      <c r="E463" s="16"/>
      <c r="F463" s="16"/>
      <c r="G463" s="14"/>
      <c r="H463" s="17" t="str">
        <f t="shared" si="56"/>
        <v/>
      </c>
      <c r="I463" s="18" t="str">
        <f>IF(OR(A463="",B463=""),"",IFERROR(LOOKUP(2,1/(单次交易!$A$2:$A$201=A463),单次交易!$H$2:$H$201),0)+SUMIFS($G$2:$G$1001,$A$2:$A$1001,A463,$B$2:$B$1001,"&lt;"&amp;B463))</f>
        <v/>
      </c>
      <c r="J463" s="17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17" t="str">
        <f t="shared" si="57"/>
        <v/>
      </c>
      <c r="L463" s="18" t="str">
        <f t="shared" si="58"/>
        <v/>
      </c>
      <c r="M463" s="18" t="str">
        <f t="shared" si="59"/>
        <v/>
      </c>
      <c r="N463" s="18" t="str">
        <f t="shared" si="60"/>
        <v/>
      </c>
      <c r="O463" s="18" t="str">
        <f t="shared" si="61"/>
        <v/>
      </c>
      <c r="P463" s="17" t="str">
        <f t="shared" si="62"/>
        <v/>
      </c>
      <c r="Q463" s="17" t="str">
        <f t="shared" si="63"/>
        <v/>
      </c>
      <c r="R463" s="19" t="str">
        <f ca="1">IF(A463="","",IF(COUNTIF(_TradeIds,A463)=0,"违规：交易编号不存在",IF(OR(B463="",B463&lt;1,B463&gt;5,B463&lt;&gt;INT(B463)),"违规：加仓序号须为1到5的整数",IF(COUNTIFS($A$2:$A$1001,A463,$B$2:$B$1001,B463)&gt;1,"违规：同一交易的加仓序号重复",IF(OR(D463="",E463="",F463=""),"计划不完整：请填写加仓价、新止损价和风险预算",IF(OR(D463&lt;=0,E463&lt;=0,F463&lt;=0,D463&lt;=E463),"违规：加仓价必须高于新止损价，金额须大于0",IF(AND(B463&gt;1,COUNTIFS($A$2:$A$1001,A463,$B$2:$B$1001,B463-1,$G$2:$G$1001,"&gt;0")=0),"违规：须先完成上一次加仓",IF(AND(B463&gt;1,E463&lt;SUMIFS($E$2:$E$1001,$A$2:$A$1001,A463,$B$2:$B$1001,B463-1)),"违规：新止损价不得低于上一次",IF(AND(B463&gt;1,F463&gt;SUMIFS($F$2:$F$1001,$A$2:$A$1001,A463,$B$2:$B$1001,B463-1)),"违规：风险预算须逐次不增加",IF(OR(_LockStatus="已锁仓",_LockStatus="解锁信息不完整"),"违规：锁仓期间禁止加仓",IF(G463="","计划可执行：建议股数见N列",IF(OR(G463&lt;=0,G463&lt;&gt;INT(G463),MOD(G463,100)&lt;&gt;0),"违规：实际股数须为100股整数倍",IF(G463&gt;N463,"违规：实际股数超过风险或金字塔上限",IF(AND(B463&gt;1,G463&gt;SUMIFS($G$2:$G$1001,$A$2:$A$1001,A463,$B$2:$B$1001,B463-1)),"违规：加仓股数须逐次不增加",IF(Q463&gt;F463,"违规：止损风险超过本次预算","通过")))))))))))))))</f>
        <v/>
      </c>
    </row>
    <row r="464" ht="17" spans="1:18">
      <c r="A464" s="13"/>
      <c r="B464" s="14"/>
      <c r="C464" s="15"/>
      <c r="D464" s="16"/>
      <c r="E464" s="16"/>
      <c r="F464" s="16"/>
      <c r="G464" s="14"/>
      <c r="H464" s="17" t="str">
        <f t="shared" si="56"/>
        <v/>
      </c>
      <c r="I464" s="18" t="str">
        <f>IF(OR(A464="",B464=""),"",IFERROR(LOOKUP(2,1/(单次交易!$A$2:$A$201=A464),单次交易!$H$2:$H$201),0)+SUMIFS($G$2:$G$1001,$A$2:$A$1001,A464,$B$2:$B$1001,"&lt;"&amp;B464))</f>
        <v/>
      </c>
      <c r="J464" s="17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17" t="str">
        <f t="shared" si="57"/>
        <v/>
      </c>
      <c r="L464" s="18" t="str">
        <f t="shared" si="58"/>
        <v/>
      </c>
      <c r="M464" s="18" t="str">
        <f t="shared" si="59"/>
        <v/>
      </c>
      <c r="N464" s="18" t="str">
        <f t="shared" si="60"/>
        <v/>
      </c>
      <c r="O464" s="18" t="str">
        <f t="shared" si="61"/>
        <v/>
      </c>
      <c r="P464" s="17" t="str">
        <f t="shared" si="62"/>
        <v/>
      </c>
      <c r="Q464" s="17" t="str">
        <f t="shared" si="63"/>
        <v/>
      </c>
      <c r="R464" s="19" t="str">
        <f ca="1">IF(A464="","",IF(COUNTIF(_TradeIds,A464)=0,"违规：交易编号不存在",IF(OR(B464="",B464&lt;1,B464&gt;5,B464&lt;&gt;INT(B464)),"违规：加仓序号须为1到5的整数",IF(COUNTIFS($A$2:$A$1001,A464,$B$2:$B$1001,B464)&gt;1,"违规：同一交易的加仓序号重复",IF(OR(D464="",E464="",F464=""),"计划不完整：请填写加仓价、新止损价和风险预算",IF(OR(D464&lt;=0,E464&lt;=0,F464&lt;=0,D464&lt;=E464),"违规：加仓价必须高于新止损价，金额须大于0",IF(AND(B464&gt;1,COUNTIFS($A$2:$A$1001,A464,$B$2:$B$1001,B464-1,$G$2:$G$1001,"&gt;0")=0),"违规：须先完成上一次加仓",IF(AND(B464&gt;1,E464&lt;SUMIFS($E$2:$E$1001,$A$2:$A$1001,A464,$B$2:$B$1001,B464-1)),"违规：新止损价不得低于上一次",IF(AND(B464&gt;1,F464&gt;SUMIFS($F$2:$F$1001,$A$2:$A$1001,A464,$B$2:$B$1001,B464-1)),"违规：风险预算须逐次不增加",IF(OR(_LockStatus="已锁仓",_LockStatus="解锁信息不完整"),"违规：锁仓期间禁止加仓",IF(G464="","计划可执行：建议股数见N列",IF(OR(G464&lt;=0,G464&lt;&gt;INT(G464),MOD(G464,100)&lt;&gt;0),"违规：实际股数须为100股整数倍",IF(G464&gt;N464,"违规：实际股数超过风险或金字塔上限",IF(AND(B464&gt;1,G464&gt;SUMIFS($G$2:$G$1001,$A$2:$A$1001,A464,$B$2:$B$1001,B464-1)),"违规：加仓股数须逐次不增加",IF(Q464&gt;F464,"违规：止损风险超过本次预算","通过")))))))))))))))</f>
        <v/>
      </c>
    </row>
    <row r="465" ht="17" spans="1:18">
      <c r="A465" s="13"/>
      <c r="B465" s="14"/>
      <c r="C465" s="15"/>
      <c r="D465" s="16"/>
      <c r="E465" s="16"/>
      <c r="F465" s="16"/>
      <c r="G465" s="14"/>
      <c r="H465" s="17" t="str">
        <f t="shared" si="56"/>
        <v/>
      </c>
      <c r="I465" s="18" t="str">
        <f>IF(OR(A465="",B465=""),"",IFERROR(LOOKUP(2,1/(单次交易!$A$2:$A$201=A465),单次交易!$H$2:$H$201),0)+SUMIFS($G$2:$G$1001,$A$2:$A$1001,A465,$B$2:$B$1001,"&lt;"&amp;B465))</f>
        <v/>
      </c>
      <c r="J465" s="17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17" t="str">
        <f t="shared" si="57"/>
        <v/>
      </c>
      <c r="L465" s="18" t="str">
        <f t="shared" si="58"/>
        <v/>
      </c>
      <c r="M465" s="18" t="str">
        <f t="shared" si="59"/>
        <v/>
      </c>
      <c r="N465" s="18" t="str">
        <f t="shared" si="60"/>
        <v/>
      </c>
      <c r="O465" s="18" t="str">
        <f t="shared" si="61"/>
        <v/>
      </c>
      <c r="P465" s="17" t="str">
        <f t="shared" si="62"/>
        <v/>
      </c>
      <c r="Q465" s="17" t="str">
        <f t="shared" si="63"/>
        <v/>
      </c>
      <c r="R465" s="19" t="str">
        <f ca="1">IF(A465="","",IF(COUNTIF(_TradeIds,A465)=0,"违规：交易编号不存在",IF(OR(B465="",B465&lt;1,B465&gt;5,B465&lt;&gt;INT(B465)),"违规：加仓序号须为1到5的整数",IF(COUNTIFS($A$2:$A$1001,A465,$B$2:$B$1001,B465)&gt;1,"违规：同一交易的加仓序号重复",IF(OR(D465="",E465="",F465=""),"计划不完整：请填写加仓价、新止损价和风险预算",IF(OR(D465&lt;=0,E465&lt;=0,F465&lt;=0,D465&lt;=E465),"违规：加仓价必须高于新止损价，金额须大于0",IF(AND(B465&gt;1,COUNTIFS($A$2:$A$1001,A465,$B$2:$B$1001,B465-1,$G$2:$G$1001,"&gt;0")=0),"违规：须先完成上一次加仓",IF(AND(B465&gt;1,E465&lt;SUMIFS($E$2:$E$1001,$A$2:$A$1001,A465,$B$2:$B$1001,B465-1)),"违规：新止损价不得低于上一次",IF(AND(B465&gt;1,F465&gt;SUMIFS($F$2:$F$1001,$A$2:$A$1001,A465,$B$2:$B$1001,B465-1)),"违规：风险预算须逐次不增加",IF(OR(_LockStatus="已锁仓",_LockStatus="解锁信息不完整"),"违规：锁仓期间禁止加仓",IF(G465="","计划可执行：建议股数见N列",IF(OR(G465&lt;=0,G465&lt;&gt;INT(G465),MOD(G465,100)&lt;&gt;0),"违规：实际股数须为100股整数倍",IF(G465&gt;N465,"违规：实际股数超过风险或金字塔上限",IF(AND(B465&gt;1,G465&gt;SUMIFS($G$2:$G$1001,$A$2:$A$1001,A465,$B$2:$B$1001,B465-1)),"违规：加仓股数须逐次不增加",IF(Q465&gt;F465,"违规：止损风险超过本次预算","通过")))))))))))))))</f>
        <v/>
      </c>
    </row>
    <row r="466" ht="17" spans="1:18">
      <c r="A466" s="13"/>
      <c r="B466" s="14"/>
      <c r="C466" s="15"/>
      <c r="D466" s="16"/>
      <c r="E466" s="16"/>
      <c r="F466" s="16"/>
      <c r="G466" s="14"/>
      <c r="H466" s="17" t="str">
        <f t="shared" si="56"/>
        <v/>
      </c>
      <c r="I466" s="18" t="str">
        <f>IF(OR(A466="",B466=""),"",IFERROR(LOOKUP(2,1/(单次交易!$A$2:$A$201=A466),单次交易!$H$2:$H$201),0)+SUMIFS($G$2:$G$1001,$A$2:$A$1001,A466,$B$2:$B$1001,"&lt;"&amp;B466))</f>
        <v/>
      </c>
      <c r="J466" s="17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17" t="str">
        <f t="shared" si="57"/>
        <v/>
      </c>
      <c r="L466" s="18" t="str">
        <f t="shared" si="58"/>
        <v/>
      </c>
      <c r="M466" s="18" t="str">
        <f t="shared" si="59"/>
        <v/>
      </c>
      <c r="N466" s="18" t="str">
        <f t="shared" si="60"/>
        <v/>
      </c>
      <c r="O466" s="18" t="str">
        <f t="shared" si="61"/>
        <v/>
      </c>
      <c r="P466" s="17" t="str">
        <f t="shared" si="62"/>
        <v/>
      </c>
      <c r="Q466" s="17" t="str">
        <f t="shared" si="63"/>
        <v/>
      </c>
      <c r="R466" s="19" t="str">
        <f ca="1">IF(A466="","",IF(COUNTIF(_TradeIds,A466)=0,"违规：交易编号不存在",IF(OR(B466="",B466&lt;1,B466&gt;5,B466&lt;&gt;INT(B466)),"违规：加仓序号须为1到5的整数",IF(COUNTIFS($A$2:$A$1001,A466,$B$2:$B$1001,B466)&gt;1,"违规：同一交易的加仓序号重复",IF(OR(D466="",E466="",F466=""),"计划不完整：请填写加仓价、新止损价和风险预算",IF(OR(D466&lt;=0,E466&lt;=0,F466&lt;=0,D466&lt;=E466),"违规：加仓价必须高于新止损价，金额须大于0",IF(AND(B466&gt;1,COUNTIFS($A$2:$A$1001,A466,$B$2:$B$1001,B466-1,$G$2:$G$1001,"&gt;0")=0),"违规：须先完成上一次加仓",IF(AND(B466&gt;1,E466&lt;SUMIFS($E$2:$E$1001,$A$2:$A$1001,A466,$B$2:$B$1001,B466-1)),"违规：新止损价不得低于上一次",IF(AND(B466&gt;1,F466&gt;SUMIFS($F$2:$F$1001,$A$2:$A$1001,A466,$B$2:$B$1001,B466-1)),"违规：风险预算须逐次不增加",IF(OR(_LockStatus="已锁仓",_LockStatus="解锁信息不完整"),"违规：锁仓期间禁止加仓",IF(G466="","计划可执行：建议股数见N列",IF(OR(G466&lt;=0,G466&lt;&gt;INT(G466),MOD(G466,100)&lt;&gt;0),"违规：实际股数须为100股整数倍",IF(G466&gt;N466,"违规：实际股数超过风险或金字塔上限",IF(AND(B466&gt;1,G466&gt;SUMIFS($G$2:$G$1001,$A$2:$A$1001,A466,$B$2:$B$1001,B466-1)),"违规：加仓股数须逐次不增加",IF(Q466&gt;F466,"违规：止损风险超过本次预算","通过")))))))))))))))</f>
        <v/>
      </c>
    </row>
    <row r="467" ht="17" spans="1:18">
      <c r="A467" s="13"/>
      <c r="B467" s="14"/>
      <c r="C467" s="15"/>
      <c r="D467" s="16"/>
      <c r="E467" s="16"/>
      <c r="F467" s="16"/>
      <c r="G467" s="14"/>
      <c r="H467" s="17" t="str">
        <f t="shared" si="56"/>
        <v/>
      </c>
      <c r="I467" s="18" t="str">
        <f>IF(OR(A467="",B467=""),"",IFERROR(LOOKUP(2,1/(单次交易!$A$2:$A$201=A467),单次交易!$H$2:$H$201),0)+SUMIFS($G$2:$G$1001,$A$2:$A$1001,A467,$B$2:$B$1001,"&lt;"&amp;B467))</f>
        <v/>
      </c>
      <c r="J467" s="17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17" t="str">
        <f t="shared" si="57"/>
        <v/>
      </c>
      <c r="L467" s="18" t="str">
        <f t="shared" si="58"/>
        <v/>
      </c>
      <c r="M467" s="18" t="str">
        <f t="shared" si="59"/>
        <v/>
      </c>
      <c r="N467" s="18" t="str">
        <f t="shared" si="60"/>
        <v/>
      </c>
      <c r="O467" s="18" t="str">
        <f t="shared" si="61"/>
        <v/>
      </c>
      <c r="P467" s="17" t="str">
        <f t="shared" si="62"/>
        <v/>
      </c>
      <c r="Q467" s="17" t="str">
        <f t="shared" si="63"/>
        <v/>
      </c>
      <c r="R467" s="19" t="str">
        <f ca="1">IF(A467="","",IF(COUNTIF(_TradeIds,A467)=0,"违规：交易编号不存在",IF(OR(B467="",B467&lt;1,B467&gt;5,B467&lt;&gt;INT(B467)),"违规：加仓序号须为1到5的整数",IF(COUNTIFS($A$2:$A$1001,A467,$B$2:$B$1001,B467)&gt;1,"违规：同一交易的加仓序号重复",IF(OR(D467="",E467="",F467=""),"计划不完整：请填写加仓价、新止损价和风险预算",IF(OR(D467&lt;=0,E467&lt;=0,F467&lt;=0,D467&lt;=E467),"违规：加仓价必须高于新止损价，金额须大于0",IF(AND(B467&gt;1,COUNTIFS($A$2:$A$1001,A467,$B$2:$B$1001,B467-1,$G$2:$G$1001,"&gt;0")=0),"违规：须先完成上一次加仓",IF(AND(B467&gt;1,E467&lt;SUMIFS($E$2:$E$1001,$A$2:$A$1001,A467,$B$2:$B$1001,B467-1)),"违规：新止损价不得低于上一次",IF(AND(B467&gt;1,F467&gt;SUMIFS($F$2:$F$1001,$A$2:$A$1001,A467,$B$2:$B$1001,B467-1)),"违规：风险预算须逐次不增加",IF(OR(_LockStatus="已锁仓",_LockStatus="解锁信息不完整"),"违规：锁仓期间禁止加仓",IF(G467="","计划可执行：建议股数见N列",IF(OR(G467&lt;=0,G467&lt;&gt;INT(G467),MOD(G467,100)&lt;&gt;0),"违规：实际股数须为100股整数倍",IF(G467&gt;N467,"违规：实际股数超过风险或金字塔上限",IF(AND(B467&gt;1,G467&gt;SUMIFS($G$2:$G$1001,$A$2:$A$1001,A467,$B$2:$B$1001,B467-1)),"违规：加仓股数须逐次不增加",IF(Q467&gt;F467,"违规：止损风险超过本次预算","通过")))))))))))))))</f>
        <v/>
      </c>
    </row>
    <row r="468" ht="17" spans="1:18">
      <c r="A468" s="13"/>
      <c r="B468" s="14"/>
      <c r="C468" s="15"/>
      <c r="D468" s="16"/>
      <c r="E468" s="16"/>
      <c r="F468" s="16"/>
      <c r="G468" s="14"/>
      <c r="H468" s="17" t="str">
        <f t="shared" si="56"/>
        <v/>
      </c>
      <c r="I468" s="18" t="str">
        <f>IF(OR(A468="",B468=""),"",IFERROR(LOOKUP(2,1/(单次交易!$A$2:$A$201=A468),单次交易!$H$2:$H$201),0)+SUMIFS($G$2:$G$1001,$A$2:$A$1001,A468,$B$2:$B$1001,"&lt;"&amp;B468))</f>
        <v/>
      </c>
      <c r="J468" s="17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17" t="str">
        <f t="shared" si="57"/>
        <v/>
      </c>
      <c r="L468" s="18" t="str">
        <f t="shared" si="58"/>
        <v/>
      </c>
      <c r="M468" s="18" t="str">
        <f t="shared" si="59"/>
        <v/>
      </c>
      <c r="N468" s="18" t="str">
        <f t="shared" si="60"/>
        <v/>
      </c>
      <c r="O468" s="18" t="str">
        <f t="shared" si="61"/>
        <v/>
      </c>
      <c r="P468" s="17" t="str">
        <f t="shared" si="62"/>
        <v/>
      </c>
      <c r="Q468" s="17" t="str">
        <f t="shared" si="63"/>
        <v/>
      </c>
      <c r="R468" s="19" t="str">
        <f ca="1">IF(A468="","",IF(COUNTIF(_TradeIds,A468)=0,"违规：交易编号不存在",IF(OR(B468="",B468&lt;1,B468&gt;5,B468&lt;&gt;INT(B468)),"违规：加仓序号须为1到5的整数",IF(COUNTIFS($A$2:$A$1001,A468,$B$2:$B$1001,B468)&gt;1,"违规：同一交易的加仓序号重复",IF(OR(D468="",E468="",F468=""),"计划不完整：请填写加仓价、新止损价和风险预算",IF(OR(D468&lt;=0,E468&lt;=0,F468&lt;=0,D468&lt;=E468),"违规：加仓价必须高于新止损价，金额须大于0",IF(AND(B468&gt;1,COUNTIFS($A$2:$A$1001,A468,$B$2:$B$1001,B468-1,$G$2:$G$1001,"&gt;0")=0),"违规：须先完成上一次加仓",IF(AND(B468&gt;1,E468&lt;SUMIFS($E$2:$E$1001,$A$2:$A$1001,A468,$B$2:$B$1001,B468-1)),"违规：新止损价不得低于上一次",IF(AND(B468&gt;1,F468&gt;SUMIFS($F$2:$F$1001,$A$2:$A$1001,A468,$B$2:$B$1001,B468-1)),"违规：风险预算须逐次不增加",IF(OR(_LockStatus="已锁仓",_LockStatus="解锁信息不完整"),"违规：锁仓期间禁止加仓",IF(G468="","计划可执行：建议股数见N列",IF(OR(G468&lt;=0,G468&lt;&gt;INT(G468),MOD(G468,100)&lt;&gt;0),"违规：实际股数须为100股整数倍",IF(G468&gt;N468,"违规：实际股数超过风险或金字塔上限",IF(AND(B468&gt;1,G468&gt;SUMIFS($G$2:$G$1001,$A$2:$A$1001,A468,$B$2:$B$1001,B468-1)),"违规：加仓股数须逐次不增加",IF(Q468&gt;F468,"违规：止损风险超过本次预算","通过")))))))))))))))</f>
        <v/>
      </c>
    </row>
    <row r="469" ht="17" spans="1:18">
      <c r="A469" s="13"/>
      <c r="B469" s="14"/>
      <c r="C469" s="15"/>
      <c r="D469" s="16"/>
      <c r="E469" s="16"/>
      <c r="F469" s="16"/>
      <c r="G469" s="14"/>
      <c r="H469" s="17" t="str">
        <f t="shared" si="56"/>
        <v/>
      </c>
      <c r="I469" s="18" t="str">
        <f>IF(OR(A469="",B469=""),"",IFERROR(LOOKUP(2,1/(单次交易!$A$2:$A$201=A469),单次交易!$H$2:$H$201),0)+SUMIFS($G$2:$G$1001,$A$2:$A$1001,A469,$B$2:$B$1001,"&lt;"&amp;B469))</f>
        <v/>
      </c>
      <c r="J469" s="17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17" t="str">
        <f t="shared" si="57"/>
        <v/>
      </c>
      <c r="L469" s="18" t="str">
        <f t="shared" si="58"/>
        <v/>
      </c>
      <c r="M469" s="18" t="str">
        <f t="shared" si="59"/>
        <v/>
      </c>
      <c r="N469" s="18" t="str">
        <f t="shared" si="60"/>
        <v/>
      </c>
      <c r="O469" s="18" t="str">
        <f t="shared" si="61"/>
        <v/>
      </c>
      <c r="P469" s="17" t="str">
        <f t="shared" si="62"/>
        <v/>
      </c>
      <c r="Q469" s="17" t="str">
        <f t="shared" si="63"/>
        <v/>
      </c>
      <c r="R469" s="19" t="str">
        <f ca="1">IF(A469="","",IF(COUNTIF(_TradeIds,A469)=0,"违规：交易编号不存在",IF(OR(B469="",B469&lt;1,B469&gt;5,B469&lt;&gt;INT(B469)),"违规：加仓序号须为1到5的整数",IF(COUNTIFS($A$2:$A$1001,A469,$B$2:$B$1001,B469)&gt;1,"违规：同一交易的加仓序号重复",IF(OR(D469="",E469="",F469=""),"计划不完整：请填写加仓价、新止损价和风险预算",IF(OR(D469&lt;=0,E469&lt;=0,F469&lt;=0,D469&lt;=E469),"违规：加仓价必须高于新止损价，金额须大于0",IF(AND(B469&gt;1,COUNTIFS($A$2:$A$1001,A469,$B$2:$B$1001,B469-1,$G$2:$G$1001,"&gt;0")=0),"违规：须先完成上一次加仓",IF(AND(B469&gt;1,E469&lt;SUMIFS($E$2:$E$1001,$A$2:$A$1001,A469,$B$2:$B$1001,B469-1)),"违规：新止损价不得低于上一次",IF(AND(B469&gt;1,F469&gt;SUMIFS($F$2:$F$1001,$A$2:$A$1001,A469,$B$2:$B$1001,B469-1)),"违规：风险预算须逐次不增加",IF(OR(_LockStatus="已锁仓",_LockStatus="解锁信息不完整"),"违规：锁仓期间禁止加仓",IF(G469="","计划可执行：建议股数见N列",IF(OR(G469&lt;=0,G469&lt;&gt;INT(G469),MOD(G469,100)&lt;&gt;0),"违规：实际股数须为100股整数倍",IF(G469&gt;N469,"违规：实际股数超过风险或金字塔上限",IF(AND(B469&gt;1,G469&gt;SUMIFS($G$2:$G$1001,$A$2:$A$1001,A469,$B$2:$B$1001,B469-1)),"违规：加仓股数须逐次不增加",IF(Q469&gt;F469,"违规：止损风险超过本次预算","通过")))))))))))))))</f>
        <v/>
      </c>
    </row>
    <row r="470" ht="17" spans="1:18">
      <c r="A470" s="13"/>
      <c r="B470" s="14"/>
      <c r="C470" s="15"/>
      <c r="D470" s="16"/>
      <c r="E470" s="16"/>
      <c r="F470" s="16"/>
      <c r="G470" s="14"/>
      <c r="H470" s="17" t="str">
        <f t="shared" si="56"/>
        <v/>
      </c>
      <c r="I470" s="18" t="str">
        <f>IF(OR(A470="",B470=""),"",IFERROR(LOOKUP(2,1/(单次交易!$A$2:$A$201=A470),单次交易!$H$2:$H$201),0)+SUMIFS($G$2:$G$1001,$A$2:$A$1001,A470,$B$2:$B$1001,"&lt;"&amp;B470))</f>
        <v/>
      </c>
      <c r="J470" s="17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17" t="str">
        <f t="shared" si="57"/>
        <v/>
      </c>
      <c r="L470" s="18" t="str">
        <f t="shared" si="58"/>
        <v/>
      </c>
      <c r="M470" s="18" t="str">
        <f t="shared" si="59"/>
        <v/>
      </c>
      <c r="N470" s="18" t="str">
        <f t="shared" si="60"/>
        <v/>
      </c>
      <c r="O470" s="18" t="str">
        <f t="shared" si="61"/>
        <v/>
      </c>
      <c r="P470" s="17" t="str">
        <f t="shared" si="62"/>
        <v/>
      </c>
      <c r="Q470" s="17" t="str">
        <f t="shared" si="63"/>
        <v/>
      </c>
      <c r="R470" s="19" t="str">
        <f ca="1">IF(A470="","",IF(COUNTIF(_TradeIds,A470)=0,"违规：交易编号不存在",IF(OR(B470="",B470&lt;1,B470&gt;5,B470&lt;&gt;INT(B470)),"违规：加仓序号须为1到5的整数",IF(COUNTIFS($A$2:$A$1001,A470,$B$2:$B$1001,B470)&gt;1,"违规：同一交易的加仓序号重复",IF(OR(D470="",E470="",F470=""),"计划不完整：请填写加仓价、新止损价和风险预算",IF(OR(D470&lt;=0,E470&lt;=0,F470&lt;=0,D470&lt;=E470),"违规：加仓价必须高于新止损价，金额须大于0",IF(AND(B470&gt;1,COUNTIFS($A$2:$A$1001,A470,$B$2:$B$1001,B470-1,$G$2:$G$1001,"&gt;0")=0),"违规：须先完成上一次加仓",IF(AND(B470&gt;1,E470&lt;SUMIFS($E$2:$E$1001,$A$2:$A$1001,A470,$B$2:$B$1001,B470-1)),"违规：新止损价不得低于上一次",IF(AND(B470&gt;1,F470&gt;SUMIFS($F$2:$F$1001,$A$2:$A$1001,A470,$B$2:$B$1001,B470-1)),"违规：风险预算须逐次不增加",IF(OR(_LockStatus="已锁仓",_LockStatus="解锁信息不完整"),"违规：锁仓期间禁止加仓",IF(G470="","计划可执行：建议股数见N列",IF(OR(G470&lt;=0,G470&lt;&gt;INT(G470),MOD(G470,100)&lt;&gt;0),"违规：实际股数须为100股整数倍",IF(G470&gt;N470,"违规：实际股数超过风险或金字塔上限",IF(AND(B470&gt;1,G470&gt;SUMIFS($G$2:$G$1001,$A$2:$A$1001,A470,$B$2:$B$1001,B470-1)),"违规：加仓股数须逐次不增加",IF(Q470&gt;F470,"违规：止损风险超过本次预算","通过")))))))))))))))</f>
        <v/>
      </c>
    </row>
    <row r="471" ht="17" spans="1:18">
      <c r="A471" s="13"/>
      <c r="B471" s="14"/>
      <c r="C471" s="15"/>
      <c r="D471" s="16"/>
      <c r="E471" s="16"/>
      <c r="F471" s="16"/>
      <c r="G471" s="14"/>
      <c r="H471" s="17" t="str">
        <f t="shared" si="56"/>
        <v/>
      </c>
      <c r="I471" s="18" t="str">
        <f>IF(OR(A471="",B471=""),"",IFERROR(LOOKUP(2,1/(单次交易!$A$2:$A$201=A471),单次交易!$H$2:$H$201),0)+SUMIFS($G$2:$G$1001,$A$2:$A$1001,A471,$B$2:$B$1001,"&lt;"&amp;B471))</f>
        <v/>
      </c>
      <c r="J471" s="17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17" t="str">
        <f t="shared" si="57"/>
        <v/>
      </c>
      <c r="L471" s="18" t="str">
        <f t="shared" si="58"/>
        <v/>
      </c>
      <c r="M471" s="18" t="str">
        <f t="shared" si="59"/>
        <v/>
      </c>
      <c r="N471" s="18" t="str">
        <f t="shared" si="60"/>
        <v/>
      </c>
      <c r="O471" s="18" t="str">
        <f t="shared" si="61"/>
        <v/>
      </c>
      <c r="P471" s="17" t="str">
        <f t="shared" si="62"/>
        <v/>
      </c>
      <c r="Q471" s="17" t="str">
        <f t="shared" si="63"/>
        <v/>
      </c>
      <c r="R471" s="19" t="str">
        <f ca="1">IF(A471="","",IF(COUNTIF(_TradeIds,A471)=0,"违规：交易编号不存在",IF(OR(B471="",B471&lt;1,B471&gt;5,B471&lt;&gt;INT(B471)),"违规：加仓序号须为1到5的整数",IF(COUNTIFS($A$2:$A$1001,A471,$B$2:$B$1001,B471)&gt;1,"违规：同一交易的加仓序号重复",IF(OR(D471="",E471="",F471=""),"计划不完整：请填写加仓价、新止损价和风险预算",IF(OR(D471&lt;=0,E471&lt;=0,F471&lt;=0,D471&lt;=E471),"违规：加仓价必须高于新止损价，金额须大于0",IF(AND(B471&gt;1,COUNTIFS($A$2:$A$1001,A471,$B$2:$B$1001,B471-1,$G$2:$G$1001,"&gt;0")=0),"违规：须先完成上一次加仓",IF(AND(B471&gt;1,E471&lt;SUMIFS($E$2:$E$1001,$A$2:$A$1001,A471,$B$2:$B$1001,B471-1)),"违规：新止损价不得低于上一次",IF(AND(B471&gt;1,F471&gt;SUMIFS($F$2:$F$1001,$A$2:$A$1001,A471,$B$2:$B$1001,B471-1)),"违规：风险预算须逐次不增加",IF(OR(_LockStatus="已锁仓",_LockStatus="解锁信息不完整"),"违规：锁仓期间禁止加仓",IF(G471="","计划可执行：建议股数见N列",IF(OR(G471&lt;=0,G471&lt;&gt;INT(G471),MOD(G471,100)&lt;&gt;0),"违规：实际股数须为100股整数倍",IF(G471&gt;N471,"违规：实际股数超过风险或金字塔上限",IF(AND(B471&gt;1,G471&gt;SUMIFS($G$2:$G$1001,$A$2:$A$1001,A471,$B$2:$B$1001,B471-1)),"违规：加仓股数须逐次不增加",IF(Q471&gt;F471,"违规：止损风险超过本次预算","通过")))))))))))))))</f>
        <v/>
      </c>
    </row>
    <row r="472" ht="17" spans="1:18">
      <c r="A472" s="13"/>
      <c r="B472" s="14"/>
      <c r="C472" s="15"/>
      <c r="D472" s="16"/>
      <c r="E472" s="16"/>
      <c r="F472" s="16"/>
      <c r="G472" s="14"/>
      <c r="H472" s="17" t="str">
        <f t="shared" si="56"/>
        <v/>
      </c>
      <c r="I472" s="18" t="str">
        <f>IF(OR(A472="",B472=""),"",IFERROR(LOOKUP(2,1/(单次交易!$A$2:$A$201=A472),单次交易!$H$2:$H$201),0)+SUMIFS($G$2:$G$1001,$A$2:$A$1001,A472,$B$2:$B$1001,"&lt;"&amp;B472))</f>
        <v/>
      </c>
      <c r="J472" s="17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17" t="str">
        <f t="shared" si="57"/>
        <v/>
      </c>
      <c r="L472" s="18" t="str">
        <f t="shared" si="58"/>
        <v/>
      </c>
      <c r="M472" s="18" t="str">
        <f t="shared" si="59"/>
        <v/>
      </c>
      <c r="N472" s="18" t="str">
        <f t="shared" si="60"/>
        <v/>
      </c>
      <c r="O472" s="18" t="str">
        <f t="shared" si="61"/>
        <v/>
      </c>
      <c r="P472" s="17" t="str">
        <f t="shared" si="62"/>
        <v/>
      </c>
      <c r="Q472" s="17" t="str">
        <f t="shared" si="63"/>
        <v/>
      </c>
      <c r="R472" s="19" t="str">
        <f ca="1">IF(A472="","",IF(COUNTIF(_TradeIds,A472)=0,"违规：交易编号不存在",IF(OR(B472="",B472&lt;1,B472&gt;5,B472&lt;&gt;INT(B472)),"违规：加仓序号须为1到5的整数",IF(COUNTIFS($A$2:$A$1001,A472,$B$2:$B$1001,B472)&gt;1,"违规：同一交易的加仓序号重复",IF(OR(D472="",E472="",F472=""),"计划不完整：请填写加仓价、新止损价和风险预算",IF(OR(D472&lt;=0,E472&lt;=0,F472&lt;=0,D472&lt;=E472),"违规：加仓价必须高于新止损价，金额须大于0",IF(AND(B472&gt;1,COUNTIFS($A$2:$A$1001,A472,$B$2:$B$1001,B472-1,$G$2:$G$1001,"&gt;0")=0),"违规：须先完成上一次加仓",IF(AND(B472&gt;1,E472&lt;SUMIFS($E$2:$E$1001,$A$2:$A$1001,A472,$B$2:$B$1001,B472-1)),"违规：新止损价不得低于上一次",IF(AND(B472&gt;1,F472&gt;SUMIFS($F$2:$F$1001,$A$2:$A$1001,A472,$B$2:$B$1001,B472-1)),"违规：风险预算须逐次不增加",IF(OR(_LockStatus="已锁仓",_LockStatus="解锁信息不完整"),"违规：锁仓期间禁止加仓",IF(G472="","计划可执行：建议股数见N列",IF(OR(G472&lt;=0,G472&lt;&gt;INT(G472),MOD(G472,100)&lt;&gt;0),"违规：实际股数须为100股整数倍",IF(G472&gt;N472,"违规：实际股数超过风险或金字塔上限",IF(AND(B472&gt;1,G472&gt;SUMIFS($G$2:$G$1001,$A$2:$A$1001,A472,$B$2:$B$1001,B472-1)),"违规：加仓股数须逐次不增加",IF(Q472&gt;F472,"违规：止损风险超过本次预算","通过")))))))))))))))</f>
        <v/>
      </c>
    </row>
    <row r="473" ht="17" spans="1:18">
      <c r="A473" s="13"/>
      <c r="B473" s="14"/>
      <c r="C473" s="15"/>
      <c r="D473" s="16"/>
      <c r="E473" s="16"/>
      <c r="F473" s="16"/>
      <c r="G473" s="14"/>
      <c r="H473" s="17" t="str">
        <f t="shared" si="56"/>
        <v/>
      </c>
      <c r="I473" s="18" t="str">
        <f>IF(OR(A473="",B473=""),"",IFERROR(LOOKUP(2,1/(单次交易!$A$2:$A$201=A473),单次交易!$H$2:$H$201),0)+SUMIFS($G$2:$G$1001,$A$2:$A$1001,A473,$B$2:$B$1001,"&lt;"&amp;B473))</f>
        <v/>
      </c>
      <c r="J473" s="17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17" t="str">
        <f t="shared" si="57"/>
        <v/>
      </c>
      <c r="L473" s="18" t="str">
        <f t="shared" si="58"/>
        <v/>
      </c>
      <c r="M473" s="18" t="str">
        <f t="shared" si="59"/>
        <v/>
      </c>
      <c r="N473" s="18" t="str">
        <f t="shared" si="60"/>
        <v/>
      </c>
      <c r="O473" s="18" t="str">
        <f t="shared" si="61"/>
        <v/>
      </c>
      <c r="P473" s="17" t="str">
        <f t="shared" si="62"/>
        <v/>
      </c>
      <c r="Q473" s="17" t="str">
        <f t="shared" si="63"/>
        <v/>
      </c>
      <c r="R473" s="19" t="str">
        <f ca="1">IF(A473="","",IF(COUNTIF(_TradeIds,A473)=0,"违规：交易编号不存在",IF(OR(B473="",B473&lt;1,B473&gt;5,B473&lt;&gt;INT(B473)),"违规：加仓序号须为1到5的整数",IF(COUNTIFS($A$2:$A$1001,A473,$B$2:$B$1001,B473)&gt;1,"违规：同一交易的加仓序号重复",IF(OR(D473="",E473="",F473=""),"计划不完整：请填写加仓价、新止损价和风险预算",IF(OR(D473&lt;=0,E473&lt;=0,F473&lt;=0,D473&lt;=E473),"违规：加仓价必须高于新止损价，金额须大于0",IF(AND(B473&gt;1,COUNTIFS($A$2:$A$1001,A473,$B$2:$B$1001,B473-1,$G$2:$G$1001,"&gt;0")=0),"违规：须先完成上一次加仓",IF(AND(B473&gt;1,E473&lt;SUMIFS($E$2:$E$1001,$A$2:$A$1001,A473,$B$2:$B$1001,B473-1)),"违规：新止损价不得低于上一次",IF(AND(B473&gt;1,F473&gt;SUMIFS($F$2:$F$1001,$A$2:$A$1001,A473,$B$2:$B$1001,B473-1)),"违规：风险预算须逐次不增加",IF(OR(_LockStatus="已锁仓",_LockStatus="解锁信息不完整"),"违规：锁仓期间禁止加仓",IF(G473="","计划可执行：建议股数见N列",IF(OR(G473&lt;=0,G473&lt;&gt;INT(G473),MOD(G473,100)&lt;&gt;0),"违规：实际股数须为100股整数倍",IF(G473&gt;N473,"违规：实际股数超过风险或金字塔上限",IF(AND(B473&gt;1,G473&gt;SUMIFS($G$2:$G$1001,$A$2:$A$1001,A473,$B$2:$B$1001,B473-1)),"违规：加仓股数须逐次不增加",IF(Q473&gt;F473,"违规：止损风险超过本次预算","通过")))))))))))))))</f>
        <v/>
      </c>
    </row>
    <row r="474" ht="17" spans="1:18">
      <c r="A474" s="13"/>
      <c r="B474" s="14"/>
      <c r="C474" s="15"/>
      <c r="D474" s="16"/>
      <c r="E474" s="16"/>
      <c r="F474" s="16"/>
      <c r="G474" s="14"/>
      <c r="H474" s="17" t="str">
        <f t="shared" si="56"/>
        <v/>
      </c>
      <c r="I474" s="18" t="str">
        <f>IF(OR(A474="",B474=""),"",IFERROR(LOOKUP(2,1/(单次交易!$A$2:$A$201=A474),单次交易!$H$2:$H$201),0)+SUMIFS($G$2:$G$1001,$A$2:$A$1001,A474,$B$2:$B$1001,"&lt;"&amp;B474))</f>
        <v/>
      </c>
      <c r="J474" s="17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17" t="str">
        <f t="shared" si="57"/>
        <v/>
      </c>
      <c r="L474" s="18" t="str">
        <f t="shared" si="58"/>
        <v/>
      </c>
      <c r="M474" s="18" t="str">
        <f t="shared" si="59"/>
        <v/>
      </c>
      <c r="N474" s="18" t="str">
        <f t="shared" si="60"/>
        <v/>
      </c>
      <c r="O474" s="18" t="str">
        <f t="shared" si="61"/>
        <v/>
      </c>
      <c r="P474" s="17" t="str">
        <f t="shared" si="62"/>
        <v/>
      </c>
      <c r="Q474" s="17" t="str">
        <f t="shared" si="63"/>
        <v/>
      </c>
      <c r="R474" s="19" t="str">
        <f ca="1">IF(A474="","",IF(COUNTIF(_TradeIds,A474)=0,"违规：交易编号不存在",IF(OR(B474="",B474&lt;1,B474&gt;5,B474&lt;&gt;INT(B474)),"违规：加仓序号须为1到5的整数",IF(COUNTIFS($A$2:$A$1001,A474,$B$2:$B$1001,B474)&gt;1,"违规：同一交易的加仓序号重复",IF(OR(D474="",E474="",F474=""),"计划不完整：请填写加仓价、新止损价和风险预算",IF(OR(D474&lt;=0,E474&lt;=0,F474&lt;=0,D474&lt;=E474),"违规：加仓价必须高于新止损价，金额须大于0",IF(AND(B474&gt;1,COUNTIFS($A$2:$A$1001,A474,$B$2:$B$1001,B474-1,$G$2:$G$1001,"&gt;0")=0),"违规：须先完成上一次加仓",IF(AND(B474&gt;1,E474&lt;SUMIFS($E$2:$E$1001,$A$2:$A$1001,A474,$B$2:$B$1001,B474-1)),"违规：新止损价不得低于上一次",IF(AND(B474&gt;1,F474&gt;SUMIFS($F$2:$F$1001,$A$2:$A$1001,A474,$B$2:$B$1001,B474-1)),"违规：风险预算须逐次不增加",IF(OR(_LockStatus="已锁仓",_LockStatus="解锁信息不完整"),"违规：锁仓期间禁止加仓",IF(G474="","计划可执行：建议股数见N列",IF(OR(G474&lt;=0,G474&lt;&gt;INT(G474),MOD(G474,100)&lt;&gt;0),"违规：实际股数须为100股整数倍",IF(G474&gt;N474,"违规：实际股数超过风险或金字塔上限",IF(AND(B474&gt;1,G474&gt;SUMIFS($G$2:$G$1001,$A$2:$A$1001,A474,$B$2:$B$1001,B474-1)),"违规：加仓股数须逐次不增加",IF(Q474&gt;F474,"违规：止损风险超过本次预算","通过")))))))))))))))</f>
        <v/>
      </c>
    </row>
    <row r="475" ht="17" spans="1:18">
      <c r="A475" s="13"/>
      <c r="B475" s="14"/>
      <c r="C475" s="15"/>
      <c r="D475" s="16"/>
      <c r="E475" s="16"/>
      <c r="F475" s="16"/>
      <c r="G475" s="14"/>
      <c r="H475" s="17" t="str">
        <f t="shared" si="56"/>
        <v/>
      </c>
      <c r="I475" s="18" t="str">
        <f>IF(OR(A475="",B475=""),"",IFERROR(LOOKUP(2,1/(单次交易!$A$2:$A$201=A475),单次交易!$H$2:$H$201),0)+SUMIFS($G$2:$G$1001,$A$2:$A$1001,A475,$B$2:$B$1001,"&lt;"&amp;B475))</f>
        <v/>
      </c>
      <c r="J475" s="17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17" t="str">
        <f t="shared" si="57"/>
        <v/>
      </c>
      <c r="L475" s="18" t="str">
        <f t="shared" si="58"/>
        <v/>
      </c>
      <c r="M475" s="18" t="str">
        <f t="shared" si="59"/>
        <v/>
      </c>
      <c r="N475" s="18" t="str">
        <f t="shared" si="60"/>
        <v/>
      </c>
      <c r="O475" s="18" t="str">
        <f t="shared" si="61"/>
        <v/>
      </c>
      <c r="P475" s="17" t="str">
        <f t="shared" si="62"/>
        <v/>
      </c>
      <c r="Q475" s="17" t="str">
        <f t="shared" si="63"/>
        <v/>
      </c>
      <c r="R475" s="19" t="str">
        <f ca="1">IF(A475="","",IF(COUNTIF(_TradeIds,A475)=0,"违规：交易编号不存在",IF(OR(B475="",B475&lt;1,B475&gt;5,B475&lt;&gt;INT(B475)),"违规：加仓序号须为1到5的整数",IF(COUNTIFS($A$2:$A$1001,A475,$B$2:$B$1001,B475)&gt;1,"违规：同一交易的加仓序号重复",IF(OR(D475="",E475="",F475=""),"计划不完整：请填写加仓价、新止损价和风险预算",IF(OR(D475&lt;=0,E475&lt;=0,F475&lt;=0,D475&lt;=E475),"违规：加仓价必须高于新止损价，金额须大于0",IF(AND(B475&gt;1,COUNTIFS($A$2:$A$1001,A475,$B$2:$B$1001,B475-1,$G$2:$G$1001,"&gt;0")=0),"违规：须先完成上一次加仓",IF(AND(B475&gt;1,E475&lt;SUMIFS($E$2:$E$1001,$A$2:$A$1001,A475,$B$2:$B$1001,B475-1)),"违规：新止损价不得低于上一次",IF(AND(B475&gt;1,F475&gt;SUMIFS($F$2:$F$1001,$A$2:$A$1001,A475,$B$2:$B$1001,B475-1)),"违规：风险预算须逐次不增加",IF(OR(_LockStatus="已锁仓",_LockStatus="解锁信息不完整"),"违规：锁仓期间禁止加仓",IF(G475="","计划可执行：建议股数见N列",IF(OR(G475&lt;=0,G475&lt;&gt;INT(G475),MOD(G475,100)&lt;&gt;0),"违规：实际股数须为100股整数倍",IF(G475&gt;N475,"违规：实际股数超过风险或金字塔上限",IF(AND(B475&gt;1,G475&gt;SUMIFS($G$2:$G$1001,$A$2:$A$1001,A475,$B$2:$B$1001,B475-1)),"违规：加仓股数须逐次不增加",IF(Q475&gt;F475,"违规：止损风险超过本次预算","通过")))))))))))))))</f>
        <v/>
      </c>
    </row>
    <row r="476" ht="17" spans="1:18">
      <c r="A476" s="13"/>
      <c r="B476" s="14"/>
      <c r="C476" s="15"/>
      <c r="D476" s="16"/>
      <c r="E476" s="16"/>
      <c r="F476" s="16"/>
      <c r="G476" s="14"/>
      <c r="H476" s="17" t="str">
        <f t="shared" si="56"/>
        <v/>
      </c>
      <c r="I476" s="18" t="str">
        <f>IF(OR(A476="",B476=""),"",IFERROR(LOOKUP(2,1/(单次交易!$A$2:$A$201=A476),单次交易!$H$2:$H$201),0)+SUMIFS($G$2:$G$1001,$A$2:$A$1001,A476,$B$2:$B$1001,"&lt;"&amp;B476))</f>
        <v/>
      </c>
      <c r="J476" s="17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17" t="str">
        <f t="shared" si="57"/>
        <v/>
      </c>
      <c r="L476" s="18" t="str">
        <f t="shared" si="58"/>
        <v/>
      </c>
      <c r="M476" s="18" t="str">
        <f t="shared" si="59"/>
        <v/>
      </c>
      <c r="N476" s="18" t="str">
        <f t="shared" si="60"/>
        <v/>
      </c>
      <c r="O476" s="18" t="str">
        <f t="shared" si="61"/>
        <v/>
      </c>
      <c r="P476" s="17" t="str">
        <f t="shared" si="62"/>
        <v/>
      </c>
      <c r="Q476" s="17" t="str">
        <f t="shared" si="63"/>
        <v/>
      </c>
      <c r="R476" s="19" t="str">
        <f ca="1">IF(A476="","",IF(COUNTIF(_TradeIds,A476)=0,"违规：交易编号不存在",IF(OR(B476="",B476&lt;1,B476&gt;5,B476&lt;&gt;INT(B476)),"违规：加仓序号须为1到5的整数",IF(COUNTIFS($A$2:$A$1001,A476,$B$2:$B$1001,B476)&gt;1,"违规：同一交易的加仓序号重复",IF(OR(D476="",E476="",F476=""),"计划不完整：请填写加仓价、新止损价和风险预算",IF(OR(D476&lt;=0,E476&lt;=0,F476&lt;=0,D476&lt;=E476),"违规：加仓价必须高于新止损价，金额须大于0",IF(AND(B476&gt;1,COUNTIFS($A$2:$A$1001,A476,$B$2:$B$1001,B476-1,$G$2:$G$1001,"&gt;0")=0),"违规：须先完成上一次加仓",IF(AND(B476&gt;1,E476&lt;SUMIFS($E$2:$E$1001,$A$2:$A$1001,A476,$B$2:$B$1001,B476-1)),"违规：新止损价不得低于上一次",IF(AND(B476&gt;1,F476&gt;SUMIFS($F$2:$F$1001,$A$2:$A$1001,A476,$B$2:$B$1001,B476-1)),"违规：风险预算须逐次不增加",IF(OR(_LockStatus="已锁仓",_LockStatus="解锁信息不完整"),"违规：锁仓期间禁止加仓",IF(G476="","计划可执行：建议股数见N列",IF(OR(G476&lt;=0,G476&lt;&gt;INT(G476),MOD(G476,100)&lt;&gt;0),"违规：实际股数须为100股整数倍",IF(G476&gt;N476,"违规：实际股数超过风险或金字塔上限",IF(AND(B476&gt;1,G476&gt;SUMIFS($G$2:$G$1001,$A$2:$A$1001,A476,$B$2:$B$1001,B476-1)),"违规：加仓股数须逐次不增加",IF(Q476&gt;F476,"违规：止损风险超过本次预算","通过")))))))))))))))</f>
        <v/>
      </c>
    </row>
    <row r="477" ht="17" spans="1:18">
      <c r="A477" s="13"/>
      <c r="B477" s="14"/>
      <c r="C477" s="15"/>
      <c r="D477" s="16"/>
      <c r="E477" s="16"/>
      <c r="F477" s="16"/>
      <c r="G477" s="14"/>
      <c r="H477" s="17" t="str">
        <f t="shared" si="56"/>
        <v/>
      </c>
      <c r="I477" s="18" t="str">
        <f>IF(OR(A477="",B477=""),"",IFERROR(LOOKUP(2,1/(单次交易!$A$2:$A$201=A477),单次交易!$H$2:$H$201),0)+SUMIFS($G$2:$G$1001,$A$2:$A$1001,A477,$B$2:$B$1001,"&lt;"&amp;B477))</f>
        <v/>
      </c>
      <c r="J477" s="17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17" t="str">
        <f t="shared" si="57"/>
        <v/>
      </c>
      <c r="L477" s="18" t="str">
        <f t="shared" si="58"/>
        <v/>
      </c>
      <c r="M477" s="18" t="str">
        <f t="shared" si="59"/>
        <v/>
      </c>
      <c r="N477" s="18" t="str">
        <f t="shared" si="60"/>
        <v/>
      </c>
      <c r="O477" s="18" t="str">
        <f t="shared" si="61"/>
        <v/>
      </c>
      <c r="P477" s="17" t="str">
        <f t="shared" si="62"/>
        <v/>
      </c>
      <c r="Q477" s="17" t="str">
        <f t="shared" si="63"/>
        <v/>
      </c>
      <c r="R477" s="19" t="str">
        <f ca="1">IF(A477="","",IF(COUNTIF(_TradeIds,A477)=0,"违规：交易编号不存在",IF(OR(B477="",B477&lt;1,B477&gt;5,B477&lt;&gt;INT(B477)),"违规：加仓序号须为1到5的整数",IF(COUNTIFS($A$2:$A$1001,A477,$B$2:$B$1001,B477)&gt;1,"违规：同一交易的加仓序号重复",IF(OR(D477="",E477="",F477=""),"计划不完整：请填写加仓价、新止损价和风险预算",IF(OR(D477&lt;=0,E477&lt;=0,F477&lt;=0,D477&lt;=E477),"违规：加仓价必须高于新止损价，金额须大于0",IF(AND(B477&gt;1,COUNTIFS($A$2:$A$1001,A477,$B$2:$B$1001,B477-1,$G$2:$G$1001,"&gt;0")=0),"违规：须先完成上一次加仓",IF(AND(B477&gt;1,E477&lt;SUMIFS($E$2:$E$1001,$A$2:$A$1001,A477,$B$2:$B$1001,B477-1)),"违规：新止损价不得低于上一次",IF(AND(B477&gt;1,F477&gt;SUMIFS($F$2:$F$1001,$A$2:$A$1001,A477,$B$2:$B$1001,B477-1)),"违规：风险预算须逐次不增加",IF(OR(_LockStatus="已锁仓",_LockStatus="解锁信息不完整"),"违规：锁仓期间禁止加仓",IF(G477="","计划可执行：建议股数见N列",IF(OR(G477&lt;=0,G477&lt;&gt;INT(G477),MOD(G477,100)&lt;&gt;0),"违规：实际股数须为100股整数倍",IF(G477&gt;N477,"违规：实际股数超过风险或金字塔上限",IF(AND(B477&gt;1,G477&gt;SUMIFS($G$2:$G$1001,$A$2:$A$1001,A477,$B$2:$B$1001,B477-1)),"违规：加仓股数须逐次不增加",IF(Q477&gt;F477,"违规：止损风险超过本次预算","通过")))))))))))))))</f>
        <v/>
      </c>
    </row>
    <row r="478" ht="17" spans="1:18">
      <c r="A478" s="13"/>
      <c r="B478" s="14"/>
      <c r="C478" s="15"/>
      <c r="D478" s="16"/>
      <c r="E478" s="16"/>
      <c r="F478" s="16"/>
      <c r="G478" s="14"/>
      <c r="H478" s="17" t="str">
        <f t="shared" si="56"/>
        <v/>
      </c>
      <c r="I478" s="18" t="str">
        <f>IF(OR(A478="",B478=""),"",IFERROR(LOOKUP(2,1/(单次交易!$A$2:$A$201=A478),单次交易!$H$2:$H$201),0)+SUMIFS($G$2:$G$1001,$A$2:$A$1001,A478,$B$2:$B$1001,"&lt;"&amp;B478))</f>
        <v/>
      </c>
      <c r="J478" s="17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17" t="str">
        <f t="shared" si="57"/>
        <v/>
      </c>
      <c r="L478" s="18" t="str">
        <f t="shared" si="58"/>
        <v/>
      </c>
      <c r="M478" s="18" t="str">
        <f t="shared" si="59"/>
        <v/>
      </c>
      <c r="N478" s="18" t="str">
        <f t="shared" si="60"/>
        <v/>
      </c>
      <c r="O478" s="18" t="str">
        <f t="shared" si="61"/>
        <v/>
      </c>
      <c r="P478" s="17" t="str">
        <f t="shared" si="62"/>
        <v/>
      </c>
      <c r="Q478" s="17" t="str">
        <f t="shared" si="63"/>
        <v/>
      </c>
      <c r="R478" s="19" t="str">
        <f ca="1">IF(A478="","",IF(COUNTIF(_TradeIds,A478)=0,"违规：交易编号不存在",IF(OR(B478="",B478&lt;1,B478&gt;5,B478&lt;&gt;INT(B478)),"违规：加仓序号须为1到5的整数",IF(COUNTIFS($A$2:$A$1001,A478,$B$2:$B$1001,B478)&gt;1,"违规：同一交易的加仓序号重复",IF(OR(D478="",E478="",F478=""),"计划不完整：请填写加仓价、新止损价和风险预算",IF(OR(D478&lt;=0,E478&lt;=0,F478&lt;=0,D478&lt;=E478),"违规：加仓价必须高于新止损价，金额须大于0",IF(AND(B478&gt;1,COUNTIFS($A$2:$A$1001,A478,$B$2:$B$1001,B478-1,$G$2:$G$1001,"&gt;0")=0),"违规：须先完成上一次加仓",IF(AND(B478&gt;1,E478&lt;SUMIFS($E$2:$E$1001,$A$2:$A$1001,A478,$B$2:$B$1001,B478-1)),"违规：新止损价不得低于上一次",IF(AND(B478&gt;1,F478&gt;SUMIFS($F$2:$F$1001,$A$2:$A$1001,A478,$B$2:$B$1001,B478-1)),"违规：风险预算须逐次不增加",IF(OR(_LockStatus="已锁仓",_LockStatus="解锁信息不完整"),"违规：锁仓期间禁止加仓",IF(G478="","计划可执行：建议股数见N列",IF(OR(G478&lt;=0,G478&lt;&gt;INT(G478),MOD(G478,100)&lt;&gt;0),"违规：实际股数须为100股整数倍",IF(G478&gt;N478,"违规：实际股数超过风险或金字塔上限",IF(AND(B478&gt;1,G478&gt;SUMIFS($G$2:$G$1001,$A$2:$A$1001,A478,$B$2:$B$1001,B478-1)),"违规：加仓股数须逐次不增加",IF(Q478&gt;F478,"违规：止损风险超过本次预算","通过")))))))))))))))</f>
        <v/>
      </c>
    </row>
    <row r="479" ht="17" spans="1:18">
      <c r="A479" s="13"/>
      <c r="B479" s="14"/>
      <c r="C479" s="15"/>
      <c r="D479" s="16"/>
      <c r="E479" s="16"/>
      <c r="F479" s="16"/>
      <c r="G479" s="14"/>
      <c r="H479" s="17" t="str">
        <f t="shared" si="56"/>
        <v/>
      </c>
      <c r="I479" s="18" t="str">
        <f>IF(OR(A479="",B479=""),"",IFERROR(LOOKUP(2,1/(单次交易!$A$2:$A$201=A479),单次交易!$H$2:$H$201),0)+SUMIFS($G$2:$G$1001,$A$2:$A$1001,A479,$B$2:$B$1001,"&lt;"&amp;B479))</f>
        <v/>
      </c>
      <c r="J479" s="17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17" t="str">
        <f t="shared" si="57"/>
        <v/>
      </c>
      <c r="L479" s="18" t="str">
        <f t="shared" si="58"/>
        <v/>
      </c>
      <c r="M479" s="18" t="str">
        <f t="shared" si="59"/>
        <v/>
      </c>
      <c r="N479" s="18" t="str">
        <f t="shared" si="60"/>
        <v/>
      </c>
      <c r="O479" s="18" t="str">
        <f t="shared" si="61"/>
        <v/>
      </c>
      <c r="P479" s="17" t="str">
        <f t="shared" si="62"/>
        <v/>
      </c>
      <c r="Q479" s="17" t="str">
        <f t="shared" si="63"/>
        <v/>
      </c>
      <c r="R479" s="19" t="str">
        <f ca="1">IF(A479="","",IF(COUNTIF(_TradeIds,A479)=0,"违规：交易编号不存在",IF(OR(B479="",B479&lt;1,B479&gt;5,B479&lt;&gt;INT(B479)),"违规：加仓序号须为1到5的整数",IF(COUNTIFS($A$2:$A$1001,A479,$B$2:$B$1001,B479)&gt;1,"违规：同一交易的加仓序号重复",IF(OR(D479="",E479="",F479=""),"计划不完整：请填写加仓价、新止损价和风险预算",IF(OR(D479&lt;=0,E479&lt;=0,F479&lt;=0,D479&lt;=E479),"违规：加仓价必须高于新止损价，金额须大于0",IF(AND(B479&gt;1,COUNTIFS($A$2:$A$1001,A479,$B$2:$B$1001,B479-1,$G$2:$G$1001,"&gt;0")=0),"违规：须先完成上一次加仓",IF(AND(B479&gt;1,E479&lt;SUMIFS($E$2:$E$1001,$A$2:$A$1001,A479,$B$2:$B$1001,B479-1)),"违规：新止损价不得低于上一次",IF(AND(B479&gt;1,F479&gt;SUMIFS($F$2:$F$1001,$A$2:$A$1001,A479,$B$2:$B$1001,B479-1)),"违规：风险预算须逐次不增加",IF(OR(_LockStatus="已锁仓",_LockStatus="解锁信息不完整"),"违规：锁仓期间禁止加仓",IF(G479="","计划可执行：建议股数见N列",IF(OR(G479&lt;=0,G479&lt;&gt;INT(G479),MOD(G479,100)&lt;&gt;0),"违规：实际股数须为100股整数倍",IF(G479&gt;N479,"违规：实际股数超过风险或金字塔上限",IF(AND(B479&gt;1,G479&gt;SUMIFS($G$2:$G$1001,$A$2:$A$1001,A479,$B$2:$B$1001,B479-1)),"违规：加仓股数须逐次不增加",IF(Q479&gt;F479,"违规：止损风险超过本次预算","通过")))))))))))))))</f>
        <v/>
      </c>
    </row>
    <row r="480" ht="17" spans="1:18">
      <c r="A480" s="13"/>
      <c r="B480" s="14"/>
      <c r="C480" s="15"/>
      <c r="D480" s="16"/>
      <c r="E480" s="16"/>
      <c r="F480" s="16"/>
      <c r="G480" s="14"/>
      <c r="H480" s="17" t="str">
        <f t="shared" si="56"/>
        <v/>
      </c>
      <c r="I480" s="18" t="str">
        <f>IF(OR(A480="",B480=""),"",IFERROR(LOOKUP(2,1/(单次交易!$A$2:$A$201=A480),单次交易!$H$2:$H$201),0)+SUMIFS($G$2:$G$1001,$A$2:$A$1001,A480,$B$2:$B$1001,"&lt;"&amp;B480))</f>
        <v/>
      </c>
      <c r="J480" s="17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17" t="str">
        <f t="shared" si="57"/>
        <v/>
      </c>
      <c r="L480" s="18" t="str">
        <f t="shared" si="58"/>
        <v/>
      </c>
      <c r="M480" s="18" t="str">
        <f t="shared" si="59"/>
        <v/>
      </c>
      <c r="N480" s="18" t="str">
        <f t="shared" si="60"/>
        <v/>
      </c>
      <c r="O480" s="18" t="str">
        <f t="shared" si="61"/>
        <v/>
      </c>
      <c r="P480" s="17" t="str">
        <f t="shared" si="62"/>
        <v/>
      </c>
      <c r="Q480" s="17" t="str">
        <f t="shared" si="63"/>
        <v/>
      </c>
      <c r="R480" s="19" t="str">
        <f ca="1">IF(A480="","",IF(COUNTIF(_TradeIds,A480)=0,"违规：交易编号不存在",IF(OR(B480="",B480&lt;1,B480&gt;5,B480&lt;&gt;INT(B480)),"违规：加仓序号须为1到5的整数",IF(COUNTIFS($A$2:$A$1001,A480,$B$2:$B$1001,B480)&gt;1,"违规：同一交易的加仓序号重复",IF(OR(D480="",E480="",F480=""),"计划不完整：请填写加仓价、新止损价和风险预算",IF(OR(D480&lt;=0,E480&lt;=0,F480&lt;=0,D480&lt;=E480),"违规：加仓价必须高于新止损价，金额须大于0",IF(AND(B480&gt;1,COUNTIFS($A$2:$A$1001,A480,$B$2:$B$1001,B480-1,$G$2:$G$1001,"&gt;0")=0),"违规：须先完成上一次加仓",IF(AND(B480&gt;1,E480&lt;SUMIFS($E$2:$E$1001,$A$2:$A$1001,A480,$B$2:$B$1001,B480-1)),"违规：新止损价不得低于上一次",IF(AND(B480&gt;1,F480&gt;SUMIFS($F$2:$F$1001,$A$2:$A$1001,A480,$B$2:$B$1001,B480-1)),"违规：风险预算须逐次不增加",IF(OR(_LockStatus="已锁仓",_LockStatus="解锁信息不完整"),"违规：锁仓期间禁止加仓",IF(G480="","计划可执行：建议股数见N列",IF(OR(G480&lt;=0,G480&lt;&gt;INT(G480),MOD(G480,100)&lt;&gt;0),"违规：实际股数须为100股整数倍",IF(G480&gt;N480,"违规：实际股数超过风险或金字塔上限",IF(AND(B480&gt;1,G480&gt;SUMIFS($G$2:$G$1001,$A$2:$A$1001,A480,$B$2:$B$1001,B480-1)),"违规：加仓股数须逐次不增加",IF(Q480&gt;F480,"违规：止损风险超过本次预算","通过")))))))))))))))</f>
        <v/>
      </c>
    </row>
    <row r="481" ht="17" spans="1:18">
      <c r="A481" s="13"/>
      <c r="B481" s="14"/>
      <c r="C481" s="15"/>
      <c r="D481" s="16"/>
      <c r="E481" s="16"/>
      <c r="F481" s="16"/>
      <c r="G481" s="14"/>
      <c r="H481" s="17" t="str">
        <f t="shared" si="56"/>
        <v/>
      </c>
      <c r="I481" s="18" t="str">
        <f>IF(OR(A481="",B481=""),"",IFERROR(LOOKUP(2,1/(单次交易!$A$2:$A$201=A481),单次交易!$H$2:$H$201),0)+SUMIFS($G$2:$G$1001,$A$2:$A$1001,A481,$B$2:$B$1001,"&lt;"&amp;B481))</f>
        <v/>
      </c>
      <c r="J481" s="17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17" t="str">
        <f t="shared" si="57"/>
        <v/>
      </c>
      <c r="L481" s="18" t="str">
        <f t="shared" si="58"/>
        <v/>
      </c>
      <c r="M481" s="18" t="str">
        <f t="shared" si="59"/>
        <v/>
      </c>
      <c r="N481" s="18" t="str">
        <f t="shared" si="60"/>
        <v/>
      </c>
      <c r="O481" s="18" t="str">
        <f t="shared" si="61"/>
        <v/>
      </c>
      <c r="P481" s="17" t="str">
        <f t="shared" si="62"/>
        <v/>
      </c>
      <c r="Q481" s="17" t="str">
        <f t="shared" si="63"/>
        <v/>
      </c>
      <c r="R481" s="19" t="str">
        <f ca="1">IF(A481="","",IF(COUNTIF(_TradeIds,A481)=0,"违规：交易编号不存在",IF(OR(B481="",B481&lt;1,B481&gt;5,B481&lt;&gt;INT(B481)),"违规：加仓序号须为1到5的整数",IF(COUNTIFS($A$2:$A$1001,A481,$B$2:$B$1001,B481)&gt;1,"违规：同一交易的加仓序号重复",IF(OR(D481="",E481="",F481=""),"计划不完整：请填写加仓价、新止损价和风险预算",IF(OR(D481&lt;=0,E481&lt;=0,F481&lt;=0,D481&lt;=E481),"违规：加仓价必须高于新止损价，金额须大于0",IF(AND(B481&gt;1,COUNTIFS($A$2:$A$1001,A481,$B$2:$B$1001,B481-1,$G$2:$G$1001,"&gt;0")=0),"违规：须先完成上一次加仓",IF(AND(B481&gt;1,E481&lt;SUMIFS($E$2:$E$1001,$A$2:$A$1001,A481,$B$2:$B$1001,B481-1)),"违规：新止损价不得低于上一次",IF(AND(B481&gt;1,F481&gt;SUMIFS($F$2:$F$1001,$A$2:$A$1001,A481,$B$2:$B$1001,B481-1)),"违规：风险预算须逐次不增加",IF(OR(_LockStatus="已锁仓",_LockStatus="解锁信息不完整"),"违规：锁仓期间禁止加仓",IF(G481="","计划可执行：建议股数见N列",IF(OR(G481&lt;=0,G481&lt;&gt;INT(G481),MOD(G481,100)&lt;&gt;0),"违规：实际股数须为100股整数倍",IF(G481&gt;N481,"违规：实际股数超过风险或金字塔上限",IF(AND(B481&gt;1,G481&gt;SUMIFS($G$2:$G$1001,$A$2:$A$1001,A481,$B$2:$B$1001,B481-1)),"违规：加仓股数须逐次不增加",IF(Q481&gt;F481,"违规：止损风险超过本次预算","通过")))))))))))))))</f>
        <v/>
      </c>
    </row>
    <row r="482" ht="17" spans="1:18">
      <c r="A482" s="13"/>
      <c r="B482" s="14"/>
      <c r="C482" s="15"/>
      <c r="D482" s="16"/>
      <c r="E482" s="16"/>
      <c r="F482" s="16"/>
      <c r="G482" s="14"/>
      <c r="H482" s="17" t="str">
        <f t="shared" si="56"/>
        <v/>
      </c>
      <c r="I482" s="18" t="str">
        <f>IF(OR(A482="",B482=""),"",IFERROR(LOOKUP(2,1/(单次交易!$A$2:$A$201=A482),单次交易!$H$2:$H$201),0)+SUMIFS($G$2:$G$1001,$A$2:$A$1001,A482,$B$2:$B$1001,"&lt;"&amp;B482))</f>
        <v/>
      </c>
      <c r="J482" s="17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17" t="str">
        <f t="shared" si="57"/>
        <v/>
      </c>
      <c r="L482" s="18" t="str">
        <f t="shared" si="58"/>
        <v/>
      </c>
      <c r="M482" s="18" t="str">
        <f t="shared" si="59"/>
        <v/>
      </c>
      <c r="N482" s="18" t="str">
        <f t="shared" si="60"/>
        <v/>
      </c>
      <c r="O482" s="18" t="str">
        <f t="shared" si="61"/>
        <v/>
      </c>
      <c r="P482" s="17" t="str">
        <f t="shared" si="62"/>
        <v/>
      </c>
      <c r="Q482" s="17" t="str">
        <f t="shared" si="63"/>
        <v/>
      </c>
      <c r="R482" s="19" t="str">
        <f ca="1">IF(A482="","",IF(COUNTIF(_TradeIds,A482)=0,"违规：交易编号不存在",IF(OR(B482="",B482&lt;1,B482&gt;5,B482&lt;&gt;INT(B482)),"违规：加仓序号须为1到5的整数",IF(COUNTIFS($A$2:$A$1001,A482,$B$2:$B$1001,B482)&gt;1,"违规：同一交易的加仓序号重复",IF(OR(D482="",E482="",F482=""),"计划不完整：请填写加仓价、新止损价和风险预算",IF(OR(D482&lt;=0,E482&lt;=0,F482&lt;=0,D482&lt;=E482),"违规：加仓价必须高于新止损价，金额须大于0",IF(AND(B482&gt;1,COUNTIFS($A$2:$A$1001,A482,$B$2:$B$1001,B482-1,$G$2:$G$1001,"&gt;0")=0),"违规：须先完成上一次加仓",IF(AND(B482&gt;1,E482&lt;SUMIFS($E$2:$E$1001,$A$2:$A$1001,A482,$B$2:$B$1001,B482-1)),"违规：新止损价不得低于上一次",IF(AND(B482&gt;1,F482&gt;SUMIFS($F$2:$F$1001,$A$2:$A$1001,A482,$B$2:$B$1001,B482-1)),"违规：风险预算须逐次不增加",IF(OR(_LockStatus="已锁仓",_LockStatus="解锁信息不完整"),"违规：锁仓期间禁止加仓",IF(G482="","计划可执行：建议股数见N列",IF(OR(G482&lt;=0,G482&lt;&gt;INT(G482),MOD(G482,100)&lt;&gt;0),"违规：实际股数须为100股整数倍",IF(G482&gt;N482,"违规：实际股数超过风险或金字塔上限",IF(AND(B482&gt;1,G482&gt;SUMIFS($G$2:$G$1001,$A$2:$A$1001,A482,$B$2:$B$1001,B482-1)),"违规：加仓股数须逐次不增加",IF(Q482&gt;F482,"违规：止损风险超过本次预算","通过")))))))))))))))</f>
        <v/>
      </c>
    </row>
    <row r="483" ht="17" spans="1:18">
      <c r="A483" s="13"/>
      <c r="B483" s="14"/>
      <c r="C483" s="15"/>
      <c r="D483" s="16"/>
      <c r="E483" s="16"/>
      <c r="F483" s="16"/>
      <c r="G483" s="14"/>
      <c r="H483" s="17" t="str">
        <f t="shared" si="56"/>
        <v/>
      </c>
      <c r="I483" s="18" t="str">
        <f>IF(OR(A483="",B483=""),"",IFERROR(LOOKUP(2,1/(单次交易!$A$2:$A$201=A483),单次交易!$H$2:$H$201),0)+SUMIFS($G$2:$G$1001,$A$2:$A$1001,A483,$B$2:$B$1001,"&lt;"&amp;B483))</f>
        <v/>
      </c>
      <c r="J483" s="17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17" t="str">
        <f t="shared" si="57"/>
        <v/>
      </c>
      <c r="L483" s="18" t="str">
        <f t="shared" si="58"/>
        <v/>
      </c>
      <c r="M483" s="18" t="str">
        <f t="shared" si="59"/>
        <v/>
      </c>
      <c r="N483" s="18" t="str">
        <f t="shared" si="60"/>
        <v/>
      </c>
      <c r="O483" s="18" t="str">
        <f t="shared" si="61"/>
        <v/>
      </c>
      <c r="P483" s="17" t="str">
        <f t="shared" si="62"/>
        <v/>
      </c>
      <c r="Q483" s="17" t="str">
        <f t="shared" si="63"/>
        <v/>
      </c>
      <c r="R483" s="19" t="str">
        <f ca="1">IF(A483="","",IF(COUNTIF(_TradeIds,A483)=0,"违规：交易编号不存在",IF(OR(B483="",B483&lt;1,B483&gt;5,B483&lt;&gt;INT(B483)),"违规：加仓序号须为1到5的整数",IF(COUNTIFS($A$2:$A$1001,A483,$B$2:$B$1001,B483)&gt;1,"违规：同一交易的加仓序号重复",IF(OR(D483="",E483="",F483=""),"计划不完整：请填写加仓价、新止损价和风险预算",IF(OR(D483&lt;=0,E483&lt;=0,F483&lt;=0,D483&lt;=E483),"违规：加仓价必须高于新止损价，金额须大于0",IF(AND(B483&gt;1,COUNTIFS($A$2:$A$1001,A483,$B$2:$B$1001,B483-1,$G$2:$G$1001,"&gt;0")=0),"违规：须先完成上一次加仓",IF(AND(B483&gt;1,E483&lt;SUMIFS($E$2:$E$1001,$A$2:$A$1001,A483,$B$2:$B$1001,B483-1)),"违规：新止损价不得低于上一次",IF(AND(B483&gt;1,F483&gt;SUMIFS($F$2:$F$1001,$A$2:$A$1001,A483,$B$2:$B$1001,B483-1)),"违规：风险预算须逐次不增加",IF(OR(_LockStatus="已锁仓",_LockStatus="解锁信息不完整"),"违规：锁仓期间禁止加仓",IF(G483="","计划可执行：建议股数见N列",IF(OR(G483&lt;=0,G483&lt;&gt;INT(G483),MOD(G483,100)&lt;&gt;0),"违规：实际股数须为100股整数倍",IF(G483&gt;N483,"违规：实际股数超过风险或金字塔上限",IF(AND(B483&gt;1,G483&gt;SUMIFS($G$2:$G$1001,$A$2:$A$1001,A483,$B$2:$B$1001,B483-1)),"违规：加仓股数须逐次不增加",IF(Q483&gt;F483,"违规：止损风险超过本次预算","通过")))))))))))))))</f>
        <v/>
      </c>
    </row>
    <row r="484" ht="17" spans="1:18">
      <c r="A484" s="13"/>
      <c r="B484" s="14"/>
      <c r="C484" s="15"/>
      <c r="D484" s="16"/>
      <c r="E484" s="16"/>
      <c r="F484" s="16"/>
      <c r="G484" s="14"/>
      <c r="H484" s="17" t="str">
        <f t="shared" si="56"/>
        <v/>
      </c>
      <c r="I484" s="18" t="str">
        <f>IF(OR(A484="",B484=""),"",IFERROR(LOOKUP(2,1/(单次交易!$A$2:$A$201=A484),单次交易!$H$2:$H$201),0)+SUMIFS($G$2:$G$1001,$A$2:$A$1001,A484,$B$2:$B$1001,"&lt;"&amp;B484))</f>
        <v/>
      </c>
      <c r="J484" s="17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17" t="str">
        <f t="shared" si="57"/>
        <v/>
      </c>
      <c r="L484" s="18" t="str">
        <f t="shared" si="58"/>
        <v/>
      </c>
      <c r="M484" s="18" t="str">
        <f t="shared" si="59"/>
        <v/>
      </c>
      <c r="N484" s="18" t="str">
        <f t="shared" si="60"/>
        <v/>
      </c>
      <c r="O484" s="18" t="str">
        <f t="shared" si="61"/>
        <v/>
      </c>
      <c r="P484" s="17" t="str">
        <f t="shared" si="62"/>
        <v/>
      </c>
      <c r="Q484" s="17" t="str">
        <f t="shared" si="63"/>
        <v/>
      </c>
      <c r="R484" s="19" t="str">
        <f ca="1">IF(A484="","",IF(COUNTIF(_TradeIds,A484)=0,"违规：交易编号不存在",IF(OR(B484="",B484&lt;1,B484&gt;5,B484&lt;&gt;INT(B484)),"违规：加仓序号须为1到5的整数",IF(COUNTIFS($A$2:$A$1001,A484,$B$2:$B$1001,B484)&gt;1,"违规：同一交易的加仓序号重复",IF(OR(D484="",E484="",F484=""),"计划不完整：请填写加仓价、新止损价和风险预算",IF(OR(D484&lt;=0,E484&lt;=0,F484&lt;=0,D484&lt;=E484),"违规：加仓价必须高于新止损价，金额须大于0",IF(AND(B484&gt;1,COUNTIFS($A$2:$A$1001,A484,$B$2:$B$1001,B484-1,$G$2:$G$1001,"&gt;0")=0),"违规：须先完成上一次加仓",IF(AND(B484&gt;1,E484&lt;SUMIFS($E$2:$E$1001,$A$2:$A$1001,A484,$B$2:$B$1001,B484-1)),"违规：新止损价不得低于上一次",IF(AND(B484&gt;1,F484&gt;SUMIFS($F$2:$F$1001,$A$2:$A$1001,A484,$B$2:$B$1001,B484-1)),"违规：风险预算须逐次不增加",IF(OR(_LockStatus="已锁仓",_LockStatus="解锁信息不完整"),"违规：锁仓期间禁止加仓",IF(G484="","计划可执行：建议股数见N列",IF(OR(G484&lt;=0,G484&lt;&gt;INT(G484),MOD(G484,100)&lt;&gt;0),"违规：实际股数须为100股整数倍",IF(G484&gt;N484,"违规：实际股数超过风险或金字塔上限",IF(AND(B484&gt;1,G484&gt;SUMIFS($G$2:$G$1001,$A$2:$A$1001,A484,$B$2:$B$1001,B484-1)),"违规：加仓股数须逐次不增加",IF(Q484&gt;F484,"违规：止损风险超过本次预算","通过")))))))))))))))</f>
        <v/>
      </c>
    </row>
    <row r="485" ht="17" spans="1:18">
      <c r="A485" s="13"/>
      <c r="B485" s="14"/>
      <c r="C485" s="15"/>
      <c r="D485" s="16"/>
      <c r="E485" s="16"/>
      <c r="F485" s="16"/>
      <c r="G485" s="14"/>
      <c r="H485" s="17" t="str">
        <f t="shared" si="56"/>
        <v/>
      </c>
      <c r="I485" s="18" t="str">
        <f>IF(OR(A485="",B485=""),"",IFERROR(LOOKUP(2,1/(单次交易!$A$2:$A$201=A485),单次交易!$H$2:$H$201),0)+SUMIFS($G$2:$G$1001,$A$2:$A$1001,A485,$B$2:$B$1001,"&lt;"&amp;B485))</f>
        <v/>
      </c>
      <c r="J485" s="17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17" t="str">
        <f t="shared" si="57"/>
        <v/>
      </c>
      <c r="L485" s="18" t="str">
        <f t="shared" si="58"/>
        <v/>
      </c>
      <c r="M485" s="18" t="str">
        <f t="shared" si="59"/>
        <v/>
      </c>
      <c r="N485" s="18" t="str">
        <f t="shared" si="60"/>
        <v/>
      </c>
      <c r="O485" s="18" t="str">
        <f t="shared" si="61"/>
        <v/>
      </c>
      <c r="P485" s="17" t="str">
        <f t="shared" si="62"/>
        <v/>
      </c>
      <c r="Q485" s="17" t="str">
        <f t="shared" si="63"/>
        <v/>
      </c>
      <c r="R485" s="19" t="str">
        <f ca="1">IF(A485="","",IF(COUNTIF(_TradeIds,A485)=0,"违规：交易编号不存在",IF(OR(B485="",B485&lt;1,B485&gt;5,B485&lt;&gt;INT(B485)),"违规：加仓序号须为1到5的整数",IF(COUNTIFS($A$2:$A$1001,A485,$B$2:$B$1001,B485)&gt;1,"违规：同一交易的加仓序号重复",IF(OR(D485="",E485="",F485=""),"计划不完整：请填写加仓价、新止损价和风险预算",IF(OR(D485&lt;=0,E485&lt;=0,F485&lt;=0,D485&lt;=E485),"违规：加仓价必须高于新止损价，金额须大于0",IF(AND(B485&gt;1,COUNTIFS($A$2:$A$1001,A485,$B$2:$B$1001,B485-1,$G$2:$G$1001,"&gt;0")=0),"违规：须先完成上一次加仓",IF(AND(B485&gt;1,E485&lt;SUMIFS($E$2:$E$1001,$A$2:$A$1001,A485,$B$2:$B$1001,B485-1)),"违规：新止损价不得低于上一次",IF(AND(B485&gt;1,F485&gt;SUMIFS($F$2:$F$1001,$A$2:$A$1001,A485,$B$2:$B$1001,B485-1)),"违规：风险预算须逐次不增加",IF(OR(_LockStatus="已锁仓",_LockStatus="解锁信息不完整"),"违规：锁仓期间禁止加仓",IF(G485="","计划可执行：建议股数见N列",IF(OR(G485&lt;=0,G485&lt;&gt;INT(G485),MOD(G485,100)&lt;&gt;0),"违规：实际股数须为100股整数倍",IF(G485&gt;N485,"违规：实际股数超过风险或金字塔上限",IF(AND(B485&gt;1,G485&gt;SUMIFS($G$2:$G$1001,$A$2:$A$1001,A485,$B$2:$B$1001,B485-1)),"违规：加仓股数须逐次不增加",IF(Q485&gt;F485,"违规：止损风险超过本次预算","通过")))))))))))))))</f>
        <v/>
      </c>
    </row>
    <row r="486" ht="17" spans="1:18">
      <c r="A486" s="13"/>
      <c r="B486" s="14"/>
      <c r="C486" s="15"/>
      <c r="D486" s="16"/>
      <c r="E486" s="16"/>
      <c r="F486" s="16"/>
      <c r="G486" s="14"/>
      <c r="H486" s="17" t="str">
        <f t="shared" si="56"/>
        <v/>
      </c>
      <c r="I486" s="18" t="str">
        <f>IF(OR(A486="",B486=""),"",IFERROR(LOOKUP(2,1/(单次交易!$A$2:$A$201=A486),单次交易!$H$2:$H$201),0)+SUMIFS($G$2:$G$1001,$A$2:$A$1001,A486,$B$2:$B$1001,"&lt;"&amp;B486))</f>
        <v/>
      </c>
      <c r="J486" s="17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17" t="str">
        <f t="shared" si="57"/>
        <v/>
      </c>
      <c r="L486" s="18" t="str">
        <f t="shared" si="58"/>
        <v/>
      </c>
      <c r="M486" s="18" t="str">
        <f t="shared" si="59"/>
        <v/>
      </c>
      <c r="N486" s="18" t="str">
        <f t="shared" si="60"/>
        <v/>
      </c>
      <c r="O486" s="18" t="str">
        <f t="shared" si="61"/>
        <v/>
      </c>
      <c r="P486" s="17" t="str">
        <f t="shared" si="62"/>
        <v/>
      </c>
      <c r="Q486" s="17" t="str">
        <f t="shared" si="63"/>
        <v/>
      </c>
      <c r="R486" s="19" t="str">
        <f ca="1">IF(A486="","",IF(COUNTIF(_TradeIds,A486)=0,"违规：交易编号不存在",IF(OR(B486="",B486&lt;1,B486&gt;5,B486&lt;&gt;INT(B486)),"违规：加仓序号须为1到5的整数",IF(COUNTIFS($A$2:$A$1001,A486,$B$2:$B$1001,B486)&gt;1,"违规：同一交易的加仓序号重复",IF(OR(D486="",E486="",F486=""),"计划不完整：请填写加仓价、新止损价和风险预算",IF(OR(D486&lt;=0,E486&lt;=0,F486&lt;=0,D486&lt;=E486),"违规：加仓价必须高于新止损价，金额须大于0",IF(AND(B486&gt;1,COUNTIFS($A$2:$A$1001,A486,$B$2:$B$1001,B486-1,$G$2:$G$1001,"&gt;0")=0),"违规：须先完成上一次加仓",IF(AND(B486&gt;1,E486&lt;SUMIFS($E$2:$E$1001,$A$2:$A$1001,A486,$B$2:$B$1001,B486-1)),"违规：新止损价不得低于上一次",IF(AND(B486&gt;1,F486&gt;SUMIFS($F$2:$F$1001,$A$2:$A$1001,A486,$B$2:$B$1001,B486-1)),"违规：风险预算须逐次不增加",IF(OR(_LockStatus="已锁仓",_LockStatus="解锁信息不完整"),"违规：锁仓期间禁止加仓",IF(G486="","计划可执行：建议股数见N列",IF(OR(G486&lt;=0,G486&lt;&gt;INT(G486),MOD(G486,100)&lt;&gt;0),"违规：实际股数须为100股整数倍",IF(G486&gt;N486,"违规：实际股数超过风险或金字塔上限",IF(AND(B486&gt;1,G486&gt;SUMIFS($G$2:$G$1001,$A$2:$A$1001,A486,$B$2:$B$1001,B486-1)),"违规：加仓股数须逐次不增加",IF(Q486&gt;F486,"违规：止损风险超过本次预算","通过")))))))))))))))</f>
        <v/>
      </c>
    </row>
    <row r="487" ht="17" spans="1:18">
      <c r="A487" s="13"/>
      <c r="B487" s="14"/>
      <c r="C487" s="15"/>
      <c r="D487" s="16"/>
      <c r="E487" s="16"/>
      <c r="F487" s="16"/>
      <c r="G487" s="14"/>
      <c r="H487" s="17" t="str">
        <f t="shared" si="56"/>
        <v/>
      </c>
      <c r="I487" s="18" t="str">
        <f>IF(OR(A487="",B487=""),"",IFERROR(LOOKUP(2,1/(单次交易!$A$2:$A$201=A487),单次交易!$H$2:$H$201),0)+SUMIFS($G$2:$G$1001,$A$2:$A$1001,A487,$B$2:$B$1001,"&lt;"&amp;B487))</f>
        <v/>
      </c>
      <c r="J487" s="17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17" t="str">
        <f t="shared" si="57"/>
        <v/>
      </c>
      <c r="L487" s="18" t="str">
        <f t="shared" si="58"/>
        <v/>
      </c>
      <c r="M487" s="18" t="str">
        <f t="shared" si="59"/>
        <v/>
      </c>
      <c r="N487" s="18" t="str">
        <f t="shared" si="60"/>
        <v/>
      </c>
      <c r="O487" s="18" t="str">
        <f t="shared" si="61"/>
        <v/>
      </c>
      <c r="P487" s="17" t="str">
        <f t="shared" si="62"/>
        <v/>
      </c>
      <c r="Q487" s="17" t="str">
        <f t="shared" si="63"/>
        <v/>
      </c>
      <c r="R487" s="19" t="str">
        <f ca="1">IF(A487="","",IF(COUNTIF(_TradeIds,A487)=0,"违规：交易编号不存在",IF(OR(B487="",B487&lt;1,B487&gt;5,B487&lt;&gt;INT(B487)),"违规：加仓序号须为1到5的整数",IF(COUNTIFS($A$2:$A$1001,A487,$B$2:$B$1001,B487)&gt;1,"违规：同一交易的加仓序号重复",IF(OR(D487="",E487="",F487=""),"计划不完整：请填写加仓价、新止损价和风险预算",IF(OR(D487&lt;=0,E487&lt;=0,F487&lt;=0,D487&lt;=E487),"违规：加仓价必须高于新止损价，金额须大于0",IF(AND(B487&gt;1,COUNTIFS($A$2:$A$1001,A487,$B$2:$B$1001,B487-1,$G$2:$G$1001,"&gt;0")=0),"违规：须先完成上一次加仓",IF(AND(B487&gt;1,E487&lt;SUMIFS($E$2:$E$1001,$A$2:$A$1001,A487,$B$2:$B$1001,B487-1)),"违规：新止损价不得低于上一次",IF(AND(B487&gt;1,F487&gt;SUMIFS($F$2:$F$1001,$A$2:$A$1001,A487,$B$2:$B$1001,B487-1)),"违规：风险预算须逐次不增加",IF(OR(_LockStatus="已锁仓",_LockStatus="解锁信息不完整"),"违规：锁仓期间禁止加仓",IF(G487="","计划可执行：建议股数见N列",IF(OR(G487&lt;=0,G487&lt;&gt;INT(G487),MOD(G487,100)&lt;&gt;0),"违规：实际股数须为100股整数倍",IF(G487&gt;N487,"违规：实际股数超过风险或金字塔上限",IF(AND(B487&gt;1,G487&gt;SUMIFS($G$2:$G$1001,$A$2:$A$1001,A487,$B$2:$B$1001,B487-1)),"违规：加仓股数须逐次不增加",IF(Q487&gt;F487,"违规：止损风险超过本次预算","通过")))))))))))))))</f>
        <v/>
      </c>
    </row>
    <row r="488" ht="17" spans="1:18">
      <c r="A488" s="13"/>
      <c r="B488" s="14"/>
      <c r="C488" s="15"/>
      <c r="D488" s="16"/>
      <c r="E488" s="16"/>
      <c r="F488" s="16"/>
      <c r="G488" s="14"/>
      <c r="H488" s="17" t="str">
        <f t="shared" si="56"/>
        <v/>
      </c>
      <c r="I488" s="18" t="str">
        <f>IF(OR(A488="",B488=""),"",IFERROR(LOOKUP(2,1/(单次交易!$A$2:$A$201=A488),单次交易!$H$2:$H$201),0)+SUMIFS($G$2:$G$1001,$A$2:$A$1001,A488,$B$2:$B$1001,"&lt;"&amp;B488))</f>
        <v/>
      </c>
      <c r="J488" s="17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17" t="str">
        <f t="shared" si="57"/>
        <v/>
      </c>
      <c r="L488" s="18" t="str">
        <f t="shared" si="58"/>
        <v/>
      </c>
      <c r="M488" s="18" t="str">
        <f t="shared" si="59"/>
        <v/>
      </c>
      <c r="N488" s="18" t="str">
        <f t="shared" si="60"/>
        <v/>
      </c>
      <c r="O488" s="18" t="str">
        <f t="shared" si="61"/>
        <v/>
      </c>
      <c r="P488" s="17" t="str">
        <f t="shared" si="62"/>
        <v/>
      </c>
      <c r="Q488" s="17" t="str">
        <f t="shared" si="63"/>
        <v/>
      </c>
      <c r="R488" s="19" t="str">
        <f ca="1">IF(A488="","",IF(COUNTIF(_TradeIds,A488)=0,"违规：交易编号不存在",IF(OR(B488="",B488&lt;1,B488&gt;5,B488&lt;&gt;INT(B488)),"违规：加仓序号须为1到5的整数",IF(COUNTIFS($A$2:$A$1001,A488,$B$2:$B$1001,B488)&gt;1,"违规：同一交易的加仓序号重复",IF(OR(D488="",E488="",F488=""),"计划不完整：请填写加仓价、新止损价和风险预算",IF(OR(D488&lt;=0,E488&lt;=0,F488&lt;=0,D488&lt;=E488),"违规：加仓价必须高于新止损价，金额须大于0",IF(AND(B488&gt;1,COUNTIFS($A$2:$A$1001,A488,$B$2:$B$1001,B488-1,$G$2:$G$1001,"&gt;0")=0),"违规：须先完成上一次加仓",IF(AND(B488&gt;1,E488&lt;SUMIFS($E$2:$E$1001,$A$2:$A$1001,A488,$B$2:$B$1001,B488-1)),"违规：新止损价不得低于上一次",IF(AND(B488&gt;1,F488&gt;SUMIFS($F$2:$F$1001,$A$2:$A$1001,A488,$B$2:$B$1001,B488-1)),"违规：风险预算须逐次不增加",IF(OR(_LockStatus="已锁仓",_LockStatus="解锁信息不完整"),"违规：锁仓期间禁止加仓",IF(G488="","计划可执行：建议股数见N列",IF(OR(G488&lt;=0,G488&lt;&gt;INT(G488),MOD(G488,100)&lt;&gt;0),"违规：实际股数须为100股整数倍",IF(G488&gt;N488,"违规：实际股数超过风险或金字塔上限",IF(AND(B488&gt;1,G488&gt;SUMIFS($G$2:$G$1001,$A$2:$A$1001,A488,$B$2:$B$1001,B488-1)),"违规：加仓股数须逐次不增加",IF(Q488&gt;F488,"违规：止损风险超过本次预算","通过")))))))))))))))</f>
        <v/>
      </c>
    </row>
    <row r="489" ht="17" spans="1:18">
      <c r="A489" s="13"/>
      <c r="B489" s="14"/>
      <c r="C489" s="15"/>
      <c r="D489" s="16"/>
      <c r="E489" s="16"/>
      <c r="F489" s="16"/>
      <c r="G489" s="14"/>
      <c r="H489" s="17" t="str">
        <f t="shared" si="56"/>
        <v/>
      </c>
      <c r="I489" s="18" t="str">
        <f>IF(OR(A489="",B489=""),"",IFERROR(LOOKUP(2,1/(单次交易!$A$2:$A$201=A489),单次交易!$H$2:$H$201),0)+SUMIFS($G$2:$G$1001,$A$2:$A$1001,A489,$B$2:$B$1001,"&lt;"&amp;B489))</f>
        <v/>
      </c>
      <c r="J489" s="17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17" t="str">
        <f t="shared" si="57"/>
        <v/>
      </c>
      <c r="L489" s="18" t="str">
        <f t="shared" si="58"/>
        <v/>
      </c>
      <c r="M489" s="18" t="str">
        <f t="shared" si="59"/>
        <v/>
      </c>
      <c r="N489" s="18" t="str">
        <f t="shared" si="60"/>
        <v/>
      </c>
      <c r="O489" s="18" t="str">
        <f t="shared" si="61"/>
        <v/>
      </c>
      <c r="P489" s="17" t="str">
        <f t="shared" si="62"/>
        <v/>
      </c>
      <c r="Q489" s="17" t="str">
        <f t="shared" si="63"/>
        <v/>
      </c>
      <c r="R489" s="19" t="str">
        <f ca="1">IF(A489="","",IF(COUNTIF(_TradeIds,A489)=0,"违规：交易编号不存在",IF(OR(B489="",B489&lt;1,B489&gt;5,B489&lt;&gt;INT(B489)),"违规：加仓序号须为1到5的整数",IF(COUNTIFS($A$2:$A$1001,A489,$B$2:$B$1001,B489)&gt;1,"违规：同一交易的加仓序号重复",IF(OR(D489="",E489="",F489=""),"计划不完整：请填写加仓价、新止损价和风险预算",IF(OR(D489&lt;=0,E489&lt;=0,F489&lt;=0,D489&lt;=E489),"违规：加仓价必须高于新止损价，金额须大于0",IF(AND(B489&gt;1,COUNTIFS($A$2:$A$1001,A489,$B$2:$B$1001,B489-1,$G$2:$G$1001,"&gt;0")=0),"违规：须先完成上一次加仓",IF(AND(B489&gt;1,E489&lt;SUMIFS($E$2:$E$1001,$A$2:$A$1001,A489,$B$2:$B$1001,B489-1)),"违规：新止损价不得低于上一次",IF(AND(B489&gt;1,F489&gt;SUMIFS($F$2:$F$1001,$A$2:$A$1001,A489,$B$2:$B$1001,B489-1)),"违规：风险预算须逐次不增加",IF(OR(_LockStatus="已锁仓",_LockStatus="解锁信息不完整"),"违规：锁仓期间禁止加仓",IF(G489="","计划可执行：建议股数见N列",IF(OR(G489&lt;=0,G489&lt;&gt;INT(G489),MOD(G489,100)&lt;&gt;0),"违规：实际股数须为100股整数倍",IF(G489&gt;N489,"违规：实际股数超过风险或金字塔上限",IF(AND(B489&gt;1,G489&gt;SUMIFS($G$2:$G$1001,$A$2:$A$1001,A489,$B$2:$B$1001,B489-1)),"违规：加仓股数须逐次不增加",IF(Q489&gt;F489,"违规：止损风险超过本次预算","通过")))))))))))))))</f>
        <v/>
      </c>
    </row>
    <row r="490" ht="17" spans="1:18">
      <c r="A490" s="13"/>
      <c r="B490" s="14"/>
      <c r="C490" s="15"/>
      <c r="D490" s="16"/>
      <c r="E490" s="16"/>
      <c r="F490" s="16"/>
      <c r="G490" s="14"/>
      <c r="H490" s="17" t="str">
        <f t="shared" si="56"/>
        <v/>
      </c>
      <c r="I490" s="18" t="str">
        <f>IF(OR(A490="",B490=""),"",IFERROR(LOOKUP(2,1/(单次交易!$A$2:$A$201=A490),单次交易!$H$2:$H$201),0)+SUMIFS($G$2:$G$1001,$A$2:$A$1001,A490,$B$2:$B$1001,"&lt;"&amp;B490))</f>
        <v/>
      </c>
      <c r="J490" s="17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17" t="str">
        <f t="shared" si="57"/>
        <v/>
      </c>
      <c r="L490" s="18" t="str">
        <f t="shared" si="58"/>
        <v/>
      </c>
      <c r="M490" s="18" t="str">
        <f t="shared" si="59"/>
        <v/>
      </c>
      <c r="N490" s="18" t="str">
        <f t="shared" si="60"/>
        <v/>
      </c>
      <c r="O490" s="18" t="str">
        <f t="shared" si="61"/>
        <v/>
      </c>
      <c r="P490" s="17" t="str">
        <f t="shared" si="62"/>
        <v/>
      </c>
      <c r="Q490" s="17" t="str">
        <f t="shared" si="63"/>
        <v/>
      </c>
      <c r="R490" s="19" t="str">
        <f ca="1">IF(A490="","",IF(COUNTIF(_TradeIds,A490)=0,"违规：交易编号不存在",IF(OR(B490="",B490&lt;1,B490&gt;5,B490&lt;&gt;INT(B490)),"违规：加仓序号须为1到5的整数",IF(COUNTIFS($A$2:$A$1001,A490,$B$2:$B$1001,B490)&gt;1,"违规：同一交易的加仓序号重复",IF(OR(D490="",E490="",F490=""),"计划不完整：请填写加仓价、新止损价和风险预算",IF(OR(D490&lt;=0,E490&lt;=0,F490&lt;=0,D490&lt;=E490),"违规：加仓价必须高于新止损价，金额须大于0",IF(AND(B490&gt;1,COUNTIFS($A$2:$A$1001,A490,$B$2:$B$1001,B490-1,$G$2:$G$1001,"&gt;0")=0),"违规：须先完成上一次加仓",IF(AND(B490&gt;1,E490&lt;SUMIFS($E$2:$E$1001,$A$2:$A$1001,A490,$B$2:$B$1001,B490-1)),"违规：新止损价不得低于上一次",IF(AND(B490&gt;1,F490&gt;SUMIFS($F$2:$F$1001,$A$2:$A$1001,A490,$B$2:$B$1001,B490-1)),"违规：风险预算须逐次不增加",IF(OR(_LockStatus="已锁仓",_LockStatus="解锁信息不完整"),"违规：锁仓期间禁止加仓",IF(G490="","计划可执行：建议股数见N列",IF(OR(G490&lt;=0,G490&lt;&gt;INT(G490),MOD(G490,100)&lt;&gt;0),"违规：实际股数须为100股整数倍",IF(G490&gt;N490,"违规：实际股数超过风险或金字塔上限",IF(AND(B490&gt;1,G490&gt;SUMIFS($G$2:$G$1001,$A$2:$A$1001,A490,$B$2:$B$1001,B490-1)),"违规：加仓股数须逐次不增加",IF(Q490&gt;F490,"违规：止损风险超过本次预算","通过")))))))))))))))</f>
        <v/>
      </c>
    </row>
    <row r="491" ht="17" spans="1:18">
      <c r="A491" s="13"/>
      <c r="B491" s="14"/>
      <c r="C491" s="15"/>
      <c r="D491" s="16"/>
      <c r="E491" s="16"/>
      <c r="F491" s="16"/>
      <c r="G491" s="14"/>
      <c r="H491" s="17" t="str">
        <f t="shared" si="56"/>
        <v/>
      </c>
      <c r="I491" s="18" t="str">
        <f>IF(OR(A491="",B491=""),"",IFERROR(LOOKUP(2,1/(单次交易!$A$2:$A$201=A491),单次交易!$H$2:$H$201),0)+SUMIFS($G$2:$G$1001,$A$2:$A$1001,A491,$B$2:$B$1001,"&lt;"&amp;B491))</f>
        <v/>
      </c>
      <c r="J491" s="17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17" t="str">
        <f t="shared" si="57"/>
        <v/>
      </c>
      <c r="L491" s="18" t="str">
        <f t="shared" si="58"/>
        <v/>
      </c>
      <c r="M491" s="18" t="str">
        <f t="shared" si="59"/>
        <v/>
      </c>
      <c r="N491" s="18" t="str">
        <f t="shared" si="60"/>
        <v/>
      </c>
      <c r="O491" s="18" t="str">
        <f t="shared" si="61"/>
        <v/>
      </c>
      <c r="P491" s="17" t="str">
        <f t="shared" si="62"/>
        <v/>
      </c>
      <c r="Q491" s="17" t="str">
        <f t="shared" si="63"/>
        <v/>
      </c>
      <c r="R491" s="19" t="str">
        <f ca="1">IF(A491="","",IF(COUNTIF(_TradeIds,A491)=0,"违规：交易编号不存在",IF(OR(B491="",B491&lt;1,B491&gt;5,B491&lt;&gt;INT(B491)),"违规：加仓序号须为1到5的整数",IF(COUNTIFS($A$2:$A$1001,A491,$B$2:$B$1001,B491)&gt;1,"违规：同一交易的加仓序号重复",IF(OR(D491="",E491="",F491=""),"计划不完整：请填写加仓价、新止损价和风险预算",IF(OR(D491&lt;=0,E491&lt;=0,F491&lt;=0,D491&lt;=E491),"违规：加仓价必须高于新止损价，金额须大于0",IF(AND(B491&gt;1,COUNTIFS($A$2:$A$1001,A491,$B$2:$B$1001,B491-1,$G$2:$G$1001,"&gt;0")=0),"违规：须先完成上一次加仓",IF(AND(B491&gt;1,E491&lt;SUMIFS($E$2:$E$1001,$A$2:$A$1001,A491,$B$2:$B$1001,B491-1)),"违规：新止损价不得低于上一次",IF(AND(B491&gt;1,F491&gt;SUMIFS($F$2:$F$1001,$A$2:$A$1001,A491,$B$2:$B$1001,B491-1)),"违规：风险预算须逐次不增加",IF(OR(_LockStatus="已锁仓",_LockStatus="解锁信息不完整"),"违规：锁仓期间禁止加仓",IF(G491="","计划可执行：建议股数见N列",IF(OR(G491&lt;=0,G491&lt;&gt;INT(G491),MOD(G491,100)&lt;&gt;0),"违规：实际股数须为100股整数倍",IF(G491&gt;N491,"违规：实际股数超过风险或金字塔上限",IF(AND(B491&gt;1,G491&gt;SUMIFS($G$2:$G$1001,$A$2:$A$1001,A491,$B$2:$B$1001,B491-1)),"违规：加仓股数须逐次不增加",IF(Q491&gt;F491,"违规：止损风险超过本次预算","通过")))))))))))))))</f>
        <v/>
      </c>
    </row>
    <row r="492" ht="17" spans="1:18">
      <c r="A492" s="13"/>
      <c r="B492" s="14"/>
      <c r="C492" s="15"/>
      <c r="D492" s="16"/>
      <c r="E492" s="16"/>
      <c r="F492" s="16"/>
      <c r="G492" s="14"/>
      <c r="H492" s="17" t="str">
        <f t="shared" si="56"/>
        <v/>
      </c>
      <c r="I492" s="18" t="str">
        <f>IF(OR(A492="",B492=""),"",IFERROR(LOOKUP(2,1/(单次交易!$A$2:$A$201=A492),单次交易!$H$2:$H$201),0)+SUMIFS($G$2:$G$1001,$A$2:$A$1001,A492,$B$2:$B$1001,"&lt;"&amp;B492))</f>
        <v/>
      </c>
      <c r="J492" s="17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17" t="str">
        <f t="shared" si="57"/>
        <v/>
      </c>
      <c r="L492" s="18" t="str">
        <f t="shared" si="58"/>
        <v/>
      </c>
      <c r="M492" s="18" t="str">
        <f t="shared" si="59"/>
        <v/>
      </c>
      <c r="N492" s="18" t="str">
        <f t="shared" si="60"/>
        <v/>
      </c>
      <c r="O492" s="18" t="str">
        <f t="shared" si="61"/>
        <v/>
      </c>
      <c r="P492" s="17" t="str">
        <f t="shared" si="62"/>
        <v/>
      </c>
      <c r="Q492" s="17" t="str">
        <f t="shared" si="63"/>
        <v/>
      </c>
      <c r="R492" s="19" t="str">
        <f ca="1">IF(A492="","",IF(COUNTIF(_TradeIds,A492)=0,"违规：交易编号不存在",IF(OR(B492="",B492&lt;1,B492&gt;5,B492&lt;&gt;INT(B492)),"违规：加仓序号须为1到5的整数",IF(COUNTIFS($A$2:$A$1001,A492,$B$2:$B$1001,B492)&gt;1,"违规：同一交易的加仓序号重复",IF(OR(D492="",E492="",F492=""),"计划不完整：请填写加仓价、新止损价和风险预算",IF(OR(D492&lt;=0,E492&lt;=0,F492&lt;=0,D492&lt;=E492),"违规：加仓价必须高于新止损价，金额须大于0",IF(AND(B492&gt;1,COUNTIFS($A$2:$A$1001,A492,$B$2:$B$1001,B492-1,$G$2:$G$1001,"&gt;0")=0),"违规：须先完成上一次加仓",IF(AND(B492&gt;1,E492&lt;SUMIFS($E$2:$E$1001,$A$2:$A$1001,A492,$B$2:$B$1001,B492-1)),"违规：新止损价不得低于上一次",IF(AND(B492&gt;1,F492&gt;SUMIFS($F$2:$F$1001,$A$2:$A$1001,A492,$B$2:$B$1001,B492-1)),"违规：风险预算须逐次不增加",IF(OR(_LockStatus="已锁仓",_LockStatus="解锁信息不完整"),"违规：锁仓期间禁止加仓",IF(G492="","计划可执行：建议股数见N列",IF(OR(G492&lt;=0,G492&lt;&gt;INT(G492),MOD(G492,100)&lt;&gt;0),"违规：实际股数须为100股整数倍",IF(G492&gt;N492,"违规：实际股数超过风险或金字塔上限",IF(AND(B492&gt;1,G492&gt;SUMIFS($G$2:$G$1001,$A$2:$A$1001,A492,$B$2:$B$1001,B492-1)),"违规：加仓股数须逐次不增加",IF(Q492&gt;F492,"违规：止损风险超过本次预算","通过")))))))))))))))</f>
        <v/>
      </c>
    </row>
    <row r="493" ht="17" spans="1:18">
      <c r="A493" s="13"/>
      <c r="B493" s="14"/>
      <c r="C493" s="15"/>
      <c r="D493" s="16"/>
      <c r="E493" s="16"/>
      <c r="F493" s="16"/>
      <c r="G493" s="14"/>
      <c r="H493" s="17" t="str">
        <f t="shared" si="56"/>
        <v/>
      </c>
      <c r="I493" s="18" t="str">
        <f>IF(OR(A493="",B493=""),"",IFERROR(LOOKUP(2,1/(单次交易!$A$2:$A$201=A493),单次交易!$H$2:$H$201),0)+SUMIFS($G$2:$G$1001,$A$2:$A$1001,A493,$B$2:$B$1001,"&lt;"&amp;B493))</f>
        <v/>
      </c>
      <c r="J493" s="17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17" t="str">
        <f t="shared" si="57"/>
        <v/>
      </c>
      <c r="L493" s="18" t="str">
        <f t="shared" si="58"/>
        <v/>
      </c>
      <c r="M493" s="18" t="str">
        <f t="shared" si="59"/>
        <v/>
      </c>
      <c r="N493" s="18" t="str">
        <f t="shared" si="60"/>
        <v/>
      </c>
      <c r="O493" s="18" t="str">
        <f t="shared" si="61"/>
        <v/>
      </c>
      <c r="P493" s="17" t="str">
        <f t="shared" si="62"/>
        <v/>
      </c>
      <c r="Q493" s="17" t="str">
        <f t="shared" si="63"/>
        <v/>
      </c>
      <c r="R493" s="19" t="str">
        <f ca="1">IF(A493="","",IF(COUNTIF(_TradeIds,A493)=0,"违规：交易编号不存在",IF(OR(B493="",B493&lt;1,B493&gt;5,B493&lt;&gt;INT(B493)),"违规：加仓序号须为1到5的整数",IF(COUNTIFS($A$2:$A$1001,A493,$B$2:$B$1001,B493)&gt;1,"违规：同一交易的加仓序号重复",IF(OR(D493="",E493="",F493=""),"计划不完整：请填写加仓价、新止损价和风险预算",IF(OR(D493&lt;=0,E493&lt;=0,F493&lt;=0,D493&lt;=E493),"违规：加仓价必须高于新止损价，金额须大于0",IF(AND(B493&gt;1,COUNTIFS($A$2:$A$1001,A493,$B$2:$B$1001,B493-1,$G$2:$G$1001,"&gt;0")=0),"违规：须先完成上一次加仓",IF(AND(B493&gt;1,E493&lt;SUMIFS($E$2:$E$1001,$A$2:$A$1001,A493,$B$2:$B$1001,B493-1)),"违规：新止损价不得低于上一次",IF(AND(B493&gt;1,F493&gt;SUMIFS($F$2:$F$1001,$A$2:$A$1001,A493,$B$2:$B$1001,B493-1)),"违规：风险预算须逐次不增加",IF(OR(_LockStatus="已锁仓",_LockStatus="解锁信息不完整"),"违规：锁仓期间禁止加仓",IF(G493="","计划可执行：建议股数见N列",IF(OR(G493&lt;=0,G493&lt;&gt;INT(G493),MOD(G493,100)&lt;&gt;0),"违规：实际股数须为100股整数倍",IF(G493&gt;N493,"违规：实际股数超过风险或金字塔上限",IF(AND(B493&gt;1,G493&gt;SUMIFS($G$2:$G$1001,$A$2:$A$1001,A493,$B$2:$B$1001,B493-1)),"违规：加仓股数须逐次不增加",IF(Q493&gt;F493,"违规：止损风险超过本次预算","通过")))))))))))))))</f>
        <v/>
      </c>
    </row>
    <row r="494" ht="17" spans="1:18">
      <c r="A494" s="13"/>
      <c r="B494" s="14"/>
      <c r="C494" s="15"/>
      <c r="D494" s="16"/>
      <c r="E494" s="16"/>
      <c r="F494" s="16"/>
      <c r="G494" s="14"/>
      <c r="H494" s="17" t="str">
        <f t="shared" si="56"/>
        <v/>
      </c>
      <c r="I494" s="18" t="str">
        <f>IF(OR(A494="",B494=""),"",IFERROR(LOOKUP(2,1/(单次交易!$A$2:$A$201=A494),单次交易!$H$2:$H$201),0)+SUMIFS($G$2:$G$1001,$A$2:$A$1001,A494,$B$2:$B$1001,"&lt;"&amp;B494))</f>
        <v/>
      </c>
      <c r="J494" s="17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17" t="str">
        <f t="shared" si="57"/>
        <v/>
      </c>
      <c r="L494" s="18" t="str">
        <f t="shared" si="58"/>
        <v/>
      </c>
      <c r="M494" s="18" t="str">
        <f t="shared" si="59"/>
        <v/>
      </c>
      <c r="N494" s="18" t="str">
        <f t="shared" si="60"/>
        <v/>
      </c>
      <c r="O494" s="18" t="str">
        <f t="shared" si="61"/>
        <v/>
      </c>
      <c r="P494" s="17" t="str">
        <f t="shared" si="62"/>
        <v/>
      </c>
      <c r="Q494" s="17" t="str">
        <f t="shared" si="63"/>
        <v/>
      </c>
      <c r="R494" s="19" t="str">
        <f ca="1">IF(A494="","",IF(COUNTIF(_TradeIds,A494)=0,"违规：交易编号不存在",IF(OR(B494="",B494&lt;1,B494&gt;5,B494&lt;&gt;INT(B494)),"违规：加仓序号须为1到5的整数",IF(COUNTIFS($A$2:$A$1001,A494,$B$2:$B$1001,B494)&gt;1,"违规：同一交易的加仓序号重复",IF(OR(D494="",E494="",F494=""),"计划不完整：请填写加仓价、新止损价和风险预算",IF(OR(D494&lt;=0,E494&lt;=0,F494&lt;=0,D494&lt;=E494),"违规：加仓价必须高于新止损价，金额须大于0",IF(AND(B494&gt;1,COUNTIFS($A$2:$A$1001,A494,$B$2:$B$1001,B494-1,$G$2:$G$1001,"&gt;0")=0),"违规：须先完成上一次加仓",IF(AND(B494&gt;1,E494&lt;SUMIFS($E$2:$E$1001,$A$2:$A$1001,A494,$B$2:$B$1001,B494-1)),"违规：新止损价不得低于上一次",IF(AND(B494&gt;1,F494&gt;SUMIFS($F$2:$F$1001,$A$2:$A$1001,A494,$B$2:$B$1001,B494-1)),"违规：风险预算须逐次不增加",IF(OR(_LockStatus="已锁仓",_LockStatus="解锁信息不完整"),"违规：锁仓期间禁止加仓",IF(G494="","计划可执行：建议股数见N列",IF(OR(G494&lt;=0,G494&lt;&gt;INT(G494),MOD(G494,100)&lt;&gt;0),"违规：实际股数须为100股整数倍",IF(G494&gt;N494,"违规：实际股数超过风险或金字塔上限",IF(AND(B494&gt;1,G494&gt;SUMIFS($G$2:$G$1001,$A$2:$A$1001,A494,$B$2:$B$1001,B494-1)),"违规：加仓股数须逐次不增加",IF(Q494&gt;F494,"违规：止损风险超过本次预算","通过")))))))))))))))</f>
        <v/>
      </c>
    </row>
    <row r="495" ht="17" spans="1:18">
      <c r="A495" s="13"/>
      <c r="B495" s="14"/>
      <c r="C495" s="15"/>
      <c r="D495" s="16"/>
      <c r="E495" s="16"/>
      <c r="F495" s="16"/>
      <c r="G495" s="14"/>
      <c r="H495" s="17" t="str">
        <f t="shared" si="56"/>
        <v/>
      </c>
      <c r="I495" s="18" t="str">
        <f>IF(OR(A495="",B495=""),"",IFERROR(LOOKUP(2,1/(单次交易!$A$2:$A$201=A495),单次交易!$H$2:$H$201),0)+SUMIFS($G$2:$G$1001,$A$2:$A$1001,A495,$B$2:$B$1001,"&lt;"&amp;B495))</f>
        <v/>
      </c>
      <c r="J495" s="17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17" t="str">
        <f t="shared" si="57"/>
        <v/>
      </c>
      <c r="L495" s="18" t="str">
        <f t="shared" si="58"/>
        <v/>
      </c>
      <c r="M495" s="18" t="str">
        <f t="shared" si="59"/>
        <v/>
      </c>
      <c r="N495" s="18" t="str">
        <f t="shared" si="60"/>
        <v/>
      </c>
      <c r="O495" s="18" t="str">
        <f t="shared" si="61"/>
        <v/>
      </c>
      <c r="P495" s="17" t="str">
        <f t="shared" si="62"/>
        <v/>
      </c>
      <c r="Q495" s="17" t="str">
        <f t="shared" si="63"/>
        <v/>
      </c>
      <c r="R495" s="19" t="str">
        <f ca="1">IF(A495="","",IF(COUNTIF(_TradeIds,A495)=0,"违规：交易编号不存在",IF(OR(B495="",B495&lt;1,B495&gt;5,B495&lt;&gt;INT(B495)),"违规：加仓序号须为1到5的整数",IF(COUNTIFS($A$2:$A$1001,A495,$B$2:$B$1001,B495)&gt;1,"违规：同一交易的加仓序号重复",IF(OR(D495="",E495="",F495=""),"计划不完整：请填写加仓价、新止损价和风险预算",IF(OR(D495&lt;=0,E495&lt;=0,F495&lt;=0,D495&lt;=E495),"违规：加仓价必须高于新止损价，金额须大于0",IF(AND(B495&gt;1,COUNTIFS($A$2:$A$1001,A495,$B$2:$B$1001,B495-1,$G$2:$G$1001,"&gt;0")=0),"违规：须先完成上一次加仓",IF(AND(B495&gt;1,E495&lt;SUMIFS($E$2:$E$1001,$A$2:$A$1001,A495,$B$2:$B$1001,B495-1)),"违规：新止损价不得低于上一次",IF(AND(B495&gt;1,F495&gt;SUMIFS($F$2:$F$1001,$A$2:$A$1001,A495,$B$2:$B$1001,B495-1)),"违规：风险预算须逐次不增加",IF(OR(_LockStatus="已锁仓",_LockStatus="解锁信息不完整"),"违规：锁仓期间禁止加仓",IF(G495="","计划可执行：建议股数见N列",IF(OR(G495&lt;=0,G495&lt;&gt;INT(G495),MOD(G495,100)&lt;&gt;0),"违规：实际股数须为100股整数倍",IF(G495&gt;N495,"违规：实际股数超过风险或金字塔上限",IF(AND(B495&gt;1,G495&gt;SUMIFS($G$2:$G$1001,$A$2:$A$1001,A495,$B$2:$B$1001,B495-1)),"违规：加仓股数须逐次不增加",IF(Q495&gt;F495,"违规：止损风险超过本次预算","通过")))))))))))))))</f>
        <v/>
      </c>
    </row>
    <row r="496" ht="17" spans="1:18">
      <c r="A496" s="13"/>
      <c r="B496" s="14"/>
      <c r="C496" s="15"/>
      <c r="D496" s="16"/>
      <c r="E496" s="16"/>
      <c r="F496" s="16"/>
      <c r="G496" s="14"/>
      <c r="H496" s="17" t="str">
        <f t="shared" si="56"/>
        <v/>
      </c>
      <c r="I496" s="18" t="str">
        <f>IF(OR(A496="",B496=""),"",IFERROR(LOOKUP(2,1/(单次交易!$A$2:$A$201=A496),单次交易!$H$2:$H$201),0)+SUMIFS($G$2:$G$1001,$A$2:$A$1001,A496,$B$2:$B$1001,"&lt;"&amp;B496))</f>
        <v/>
      </c>
      <c r="J496" s="17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17" t="str">
        <f t="shared" si="57"/>
        <v/>
      </c>
      <c r="L496" s="18" t="str">
        <f t="shared" si="58"/>
        <v/>
      </c>
      <c r="M496" s="18" t="str">
        <f t="shared" si="59"/>
        <v/>
      </c>
      <c r="N496" s="18" t="str">
        <f t="shared" si="60"/>
        <v/>
      </c>
      <c r="O496" s="18" t="str">
        <f t="shared" si="61"/>
        <v/>
      </c>
      <c r="P496" s="17" t="str">
        <f t="shared" si="62"/>
        <v/>
      </c>
      <c r="Q496" s="17" t="str">
        <f t="shared" si="63"/>
        <v/>
      </c>
      <c r="R496" s="19" t="str">
        <f ca="1">IF(A496="","",IF(COUNTIF(_TradeIds,A496)=0,"违规：交易编号不存在",IF(OR(B496="",B496&lt;1,B496&gt;5,B496&lt;&gt;INT(B496)),"违规：加仓序号须为1到5的整数",IF(COUNTIFS($A$2:$A$1001,A496,$B$2:$B$1001,B496)&gt;1,"违规：同一交易的加仓序号重复",IF(OR(D496="",E496="",F496=""),"计划不完整：请填写加仓价、新止损价和风险预算",IF(OR(D496&lt;=0,E496&lt;=0,F496&lt;=0,D496&lt;=E496),"违规：加仓价必须高于新止损价，金额须大于0",IF(AND(B496&gt;1,COUNTIFS($A$2:$A$1001,A496,$B$2:$B$1001,B496-1,$G$2:$G$1001,"&gt;0")=0),"违规：须先完成上一次加仓",IF(AND(B496&gt;1,E496&lt;SUMIFS($E$2:$E$1001,$A$2:$A$1001,A496,$B$2:$B$1001,B496-1)),"违规：新止损价不得低于上一次",IF(AND(B496&gt;1,F496&gt;SUMIFS($F$2:$F$1001,$A$2:$A$1001,A496,$B$2:$B$1001,B496-1)),"违规：风险预算须逐次不增加",IF(OR(_LockStatus="已锁仓",_LockStatus="解锁信息不完整"),"违规：锁仓期间禁止加仓",IF(G496="","计划可执行：建议股数见N列",IF(OR(G496&lt;=0,G496&lt;&gt;INT(G496),MOD(G496,100)&lt;&gt;0),"违规：实际股数须为100股整数倍",IF(G496&gt;N496,"违规：实际股数超过风险或金字塔上限",IF(AND(B496&gt;1,G496&gt;SUMIFS($G$2:$G$1001,$A$2:$A$1001,A496,$B$2:$B$1001,B496-1)),"违规：加仓股数须逐次不增加",IF(Q496&gt;F496,"违规：止损风险超过本次预算","通过")))))))))))))))</f>
        <v/>
      </c>
    </row>
    <row r="497" ht="17" spans="1:18">
      <c r="A497" s="13"/>
      <c r="B497" s="14"/>
      <c r="C497" s="15"/>
      <c r="D497" s="16"/>
      <c r="E497" s="16"/>
      <c r="F497" s="16"/>
      <c r="G497" s="14"/>
      <c r="H497" s="17" t="str">
        <f t="shared" si="56"/>
        <v/>
      </c>
      <c r="I497" s="18" t="str">
        <f>IF(OR(A497="",B497=""),"",IFERROR(LOOKUP(2,1/(单次交易!$A$2:$A$201=A497),单次交易!$H$2:$H$201),0)+SUMIFS($G$2:$G$1001,$A$2:$A$1001,A497,$B$2:$B$1001,"&lt;"&amp;B497))</f>
        <v/>
      </c>
      <c r="J497" s="17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17" t="str">
        <f t="shared" si="57"/>
        <v/>
      </c>
      <c r="L497" s="18" t="str">
        <f t="shared" si="58"/>
        <v/>
      </c>
      <c r="M497" s="18" t="str">
        <f t="shared" si="59"/>
        <v/>
      </c>
      <c r="N497" s="18" t="str">
        <f t="shared" si="60"/>
        <v/>
      </c>
      <c r="O497" s="18" t="str">
        <f t="shared" si="61"/>
        <v/>
      </c>
      <c r="P497" s="17" t="str">
        <f t="shared" si="62"/>
        <v/>
      </c>
      <c r="Q497" s="17" t="str">
        <f t="shared" si="63"/>
        <v/>
      </c>
      <c r="R497" s="19" t="str">
        <f ca="1">IF(A497="","",IF(COUNTIF(_TradeIds,A497)=0,"违规：交易编号不存在",IF(OR(B497="",B497&lt;1,B497&gt;5,B497&lt;&gt;INT(B497)),"违规：加仓序号须为1到5的整数",IF(COUNTIFS($A$2:$A$1001,A497,$B$2:$B$1001,B497)&gt;1,"违规：同一交易的加仓序号重复",IF(OR(D497="",E497="",F497=""),"计划不完整：请填写加仓价、新止损价和风险预算",IF(OR(D497&lt;=0,E497&lt;=0,F497&lt;=0,D497&lt;=E497),"违规：加仓价必须高于新止损价，金额须大于0",IF(AND(B497&gt;1,COUNTIFS($A$2:$A$1001,A497,$B$2:$B$1001,B497-1,$G$2:$G$1001,"&gt;0")=0),"违规：须先完成上一次加仓",IF(AND(B497&gt;1,E497&lt;SUMIFS($E$2:$E$1001,$A$2:$A$1001,A497,$B$2:$B$1001,B497-1)),"违规：新止损价不得低于上一次",IF(AND(B497&gt;1,F497&gt;SUMIFS($F$2:$F$1001,$A$2:$A$1001,A497,$B$2:$B$1001,B497-1)),"违规：风险预算须逐次不增加",IF(OR(_LockStatus="已锁仓",_LockStatus="解锁信息不完整"),"违规：锁仓期间禁止加仓",IF(G497="","计划可执行：建议股数见N列",IF(OR(G497&lt;=0,G497&lt;&gt;INT(G497),MOD(G497,100)&lt;&gt;0),"违规：实际股数须为100股整数倍",IF(G497&gt;N497,"违规：实际股数超过风险或金字塔上限",IF(AND(B497&gt;1,G497&gt;SUMIFS($G$2:$G$1001,$A$2:$A$1001,A497,$B$2:$B$1001,B497-1)),"违规：加仓股数须逐次不增加",IF(Q497&gt;F497,"违规：止损风险超过本次预算","通过")))))))))))))))</f>
        <v/>
      </c>
    </row>
    <row r="498" ht="17" spans="1:18">
      <c r="A498" s="13"/>
      <c r="B498" s="14"/>
      <c r="C498" s="15"/>
      <c r="D498" s="16"/>
      <c r="E498" s="16"/>
      <c r="F498" s="16"/>
      <c r="G498" s="14"/>
      <c r="H498" s="17" t="str">
        <f t="shared" si="56"/>
        <v/>
      </c>
      <c r="I498" s="18" t="str">
        <f>IF(OR(A498="",B498=""),"",IFERROR(LOOKUP(2,1/(单次交易!$A$2:$A$201=A498),单次交易!$H$2:$H$201),0)+SUMIFS($G$2:$G$1001,$A$2:$A$1001,A498,$B$2:$B$1001,"&lt;"&amp;B498))</f>
        <v/>
      </c>
      <c r="J498" s="17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17" t="str">
        <f t="shared" si="57"/>
        <v/>
      </c>
      <c r="L498" s="18" t="str">
        <f t="shared" si="58"/>
        <v/>
      </c>
      <c r="M498" s="18" t="str">
        <f t="shared" si="59"/>
        <v/>
      </c>
      <c r="N498" s="18" t="str">
        <f t="shared" si="60"/>
        <v/>
      </c>
      <c r="O498" s="18" t="str">
        <f t="shared" si="61"/>
        <v/>
      </c>
      <c r="P498" s="17" t="str">
        <f t="shared" si="62"/>
        <v/>
      </c>
      <c r="Q498" s="17" t="str">
        <f t="shared" si="63"/>
        <v/>
      </c>
      <c r="R498" s="19" t="str">
        <f ca="1">IF(A498="","",IF(COUNTIF(_TradeIds,A498)=0,"违规：交易编号不存在",IF(OR(B498="",B498&lt;1,B498&gt;5,B498&lt;&gt;INT(B498)),"违规：加仓序号须为1到5的整数",IF(COUNTIFS($A$2:$A$1001,A498,$B$2:$B$1001,B498)&gt;1,"违规：同一交易的加仓序号重复",IF(OR(D498="",E498="",F498=""),"计划不完整：请填写加仓价、新止损价和风险预算",IF(OR(D498&lt;=0,E498&lt;=0,F498&lt;=0,D498&lt;=E498),"违规：加仓价必须高于新止损价，金额须大于0",IF(AND(B498&gt;1,COUNTIFS($A$2:$A$1001,A498,$B$2:$B$1001,B498-1,$G$2:$G$1001,"&gt;0")=0),"违规：须先完成上一次加仓",IF(AND(B498&gt;1,E498&lt;SUMIFS($E$2:$E$1001,$A$2:$A$1001,A498,$B$2:$B$1001,B498-1)),"违规：新止损价不得低于上一次",IF(AND(B498&gt;1,F498&gt;SUMIFS($F$2:$F$1001,$A$2:$A$1001,A498,$B$2:$B$1001,B498-1)),"违规：风险预算须逐次不增加",IF(OR(_LockStatus="已锁仓",_LockStatus="解锁信息不完整"),"违规：锁仓期间禁止加仓",IF(G498="","计划可执行：建议股数见N列",IF(OR(G498&lt;=0,G498&lt;&gt;INT(G498),MOD(G498,100)&lt;&gt;0),"违规：实际股数须为100股整数倍",IF(G498&gt;N498,"违规：实际股数超过风险或金字塔上限",IF(AND(B498&gt;1,G498&gt;SUMIFS($G$2:$G$1001,$A$2:$A$1001,A498,$B$2:$B$1001,B498-1)),"违规：加仓股数须逐次不增加",IF(Q498&gt;F498,"违规：止损风险超过本次预算","通过")))))))))))))))</f>
        <v/>
      </c>
    </row>
    <row r="499" ht="17" spans="1:18">
      <c r="A499" s="13"/>
      <c r="B499" s="14"/>
      <c r="C499" s="15"/>
      <c r="D499" s="16"/>
      <c r="E499" s="16"/>
      <c r="F499" s="16"/>
      <c r="G499" s="14"/>
      <c r="H499" s="17" t="str">
        <f t="shared" si="56"/>
        <v/>
      </c>
      <c r="I499" s="18" t="str">
        <f>IF(OR(A499="",B499=""),"",IFERROR(LOOKUP(2,1/(单次交易!$A$2:$A$201=A499),单次交易!$H$2:$H$201),0)+SUMIFS($G$2:$G$1001,$A$2:$A$1001,A499,$B$2:$B$1001,"&lt;"&amp;B499))</f>
        <v/>
      </c>
      <c r="J499" s="17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17" t="str">
        <f t="shared" si="57"/>
        <v/>
      </c>
      <c r="L499" s="18" t="str">
        <f t="shared" si="58"/>
        <v/>
      </c>
      <c r="M499" s="18" t="str">
        <f t="shared" si="59"/>
        <v/>
      </c>
      <c r="N499" s="18" t="str">
        <f t="shared" si="60"/>
        <v/>
      </c>
      <c r="O499" s="18" t="str">
        <f t="shared" si="61"/>
        <v/>
      </c>
      <c r="P499" s="17" t="str">
        <f t="shared" si="62"/>
        <v/>
      </c>
      <c r="Q499" s="17" t="str">
        <f t="shared" si="63"/>
        <v/>
      </c>
      <c r="R499" s="19" t="str">
        <f ca="1">IF(A499="","",IF(COUNTIF(_TradeIds,A499)=0,"违规：交易编号不存在",IF(OR(B499="",B499&lt;1,B499&gt;5,B499&lt;&gt;INT(B499)),"违规：加仓序号须为1到5的整数",IF(COUNTIFS($A$2:$A$1001,A499,$B$2:$B$1001,B499)&gt;1,"违规：同一交易的加仓序号重复",IF(OR(D499="",E499="",F499=""),"计划不完整：请填写加仓价、新止损价和风险预算",IF(OR(D499&lt;=0,E499&lt;=0,F499&lt;=0,D499&lt;=E499),"违规：加仓价必须高于新止损价，金额须大于0",IF(AND(B499&gt;1,COUNTIFS($A$2:$A$1001,A499,$B$2:$B$1001,B499-1,$G$2:$G$1001,"&gt;0")=0),"违规：须先完成上一次加仓",IF(AND(B499&gt;1,E499&lt;SUMIFS($E$2:$E$1001,$A$2:$A$1001,A499,$B$2:$B$1001,B499-1)),"违规：新止损价不得低于上一次",IF(AND(B499&gt;1,F499&gt;SUMIFS($F$2:$F$1001,$A$2:$A$1001,A499,$B$2:$B$1001,B499-1)),"违规：风险预算须逐次不增加",IF(OR(_LockStatus="已锁仓",_LockStatus="解锁信息不完整"),"违规：锁仓期间禁止加仓",IF(G499="","计划可执行：建议股数见N列",IF(OR(G499&lt;=0,G499&lt;&gt;INT(G499),MOD(G499,100)&lt;&gt;0),"违规：实际股数须为100股整数倍",IF(G499&gt;N499,"违规：实际股数超过风险或金字塔上限",IF(AND(B499&gt;1,G499&gt;SUMIFS($G$2:$G$1001,$A$2:$A$1001,A499,$B$2:$B$1001,B499-1)),"违规：加仓股数须逐次不增加",IF(Q499&gt;F499,"违规：止损风险超过本次预算","通过")))))))))))))))</f>
        <v/>
      </c>
    </row>
    <row r="500" ht="17" spans="1:18">
      <c r="A500" s="13"/>
      <c r="B500" s="14"/>
      <c r="C500" s="15"/>
      <c r="D500" s="16"/>
      <c r="E500" s="16"/>
      <c r="F500" s="16"/>
      <c r="G500" s="14"/>
      <c r="H500" s="17" t="str">
        <f t="shared" si="56"/>
        <v/>
      </c>
      <c r="I500" s="18" t="str">
        <f>IF(OR(A500="",B500=""),"",IFERROR(LOOKUP(2,1/(单次交易!$A$2:$A$201=A500),单次交易!$H$2:$H$201),0)+SUMIFS($G$2:$G$1001,$A$2:$A$1001,A500,$B$2:$B$1001,"&lt;"&amp;B500))</f>
        <v/>
      </c>
      <c r="J500" s="17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17" t="str">
        <f t="shared" si="57"/>
        <v/>
      </c>
      <c r="L500" s="18" t="str">
        <f t="shared" si="58"/>
        <v/>
      </c>
      <c r="M500" s="18" t="str">
        <f t="shared" si="59"/>
        <v/>
      </c>
      <c r="N500" s="18" t="str">
        <f t="shared" si="60"/>
        <v/>
      </c>
      <c r="O500" s="18" t="str">
        <f t="shared" si="61"/>
        <v/>
      </c>
      <c r="P500" s="17" t="str">
        <f t="shared" si="62"/>
        <v/>
      </c>
      <c r="Q500" s="17" t="str">
        <f t="shared" si="63"/>
        <v/>
      </c>
      <c r="R500" s="19" t="str">
        <f ca="1">IF(A500="","",IF(COUNTIF(_TradeIds,A500)=0,"违规：交易编号不存在",IF(OR(B500="",B500&lt;1,B500&gt;5,B500&lt;&gt;INT(B500)),"违规：加仓序号须为1到5的整数",IF(COUNTIFS($A$2:$A$1001,A500,$B$2:$B$1001,B500)&gt;1,"违规：同一交易的加仓序号重复",IF(OR(D500="",E500="",F500=""),"计划不完整：请填写加仓价、新止损价和风险预算",IF(OR(D500&lt;=0,E500&lt;=0,F500&lt;=0,D500&lt;=E500),"违规：加仓价必须高于新止损价，金额须大于0",IF(AND(B500&gt;1,COUNTIFS($A$2:$A$1001,A500,$B$2:$B$1001,B500-1,$G$2:$G$1001,"&gt;0")=0),"违规：须先完成上一次加仓",IF(AND(B500&gt;1,E500&lt;SUMIFS($E$2:$E$1001,$A$2:$A$1001,A500,$B$2:$B$1001,B500-1)),"违规：新止损价不得低于上一次",IF(AND(B500&gt;1,F500&gt;SUMIFS($F$2:$F$1001,$A$2:$A$1001,A500,$B$2:$B$1001,B500-1)),"违规：风险预算须逐次不增加",IF(OR(_LockStatus="已锁仓",_LockStatus="解锁信息不完整"),"违规：锁仓期间禁止加仓",IF(G500="","计划可执行：建议股数见N列",IF(OR(G500&lt;=0,G500&lt;&gt;INT(G500),MOD(G500,100)&lt;&gt;0),"违规：实际股数须为100股整数倍",IF(G500&gt;N500,"违规：实际股数超过风险或金字塔上限",IF(AND(B500&gt;1,G500&gt;SUMIFS($G$2:$G$1001,$A$2:$A$1001,A500,$B$2:$B$1001,B500-1)),"违规：加仓股数须逐次不增加",IF(Q500&gt;F500,"违规：止损风险超过本次预算","通过")))))))))))))))</f>
        <v/>
      </c>
    </row>
    <row r="501" ht="17" spans="1:18">
      <c r="A501" s="13"/>
      <c r="B501" s="14"/>
      <c r="C501" s="15"/>
      <c r="D501" s="16"/>
      <c r="E501" s="16"/>
      <c r="F501" s="16"/>
      <c r="G501" s="14"/>
      <c r="H501" s="17" t="str">
        <f t="shared" si="56"/>
        <v/>
      </c>
      <c r="I501" s="18" t="str">
        <f>IF(OR(A501="",B501=""),"",IFERROR(LOOKUP(2,1/(单次交易!$A$2:$A$201=A501),单次交易!$H$2:$H$201),0)+SUMIFS($G$2:$G$1001,$A$2:$A$1001,A501,$B$2:$B$1001,"&lt;"&amp;B501))</f>
        <v/>
      </c>
      <c r="J501" s="17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17" t="str">
        <f t="shared" si="57"/>
        <v/>
      </c>
      <c r="L501" s="18" t="str">
        <f t="shared" si="58"/>
        <v/>
      </c>
      <c r="M501" s="18" t="str">
        <f t="shared" si="59"/>
        <v/>
      </c>
      <c r="N501" s="18" t="str">
        <f t="shared" si="60"/>
        <v/>
      </c>
      <c r="O501" s="18" t="str">
        <f t="shared" si="61"/>
        <v/>
      </c>
      <c r="P501" s="17" t="str">
        <f t="shared" si="62"/>
        <v/>
      </c>
      <c r="Q501" s="17" t="str">
        <f t="shared" si="63"/>
        <v/>
      </c>
      <c r="R501" s="19" t="str">
        <f ca="1">IF(A501="","",IF(COUNTIF(_TradeIds,A501)=0,"违规：交易编号不存在",IF(OR(B501="",B501&lt;1,B501&gt;5,B501&lt;&gt;INT(B501)),"违规：加仓序号须为1到5的整数",IF(COUNTIFS($A$2:$A$1001,A501,$B$2:$B$1001,B501)&gt;1,"违规：同一交易的加仓序号重复",IF(OR(D501="",E501="",F501=""),"计划不完整：请填写加仓价、新止损价和风险预算",IF(OR(D501&lt;=0,E501&lt;=0,F501&lt;=0,D501&lt;=E501),"违规：加仓价必须高于新止损价，金额须大于0",IF(AND(B501&gt;1,COUNTIFS($A$2:$A$1001,A501,$B$2:$B$1001,B501-1,$G$2:$G$1001,"&gt;0")=0),"违规：须先完成上一次加仓",IF(AND(B501&gt;1,E501&lt;SUMIFS($E$2:$E$1001,$A$2:$A$1001,A501,$B$2:$B$1001,B501-1)),"违规：新止损价不得低于上一次",IF(AND(B501&gt;1,F501&gt;SUMIFS($F$2:$F$1001,$A$2:$A$1001,A501,$B$2:$B$1001,B501-1)),"违规：风险预算须逐次不增加",IF(OR(_LockStatus="已锁仓",_LockStatus="解锁信息不完整"),"违规：锁仓期间禁止加仓",IF(G501="","计划可执行：建议股数见N列",IF(OR(G501&lt;=0,G501&lt;&gt;INT(G501),MOD(G501,100)&lt;&gt;0),"违规：实际股数须为100股整数倍",IF(G501&gt;N501,"违规：实际股数超过风险或金字塔上限",IF(AND(B501&gt;1,G501&gt;SUMIFS($G$2:$G$1001,$A$2:$A$1001,A501,$B$2:$B$1001,B501-1)),"违规：加仓股数须逐次不增加",IF(Q501&gt;F501,"违规：止损风险超过本次预算","通过")))))))))))))))</f>
        <v/>
      </c>
    </row>
    <row r="502" ht="17" spans="1:18">
      <c r="A502" s="13"/>
      <c r="B502" s="14"/>
      <c r="C502" s="15"/>
      <c r="D502" s="16"/>
      <c r="E502" s="16"/>
      <c r="F502" s="16"/>
      <c r="G502" s="14"/>
      <c r="H502" s="17" t="str">
        <f t="shared" si="56"/>
        <v/>
      </c>
      <c r="I502" s="18" t="str">
        <f>IF(OR(A502="",B502=""),"",IFERROR(LOOKUP(2,1/(单次交易!$A$2:$A$201=A502),单次交易!$H$2:$H$201),0)+SUMIFS($G$2:$G$1001,$A$2:$A$1001,A502,$B$2:$B$1001,"&lt;"&amp;B502))</f>
        <v/>
      </c>
      <c r="J502" s="17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17" t="str">
        <f t="shared" si="57"/>
        <v/>
      </c>
      <c r="L502" s="18" t="str">
        <f t="shared" si="58"/>
        <v/>
      </c>
      <c r="M502" s="18" t="str">
        <f t="shared" si="59"/>
        <v/>
      </c>
      <c r="N502" s="18" t="str">
        <f t="shared" si="60"/>
        <v/>
      </c>
      <c r="O502" s="18" t="str">
        <f t="shared" si="61"/>
        <v/>
      </c>
      <c r="P502" s="17" t="str">
        <f t="shared" si="62"/>
        <v/>
      </c>
      <c r="Q502" s="17" t="str">
        <f t="shared" si="63"/>
        <v/>
      </c>
      <c r="R502" s="19" t="str">
        <f ca="1">IF(A502="","",IF(COUNTIF(_TradeIds,A502)=0,"违规：交易编号不存在",IF(OR(B502="",B502&lt;1,B502&gt;5,B502&lt;&gt;INT(B502)),"违规：加仓序号须为1到5的整数",IF(COUNTIFS($A$2:$A$1001,A502,$B$2:$B$1001,B502)&gt;1,"违规：同一交易的加仓序号重复",IF(OR(D502="",E502="",F502=""),"计划不完整：请填写加仓价、新止损价和风险预算",IF(OR(D502&lt;=0,E502&lt;=0,F502&lt;=0,D502&lt;=E502),"违规：加仓价必须高于新止损价，金额须大于0",IF(AND(B502&gt;1,COUNTIFS($A$2:$A$1001,A502,$B$2:$B$1001,B502-1,$G$2:$G$1001,"&gt;0")=0),"违规：须先完成上一次加仓",IF(AND(B502&gt;1,E502&lt;SUMIFS($E$2:$E$1001,$A$2:$A$1001,A502,$B$2:$B$1001,B502-1)),"违规：新止损价不得低于上一次",IF(AND(B502&gt;1,F502&gt;SUMIFS($F$2:$F$1001,$A$2:$A$1001,A502,$B$2:$B$1001,B502-1)),"违规：风险预算须逐次不增加",IF(OR(_LockStatus="已锁仓",_LockStatus="解锁信息不完整"),"违规：锁仓期间禁止加仓",IF(G502="","计划可执行：建议股数见N列",IF(OR(G502&lt;=0,G502&lt;&gt;INT(G502),MOD(G502,100)&lt;&gt;0),"违规：实际股数须为100股整数倍",IF(G502&gt;N502,"违规：实际股数超过风险或金字塔上限",IF(AND(B502&gt;1,G502&gt;SUMIFS($G$2:$G$1001,$A$2:$A$1001,A502,$B$2:$B$1001,B502-1)),"违规：加仓股数须逐次不增加",IF(Q502&gt;F502,"违规：止损风险超过本次预算","通过")))))))))))))))</f>
        <v/>
      </c>
    </row>
    <row r="503" ht="17" spans="1:18">
      <c r="A503" s="13"/>
      <c r="B503" s="14"/>
      <c r="C503" s="15"/>
      <c r="D503" s="16"/>
      <c r="E503" s="16"/>
      <c r="F503" s="16"/>
      <c r="G503" s="14"/>
      <c r="H503" s="17" t="str">
        <f t="shared" si="56"/>
        <v/>
      </c>
      <c r="I503" s="18" t="str">
        <f>IF(OR(A503="",B503=""),"",IFERROR(LOOKUP(2,1/(单次交易!$A$2:$A$201=A503),单次交易!$H$2:$H$201),0)+SUMIFS($G$2:$G$1001,$A$2:$A$1001,A503,$B$2:$B$1001,"&lt;"&amp;B503))</f>
        <v/>
      </c>
      <c r="J503" s="17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17" t="str">
        <f t="shared" si="57"/>
        <v/>
      </c>
      <c r="L503" s="18" t="str">
        <f t="shared" si="58"/>
        <v/>
      </c>
      <c r="M503" s="18" t="str">
        <f t="shared" si="59"/>
        <v/>
      </c>
      <c r="N503" s="18" t="str">
        <f t="shared" si="60"/>
        <v/>
      </c>
      <c r="O503" s="18" t="str">
        <f t="shared" si="61"/>
        <v/>
      </c>
      <c r="P503" s="17" t="str">
        <f t="shared" si="62"/>
        <v/>
      </c>
      <c r="Q503" s="17" t="str">
        <f t="shared" si="63"/>
        <v/>
      </c>
      <c r="R503" s="19" t="str">
        <f ca="1">IF(A503="","",IF(COUNTIF(_TradeIds,A503)=0,"违规：交易编号不存在",IF(OR(B503="",B503&lt;1,B503&gt;5,B503&lt;&gt;INT(B503)),"违规：加仓序号须为1到5的整数",IF(COUNTIFS($A$2:$A$1001,A503,$B$2:$B$1001,B503)&gt;1,"违规：同一交易的加仓序号重复",IF(OR(D503="",E503="",F503=""),"计划不完整：请填写加仓价、新止损价和风险预算",IF(OR(D503&lt;=0,E503&lt;=0,F503&lt;=0,D503&lt;=E503),"违规：加仓价必须高于新止损价，金额须大于0",IF(AND(B503&gt;1,COUNTIFS($A$2:$A$1001,A503,$B$2:$B$1001,B503-1,$G$2:$G$1001,"&gt;0")=0),"违规：须先完成上一次加仓",IF(AND(B503&gt;1,E503&lt;SUMIFS($E$2:$E$1001,$A$2:$A$1001,A503,$B$2:$B$1001,B503-1)),"违规：新止损价不得低于上一次",IF(AND(B503&gt;1,F503&gt;SUMIFS($F$2:$F$1001,$A$2:$A$1001,A503,$B$2:$B$1001,B503-1)),"违规：风险预算须逐次不增加",IF(OR(_LockStatus="已锁仓",_LockStatus="解锁信息不完整"),"违规：锁仓期间禁止加仓",IF(G503="","计划可执行：建议股数见N列",IF(OR(G503&lt;=0,G503&lt;&gt;INT(G503),MOD(G503,100)&lt;&gt;0),"违规：实际股数须为100股整数倍",IF(G503&gt;N503,"违规：实际股数超过风险或金字塔上限",IF(AND(B503&gt;1,G503&gt;SUMIFS($G$2:$G$1001,$A$2:$A$1001,A503,$B$2:$B$1001,B503-1)),"违规：加仓股数须逐次不增加",IF(Q503&gt;F503,"违规：止损风险超过本次预算","通过")))))))))))))))</f>
        <v/>
      </c>
    </row>
    <row r="504" ht="17" spans="1:18">
      <c r="A504" s="13"/>
      <c r="B504" s="14"/>
      <c r="C504" s="15"/>
      <c r="D504" s="16"/>
      <c r="E504" s="16"/>
      <c r="F504" s="16"/>
      <c r="G504" s="14"/>
      <c r="H504" s="17" t="str">
        <f t="shared" si="56"/>
        <v/>
      </c>
      <c r="I504" s="18" t="str">
        <f>IF(OR(A504="",B504=""),"",IFERROR(LOOKUP(2,1/(单次交易!$A$2:$A$201=A504),单次交易!$H$2:$H$201),0)+SUMIFS($G$2:$G$1001,$A$2:$A$1001,A504,$B$2:$B$1001,"&lt;"&amp;B504))</f>
        <v/>
      </c>
      <c r="J504" s="17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17" t="str">
        <f t="shared" si="57"/>
        <v/>
      </c>
      <c r="L504" s="18" t="str">
        <f t="shared" si="58"/>
        <v/>
      </c>
      <c r="M504" s="18" t="str">
        <f t="shared" si="59"/>
        <v/>
      </c>
      <c r="N504" s="18" t="str">
        <f t="shared" si="60"/>
        <v/>
      </c>
      <c r="O504" s="18" t="str">
        <f t="shared" si="61"/>
        <v/>
      </c>
      <c r="P504" s="17" t="str">
        <f t="shared" si="62"/>
        <v/>
      </c>
      <c r="Q504" s="17" t="str">
        <f t="shared" si="63"/>
        <v/>
      </c>
      <c r="R504" s="19" t="str">
        <f ca="1">IF(A504="","",IF(COUNTIF(_TradeIds,A504)=0,"违规：交易编号不存在",IF(OR(B504="",B504&lt;1,B504&gt;5,B504&lt;&gt;INT(B504)),"违规：加仓序号须为1到5的整数",IF(COUNTIFS($A$2:$A$1001,A504,$B$2:$B$1001,B504)&gt;1,"违规：同一交易的加仓序号重复",IF(OR(D504="",E504="",F504=""),"计划不完整：请填写加仓价、新止损价和风险预算",IF(OR(D504&lt;=0,E504&lt;=0,F504&lt;=0,D504&lt;=E504),"违规：加仓价必须高于新止损价，金额须大于0",IF(AND(B504&gt;1,COUNTIFS($A$2:$A$1001,A504,$B$2:$B$1001,B504-1,$G$2:$G$1001,"&gt;0")=0),"违规：须先完成上一次加仓",IF(AND(B504&gt;1,E504&lt;SUMIFS($E$2:$E$1001,$A$2:$A$1001,A504,$B$2:$B$1001,B504-1)),"违规：新止损价不得低于上一次",IF(AND(B504&gt;1,F504&gt;SUMIFS($F$2:$F$1001,$A$2:$A$1001,A504,$B$2:$B$1001,B504-1)),"违规：风险预算须逐次不增加",IF(OR(_LockStatus="已锁仓",_LockStatus="解锁信息不完整"),"违规：锁仓期间禁止加仓",IF(G504="","计划可执行：建议股数见N列",IF(OR(G504&lt;=0,G504&lt;&gt;INT(G504),MOD(G504,100)&lt;&gt;0),"违规：实际股数须为100股整数倍",IF(G504&gt;N504,"违规：实际股数超过风险或金字塔上限",IF(AND(B504&gt;1,G504&gt;SUMIFS($G$2:$G$1001,$A$2:$A$1001,A504,$B$2:$B$1001,B504-1)),"违规：加仓股数须逐次不增加",IF(Q504&gt;F504,"违规：止损风险超过本次预算","通过")))))))))))))))</f>
        <v/>
      </c>
    </row>
    <row r="505" ht="17" spans="1:18">
      <c r="A505" s="13"/>
      <c r="B505" s="14"/>
      <c r="C505" s="15"/>
      <c r="D505" s="16"/>
      <c r="E505" s="16"/>
      <c r="F505" s="16"/>
      <c r="G505" s="14"/>
      <c r="H505" s="17" t="str">
        <f t="shared" si="56"/>
        <v/>
      </c>
      <c r="I505" s="18" t="str">
        <f>IF(OR(A505="",B505=""),"",IFERROR(LOOKUP(2,1/(单次交易!$A$2:$A$201=A505),单次交易!$H$2:$H$201),0)+SUMIFS($G$2:$G$1001,$A$2:$A$1001,A505,$B$2:$B$1001,"&lt;"&amp;B505))</f>
        <v/>
      </c>
      <c r="J505" s="17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17" t="str">
        <f t="shared" si="57"/>
        <v/>
      </c>
      <c r="L505" s="18" t="str">
        <f t="shared" si="58"/>
        <v/>
      </c>
      <c r="M505" s="18" t="str">
        <f t="shared" si="59"/>
        <v/>
      </c>
      <c r="N505" s="18" t="str">
        <f t="shared" si="60"/>
        <v/>
      </c>
      <c r="O505" s="18" t="str">
        <f t="shared" si="61"/>
        <v/>
      </c>
      <c r="P505" s="17" t="str">
        <f t="shared" si="62"/>
        <v/>
      </c>
      <c r="Q505" s="17" t="str">
        <f t="shared" si="63"/>
        <v/>
      </c>
      <c r="R505" s="19" t="str">
        <f ca="1">IF(A505="","",IF(COUNTIF(_TradeIds,A505)=0,"违规：交易编号不存在",IF(OR(B505="",B505&lt;1,B505&gt;5,B505&lt;&gt;INT(B505)),"违规：加仓序号须为1到5的整数",IF(COUNTIFS($A$2:$A$1001,A505,$B$2:$B$1001,B505)&gt;1,"违规：同一交易的加仓序号重复",IF(OR(D505="",E505="",F505=""),"计划不完整：请填写加仓价、新止损价和风险预算",IF(OR(D505&lt;=0,E505&lt;=0,F505&lt;=0,D505&lt;=E505),"违规：加仓价必须高于新止损价，金额须大于0",IF(AND(B505&gt;1,COUNTIFS($A$2:$A$1001,A505,$B$2:$B$1001,B505-1,$G$2:$G$1001,"&gt;0")=0),"违规：须先完成上一次加仓",IF(AND(B505&gt;1,E505&lt;SUMIFS($E$2:$E$1001,$A$2:$A$1001,A505,$B$2:$B$1001,B505-1)),"违规：新止损价不得低于上一次",IF(AND(B505&gt;1,F505&gt;SUMIFS($F$2:$F$1001,$A$2:$A$1001,A505,$B$2:$B$1001,B505-1)),"违规：风险预算须逐次不增加",IF(OR(_LockStatus="已锁仓",_LockStatus="解锁信息不完整"),"违规：锁仓期间禁止加仓",IF(G505="","计划可执行：建议股数见N列",IF(OR(G505&lt;=0,G505&lt;&gt;INT(G505),MOD(G505,100)&lt;&gt;0),"违规：实际股数须为100股整数倍",IF(G505&gt;N505,"违规：实际股数超过风险或金字塔上限",IF(AND(B505&gt;1,G505&gt;SUMIFS($G$2:$G$1001,$A$2:$A$1001,A505,$B$2:$B$1001,B505-1)),"违规：加仓股数须逐次不增加",IF(Q505&gt;F505,"违规：止损风险超过本次预算","通过")))))))))))))))</f>
        <v/>
      </c>
    </row>
    <row r="506" ht="17" spans="1:18">
      <c r="A506" s="13"/>
      <c r="B506" s="14"/>
      <c r="C506" s="15"/>
      <c r="D506" s="16"/>
      <c r="E506" s="16"/>
      <c r="F506" s="16"/>
      <c r="G506" s="14"/>
      <c r="H506" s="17" t="str">
        <f t="shared" si="56"/>
        <v/>
      </c>
      <c r="I506" s="18" t="str">
        <f>IF(OR(A506="",B506=""),"",IFERROR(LOOKUP(2,1/(单次交易!$A$2:$A$201=A506),单次交易!$H$2:$H$201),0)+SUMIFS($G$2:$G$1001,$A$2:$A$1001,A506,$B$2:$B$1001,"&lt;"&amp;B506))</f>
        <v/>
      </c>
      <c r="J506" s="17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17" t="str">
        <f t="shared" si="57"/>
        <v/>
      </c>
      <c r="L506" s="18" t="str">
        <f t="shared" si="58"/>
        <v/>
      </c>
      <c r="M506" s="18" t="str">
        <f t="shared" si="59"/>
        <v/>
      </c>
      <c r="N506" s="18" t="str">
        <f t="shared" si="60"/>
        <v/>
      </c>
      <c r="O506" s="18" t="str">
        <f t="shared" si="61"/>
        <v/>
      </c>
      <c r="P506" s="17" t="str">
        <f t="shared" si="62"/>
        <v/>
      </c>
      <c r="Q506" s="17" t="str">
        <f t="shared" si="63"/>
        <v/>
      </c>
      <c r="R506" s="19" t="str">
        <f ca="1">IF(A506="","",IF(COUNTIF(_TradeIds,A506)=0,"违规：交易编号不存在",IF(OR(B506="",B506&lt;1,B506&gt;5,B506&lt;&gt;INT(B506)),"违规：加仓序号须为1到5的整数",IF(COUNTIFS($A$2:$A$1001,A506,$B$2:$B$1001,B506)&gt;1,"违规：同一交易的加仓序号重复",IF(OR(D506="",E506="",F506=""),"计划不完整：请填写加仓价、新止损价和风险预算",IF(OR(D506&lt;=0,E506&lt;=0,F506&lt;=0,D506&lt;=E506),"违规：加仓价必须高于新止损价，金额须大于0",IF(AND(B506&gt;1,COUNTIFS($A$2:$A$1001,A506,$B$2:$B$1001,B506-1,$G$2:$G$1001,"&gt;0")=0),"违规：须先完成上一次加仓",IF(AND(B506&gt;1,E506&lt;SUMIFS($E$2:$E$1001,$A$2:$A$1001,A506,$B$2:$B$1001,B506-1)),"违规：新止损价不得低于上一次",IF(AND(B506&gt;1,F506&gt;SUMIFS($F$2:$F$1001,$A$2:$A$1001,A506,$B$2:$B$1001,B506-1)),"违规：风险预算须逐次不增加",IF(OR(_LockStatus="已锁仓",_LockStatus="解锁信息不完整"),"违规：锁仓期间禁止加仓",IF(G506="","计划可执行：建议股数见N列",IF(OR(G506&lt;=0,G506&lt;&gt;INT(G506),MOD(G506,100)&lt;&gt;0),"违规：实际股数须为100股整数倍",IF(G506&gt;N506,"违规：实际股数超过风险或金字塔上限",IF(AND(B506&gt;1,G506&gt;SUMIFS($G$2:$G$1001,$A$2:$A$1001,A506,$B$2:$B$1001,B506-1)),"违规：加仓股数须逐次不增加",IF(Q506&gt;F506,"违规：止损风险超过本次预算","通过")))))))))))))))</f>
        <v/>
      </c>
    </row>
    <row r="507" ht="17" spans="1:18">
      <c r="A507" s="13"/>
      <c r="B507" s="14"/>
      <c r="C507" s="15"/>
      <c r="D507" s="16"/>
      <c r="E507" s="16"/>
      <c r="F507" s="16"/>
      <c r="G507" s="14"/>
      <c r="H507" s="17" t="str">
        <f t="shared" si="56"/>
        <v/>
      </c>
      <c r="I507" s="18" t="str">
        <f>IF(OR(A507="",B507=""),"",IFERROR(LOOKUP(2,1/(单次交易!$A$2:$A$201=A507),单次交易!$H$2:$H$201),0)+SUMIFS($G$2:$G$1001,$A$2:$A$1001,A507,$B$2:$B$1001,"&lt;"&amp;B507))</f>
        <v/>
      </c>
      <c r="J507" s="17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17" t="str">
        <f t="shared" si="57"/>
        <v/>
      </c>
      <c r="L507" s="18" t="str">
        <f t="shared" si="58"/>
        <v/>
      </c>
      <c r="M507" s="18" t="str">
        <f t="shared" si="59"/>
        <v/>
      </c>
      <c r="N507" s="18" t="str">
        <f t="shared" si="60"/>
        <v/>
      </c>
      <c r="O507" s="18" t="str">
        <f t="shared" si="61"/>
        <v/>
      </c>
      <c r="P507" s="17" t="str">
        <f t="shared" si="62"/>
        <v/>
      </c>
      <c r="Q507" s="17" t="str">
        <f t="shared" si="63"/>
        <v/>
      </c>
      <c r="R507" s="19" t="str">
        <f ca="1">IF(A507="","",IF(COUNTIF(_TradeIds,A507)=0,"违规：交易编号不存在",IF(OR(B507="",B507&lt;1,B507&gt;5,B507&lt;&gt;INT(B507)),"违规：加仓序号须为1到5的整数",IF(COUNTIFS($A$2:$A$1001,A507,$B$2:$B$1001,B507)&gt;1,"违规：同一交易的加仓序号重复",IF(OR(D507="",E507="",F507=""),"计划不完整：请填写加仓价、新止损价和风险预算",IF(OR(D507&lt;=0,E507&lt;=0,F507&lt;=0,D507&lt;=E507),"违规：加仓价必须高于新止损价，金额须大于0",IF(AND(B507&gt;1,COUNTIFS($A$2:$A$1001,A507,$B$2:$B$1001,B507-1,$G$2:$G$1001,"&gt;0")=0),"违规：须先完成上一次加仓",IF(AND(B507&gt;1,E507&lt;SUMIFS($E$2:$E$1001,$A$2:$A$1001,A507,$B$2:$B$1001,B507-1)),"违规：新止损价不得低于上一次",IF(AND(B507&gt;1,F507&gt;SUMIFS($F$2:$F$1001,$A$2:$A$1001,A507,$B$2:$B$1001,B507-1)),"违规：风险预算须逐次不增加",IF(OR(_LockStatus="已锁仓",_LockStatus="解锁信息不完整"),"违规：锁仓期间禁止加仓",IF(G507="","计划可执行：建议股数见N列",IF(OR(G507&lt;=0,G507&lt;&gt;INT(G507),MOD(G507,100)&lt;&gt;0),"违规：实际股数须为100股整数倍",IF(G507&gt;N507,"违规：实际股数超过风险或金字塔上限",IF(AND(B507&gt;1,G507&gt;SUMIFS($G$2:$G$1001,$A$2:$A$1001,A507,$B$2:$B$1001,B507-1)),"违规：加仓股数须逐次不增加",IF(Q507&gt;F507,"违规：止损风险超过本次预算","通过")))))))))))))))</f>
        <v/>
      </c>
    </row>
    <row r="508" ht="17" spans="1:18">
      <c r="A508" s="13"/>
      <c r="B508" s="14"/>
      <c r="C508" s="15"/>
      <c r="D508" s="16"/>
      <c r="E508" s="16"/>
      <c r="F508" s="16"/>
      <c r="G508" s="14"/>
      <c r="H508" s="17" t="str">
        <f t="shared" si="56"/>
        <v/>
      </c>
      <c r="I508" s="18" t="str">
        <f>IF(OR(A508="",B508=""),"",IFERROR(LOOKUP(2,1/(单次交易!$A$2:$A$201=A508),单次交易!$H$2:$H$201),0)+SUMIFS($G$2:$G$1001,$A$2:$A$1001,A508,$B$2:$B$1001,"&lt;"&amp;B508))</f>
        <v/>
      </c>
      <c r="J508" s="17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17" t="str">
        <f t="shared" si="57"/>
        <v/>
      </c>
      <c r="L508" s="18" t="str">
        <f t="shared" si="58"/>
        <v/>
      </c>
      <c r="M508" s="18" t="str">
        <f t="shared" si="59"/>
        <v/>
      </c>
      <c r="N508" s="18" t="str">
        <f t="shared" si="60"/>
        <v/>
      </c>
      <c r="O508" s="18" t="str">
        <f t="shared" si="61"/>
        <v/>
      </c>
      <c r="P508" s="17" t="str">
        <f t="shared" si="62"/>
        <v/>
      </c>
      <c r="Q508" s="17" t="str">
        <f t="shared" si="63"/>
        <v/>
      </c>
      <c r="R508" s="19" t="str">
        <f ca="1">IF(A508="","",IF(COUNTIF(_TradeIds,A508)=0,"违规：交易编号不存在",IF(OR(B508="",B508&lt;1,B508&gt;5,B508&lt;&gt;INT(B508)),"违规：加仓序号须为1到5的整数",IF(COUNTIFS($A$2:$A$1001,A508,$B$2:$B$1001,B508)&gt;1,"违规：同一交易的加仓序号重复",IF(OR(D508="",E508="",F508=""),"计划不完整：请填写加仓价、新止损价和风险预算",IF(OR(D508&lt;=0,E508&lt;=0,F508&lt;=0,D508&lt;=E508),"违规：加仓价必须高于新止损价，金额须大于0",IF(AND(B508&gt;1,COUNTIFS($A$2:$A$1001,A508,$B$2:$B$1001,B508-1,$G$2:$G$1001,"&gt;0")=0),"违规：须先完成上一次加仓",IF(AND(B508&gt;1,E508&lt;SUMIFS($E$2:$E$1001,$A$2:$A$1001,A508,$B$2:$B$1001,B508-1)),"违规：新止损价不得低于上一次",IF(AND(B508&gt;1,F508&gt;SUMIFS($F$2:$F$1001,$A$2:$A$1001,A508,$B$2:$B$1001,B508-1)),"违规：风险预算须逐次不增加",IF(OR(_LockStatus="已锁仓",_LockStatus="解锁信息不完整"),"违规：锁仓期间禁止加仓",IF(G508="","计划可执行：建议股数见N列",IF(OR(G508&lt;=0,G508&lt;&gt;INT(G508),MOD(G508,100)&lt;&gt;0),"违规：实际股数须为100股整数倍",IF(G508&gt;N508,"违规：实际股数超过风险或金字塔上限",IF(AND(B508&gt;1,G508&gt;SUMIFS($G$2:$G$1001,$A$2:$A$1001,A508,$B$2:$B$1001,B508-1)),"违规：加仓股数须逐次不增加",IF(Q508&gt;F508,"违规：止损风险超过本次预算","通过")))))))))))))))</f>
        <v/>
      </c>
    </row>
    <row r="509" ht="17" spans="1:18">
      <c r="A509" s="13"/>
      <c r="B509" s="14"/>
      <c r="C509" s="15"/>
      <c r="D509" s="16"/>
      <c r="E509" s="16"/>
      <c r="F509" s="16"/>
      <c r="G509" s="14"/>
      <c r="H509" s="17" t="str">
        <f t="shared" si="56"/>
        <v/>
      </c>
      <c r="I509" s="18" t="str">
        <f>IF(OR(A509="",B509=""),"",IFERROR(LOOKUP(2,1/(单次交易!$A$2:$A$201=A509),单次交易!$H$2:$H$201),0)+SUMIFS($G$2:$G$1001,$A$2:$A$1001,A509,$B$2:$B$1001,"&lt;"&amp;B509))</f>
        <v/>
      </c>
      <c r="J509" s="17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17" t="str">
        <f t="shared" si="57"/>
        <v/>
      </c>
      <c r="L509" s="18" t="str">
        <f t="shared" si="58"/>
        <v/>
      </c>
      <c r="M509" s="18" t="str">
        <f t="shared" si="59"/>
        <v/>
      </c>
      <c r="N509" s="18" t="str">
        <f t="shared" si="60"/>
        <v/>
      </c>
      <c r="O509" s="18" t="str">
        <f t="shared" si="61"/>
        <v/>
      </c>
      <c r="P509" s="17" t="str">
        <f t="shared" si="62"/>
        <v/>
      </c>
      <c r="Q509" s="17" t="str">
        <f t="shared" si="63"/>
        <v/>
      </c>
      <c r="R509" s="19" t="str">
        <f ca="1">IF(A509="","",IF(COUNTIF(_TradeIds,A509)=0,"违规：交易编号不存在",IF(OR(B509="",B509&lt;1,B509&gt;5,B509&lt;&gt;INT(B509)),"违规：加仓序号须为1到5的整数",IF(COUNTIFS($A$2:$A$1001,A509,$B$2:$B$1001,B509)&gt;1,"违规：同一交易的加仓序号重复",IF(OR(D509="",E509="",F509=""),"计划不完整：请填写加仓价、新止损价和风险预算",IF(OR(D509&lt;=0,E509&lt;=0,F509&lt;=0,D509&lt;=E509),"违规：加仓价必须高于新止损价，金额须大于0",IF(AND(B509&gt;1,COUNTIFS($A$2:$A$1001,A509,$B$2:$B$1001,B509-1,$G$2:$G$1001,"&gt;0")=0),"违规：须先完成上一次加仓",IF(AND(B509&gt;1,E509&lt;SUMIFS($E$2:$E$1001,$A$2:$A$1001,A509,$B$2:$B$1001,B509-1)),"违规：新止损价不得低于上一次",IF(AND(B509&gt;1,F509&gt;SUMIFS($F$2:$F$1001,$A$2:$A$1001,A509,$B$2:$B$1001,B509-1)),"违规：风险预算须逐次不增加",IF(OR(_LockStatus="已锁仓",_LockStatus="解锁信息不完整"),"违规：锁仓期间禁止加仓",IF(G509="","计划可执行：建议股数见N列",IF(OR(G509&lt;=0,G509&lt;&gt;INT(G509),MOD(G509,100)&lt;&gt;0),"违规：实际股数须为100股整数倍",IF(G509&gt;N509,"违规：实际股数超过风险或金字塔上限",IF(AND(B509&gt;1,G509&gt;SUMIFS($G$2:$G$1001,$A$2:$A$1001,A509,$B$2:$B$1001,B509-1)),"违规：加仓股数须逐次不增加",IF(Q509&gt;F509,"违规：止损风险超过本次预算","通过")))))))))))))))</f>
        <v/>
      </c>
    </row>
    <row r="510" ht="17" spans="1:18">
      <c r="A510" s="13"/>
      <c r="B510" s="14"/>
      <c r="C510" s="15"/>
      <c r="D510" s="16"/>
      <c r="E510" s="16"/>
      <c r="F510" s="16"/>
      <c r="G510" s="14"/>
      <c r="H510" s="17" t="str">
        <f t="shared" si="56"/>
        <v/>
      </c>
      <c r="I510" s="18" t="str">
        <f>IF(OR(A510="",B510=""),"",IFERROR(LOOKUP(2,1/(单次交易!$A$2:$A$201=A510),单次交易!$H$2:$H$201),0)+SUMIFS($G$2:$G$1001,$A$2:$A$1001,A510,$B$2:$B$1001,"&lt;"&amp;B510))</f>
        <v/>
      </c>
      <c r="J510" s="17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17" t="str">
        <f t="shared" si="57"/>
        <v/>
      </c>
      <c r="L510" s="18" t="str">
        <f t="shared" si="58"/>
        <v/>
      </c>
      <c r="M510" s="18" t="str">
        <f t="shared" si="59"/>
        <v/>
      </c>
      <c r="N510" s="18" t="str">
        <f t="shared" si="60"/>
        <v/>
      </c>
      <c r="O510" s="18" t="str">
        <f t="shared" si="61"/>
        <v/>
      </c>
      <c r="P510" s="17" t="str">
        <f t="shared" si="62"/>
        <v/>
      </c>
      <c r="Q510" s="17" t="str">
        <f t="shared" si="63"/>
        <v/>
      </c>
      <c r="R510" s="19" t="str">
        <f ca="1">IF(A510="","",IF(COUNTIF(_TradeIds,A510)=0,"违规：交易编号不存在",IF(OR(B510="",B510&lt;1,B510&gt;5,B510&lt;&gt;INT(B510)),"违规：加仓序号须为1到5的整数",IF(COUNTIFS($A$2:$A$1001,A510,$B$2:$B$1001,B510)&gt;1,"违规：同一交易的加仓序号重复",IF(OR(D510="",E510="",F510=""),"计划不完整：请填写加仓价、新止损价和风险预算",IF(OR(D510&lt;=0,E510&lt;=0,F510&lt;=0,D510&lt;=E510),"违规：加仓价必须高于新止损价，金额须大于0",IF(AND(B510&gt;1,COUNTIFS($A$2:$A$1001,A510,$B$2:$B$1001,B510-1,$G$2:$G$1001,"&gt;0")=0),"违规：须先完成上一次加仓",IF(AND(B510&gt;1,E510&lt;SUMIFS($E$2:$E$1001,$A$2:$A$1001,A510,$B$2:$B$1001,B510-1)),"违规：新止损价不得低于上一次",IF(AND(B510&gt;1,F510&gt;SUMIFS($F$2:$F$1001,$A$2:$A$1001,A510,$B$2:$B$1001,B510-1)),"违规：风险预算须逐次不增加",IF(OR(_LockStatus="已锁仓",_LockStatus="解锁信息不完整"),"违规：锁仓期间禁止加仓",IF(G510="","计划可执行：建议股数见N列",IF(OR(G510&lt;=0,G510&lt;&gt;INT(G510),MOD(G510,100)&lt;&gt;0),"违规：实际股数须为100股整数倍",IF(G510&gt;N510,"违规：实际股数超过风险或金字塔上限",IF(AND(B510&gt;1,G510&gt;SUMIFS($G$2:$G$1001,$A$2:$A$1001,A510,$B$2:$B$1001,B510-1)),"违规：加仓股数须逐次不增加",IF(Q510&gt;F510,"违规：止损风险超过本次预算","通过")))))))))))))))</f>
        <v/>
      </c>
    </row>
    <row r="511" ht="17" spans="1:18">
      <c r="A511" s="13"/>
      <c r="B511" s="14"/>
      <c r="C511" s="15"/>
      <c r="D511" s="16"/>
      <c r="E511" s="16"/>
      <c r="F511" s="16"/>
      <c r="G511" s="14"/>
      <c r="H511" s="17" t="str">
        <f t="shared" si="56"/>
        <v/>
      </c>
      <c r="I511" s="18" t="str">
        <f>IF(OR(A511="",B511=""),"",IFERROR(LOOKUP(2,1/(单次交易!$A$2:$A$201=A511),单次交易!$H$2:$H$201),0)+SUMIFS($G$2:$G$1001,$A$2:$A$1001,A511,$B$2:$B$1001,"&lt;"&amp;B511))</f>
        <v/>
      </c>
      <c r="J511" s="17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17" t="str">
        <f t="shared" si="57"/>
        <v/>
      </c>
      <c r="L511" s="18" t="str">
        <f t="shared" si="58"/>
        <v/>
      </c>
      <c r="M511" s="18" t="str">
        <f t="shared" si="59"/>
        <v/>
      </c>
      <c r="N511" s="18" t="str">
        <f t="shared" si="60"/>
        <v/>
      </c>
      <c r="O511" s="18" t="str">
        <f t="shared" si="61"/>
        <v/>
      </c>
      <c r="P511" s="17" t="str">
        <f t="shared" si="62"/>
        <v/>
      </c>
      <c r="Q511" s="17" t="str">
        <f t="shared" si="63"/>
        <v/>
      </c>
      <c r="R511" s="19" t="str">
        <f ca="1">IF(A511="","",IF(COUNTIF(_TradeIds,A511)=0,"违规：交易编号不存在",IF(OR(B511="",B511&lt;1,B511&gt;5,B511&lt;&gt;INT(B511)),"违规：加仓序号须为1到5的整数",IF(COUNTIFS($A$2:$A$1001,A511,$B$2:$B$1001,B511)&gt;1,"违规：同一交易的加仓序号重复",IF(OR(D511="",E511="",F511=""),"计划不完整：请填写加仓价、新止损价和风险预算",IF(OR(D511&lt;=0,E511&lt;=0,F511&lt;=0,D511&lt;=E511),"违规：加仓价必须高于新止损价，金额须大于0",IF(AND(B511&gt;1,COUNTIFS($A$2:$A$1001,A511,$B$2:$B$1001,B511-1,$G$2:$G$1001,"&gt;0")=0),"违规：须先完成上一次加仓",IF(AND(B511&gt;1,E511&lt;SUMIFS($E$2:$E$1001,$A$2:$A$1001,A511,$B$2:$B$1001,B511-1)),"违规：新止损价不得低于上一次",IF(AND(B511&gt;1,F511&gt;SUMIFS($F$2:$F$1001,$A$2:$A$1001,A511,$B$2:$B$1001,B511-1)),"违规：风险预算须逐次不增加",IF(OR(_LockStatus="已锁仓",_LockStatus="解锁信息不完整"),"违规：锁仓期间禁止加仓",IF(G511="","计划可执行：建议股数见N列",IF(OR(G511&lt;=0,G511&lt;&gt;INT(G511),MOD(G511,100)&lt;&gt;0),"违规：实际股数须为100股整数倍",IF(G511&gt;N511,"违规：实际股数超过风险或金字塔上限",IF(AND(B511&gt;1,G511&gt;SUMIFS($G$2:$G$1001,$A$2:$A$1001,A511,$B$2:$B$1001,B511-1)),"违规：加仓股数须逐次不增加",IF(Q511&gt;F511,"违规：止损风险超过本次预算","通过")))))))))))))))</f>
        <v/>
      </c>
    </row>
    <row r="512" ht="17" spans="1:18">
      <c r="A512" s="13"/>
      <c r="B512" s="14"/>
      <c r="C512" s="15"/>
      <c r="D512" s="16"/>
      <c r="E512" s="16"/>
      <c r="F512" s="16"/>
      <c r="G512" s="14"/>
      <c r="H512" s="17" t="str">
        <f t="shared" si="56"/>
        <v/>
      </c>
      <c r="I512" s="18" t="str">
        <f>IF(OR(A512="",B512=""),"",IFERROR(LOOKUP(2,1/(单次交易!$A$2:$A$201=A512),单次交易!$H$2:$H$201),0)+SUMIFS($G$2:$G$1001,$A$2:$A$1001,A512,$B$2:$B$1001,"&lt;"&amp;B512))</f>
        <v/>
      </c>
      <c r="J512" s="17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17" t="str">
        <f t="shared" si="57"/>
        <v/>
      </c>
      <c r="L512" s="18" t="str">
        <f t="shared" si="58"/>
        <v/>
      </c>
      <c r="M512" s="18" t="str">
        <f t="shared" si="59"/>
        <v/>
      </c>
      <c r="N512" s="18" t="str">
        <f t="shared" si="60"/>
        <v/>
      </c>
      <c r="O512" s="18" t="str">
        <f t="shared" si="61"/>
        <v/>
      </c>
      <c r="P512" s="17" t="str">
        <f t="shared" si="62"/>
        <v/>
      </c>
      <c r="Q512" s="17" t="str">
        <f t="shared" si="63"/>
        <v/>
      </c>
      <c r="R512" s="19" t="str">
        <f ca="1">IF(A512="","",IF(COUNTIF(_TradeIds,A512)=0,"违规：交易编号不存在",IF(OR(B512="",B512&lt;1,B512&gt;5,B512&lt;&gt;INT(B512)),"违规：加仓序号须为1到5的整数",IF(COUNTIFS($A$2:$A$1001,A512,$B$2:$B$1001,B512)&gt;1,"违规：同一交易的加仓序号重复",IF(OR(D512="",E512="",F512=""),"计划不完整：请填写加仓价、新止损价和风险预算",IF(OR(D512&lt;=0,E512&lt;=0,F512&lt;=0,D512&lt;=E512),"违规：加仓价必须高于新止损价，金额须大于0",IF(AND(B512&gt;1,COUNTIFS($A$2:$A$1001,A512,$B$2:$B$1001,B512-1,$G$2:$G$1001,"&gt;0")=0),"违规：须先完成上一次加仓",IF(AND(B512&gt;1,E512&lt;SUMIFS($E$2:$E$1001,$A$2:$A$1001,A512,$B$2:$B$1001,B512-1)),"违规：新止损价不得低于上一次",IF(AND(B512&gt;1,F512&gt;SUMIFS($F$2:$F$1001,$A$2:$A$1001,A512,$B$2:$B$1001,B512-1)),"违规：风险预算须逐次不增加",IF(OR(_LockStatus="已锁仓",_LockStatus="解锁信息不完整"),"违规：锁仓期间禁止加仓",IF(G512="","计划可执行：建议股数见N列",IF(OR(G512&lt;=0,G512&lt;&gt;INT(G512),MOD(G512,100)&lt;&gt;0),"违规：实际股数须为100股整数倍",IF(G512&gt;N512,"违规：实际股数超过风险或金字塔上限",IF(AND(B512&gt;1,G512&gt;SUMIFS($G$2:$G$1001,$A$2:$A$1001,A512,$B$2:$B$1001,B512-1)),"违规：加仓股数须逐次不增加",IF(Q512&gt;F512,"违规：止损风险超过本次预算","通过")))))))))))))))</f>
        <v/>
      </c>
    </row>
    <row r="513" ht="17" spans="1:18">
      <c r="A513" s="13"/>
      <c r="B513" s="14"/>
      <c r="C513" s="15"/>
      <c r="D513" s="16"/>
      <c r="E513" s="16"/>
      <c r="F513" s="16"/>
      <c r="G513" s="14"/>
      <c r="H513" s="17" t="str">
        <f t="shared" si="56"/>
        <v/>
      </c>
      <c r="I513" s="18" t="str">
        <f>IF(OR(A513="",B513=""),"",IFERROR(LOOKUP(2,1/(单次交易!$A$2:$A$201=A513),单次交易!$H$2:$H$201),0)+SUMIFS($G$2:$G$1001,$A$2:$A$1001,A513,$B$2:$B$1001,"&lt;"&amp;B513))</f>
        <v/>
      </c>
      <c r="J513" s="17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17" t="str">
        <f t="shared" si="57"/>
        <v/>
      </c>
      <c r="L513" s="18" t="str">
        <f t="shared" si="58"/>
        <v/>
      </c>
      <c r="M513" s="18" t="str">
        <f t="shared" si="59"/>
        <v/>
      </c>
      <c r="N513" s="18" t="str">
        <f t="shared" si="60"/>
        <v/>
      </c>
      <c r="O513" s="18" t="str">
        <f t="shared" si="61"/>
        <v/>
      </c>
      <c r="P513" s="17" t="str">
        <f t="shared" si="62"/>
        <v/>
      </c>
      <c r="Q513" s="17" t="str">
        <f t="shared" si="63"/>
        <v/>
      </c>
      <c r="R513" s="19" t="str">
        <f ca="1">IF(A513="","",IF(COUNTIF(_TradeIds,A513)=0,"违规：交易编号不存在",IF(OR(B513="",B513&lt;1,B513&gt;5,B513&lt;&gt;INT(B513)),"违规：加仓序号须为1到5的整数",IF(COUNTIFS($A$2:$A$1001,A513,$B$2:$B$1001,B513)&gt;1,"违规：同一交易的加仓序号重复",IF(OR(D513="",E513="",F513=""),"计划不完整：请填写加仓价、新止损价和风险预算",IF(OR(D513&lt;=0,E513&lt;=0,F513&lt;=0,D513&lt;=E513),"违规：加仓价必须高于新止损价，金额须大于0",IF(AND(B513&gt;1,COUNTIFS($A$2:$A$1001,A513,$B$2:$B$1001,B513-1,$G$2:$G$1001,"&gt;0")=0),"违规：须先完成上一次加仓",IF(AND(B513&gt;1,E513&lt;SUMIFS($E$2:$E$1001,$A$2:$A$1001,A513,$B$2:$B$1001,B513-1)),"违规：新止损价不得低于上一次",IF(AND(B513&gt;1,F513&gt;SUMIFS($F$2:$F$1001,$A$2:$A$1001,A513,$B$2:$B$1001,B513-1)),"违规：风险预算须逐次不增加",IF(OR(_LockStatus="已锁仓",_LockStatus="解锁信息不完整"),"违规：锁仓期间禁止加仓",IF(G513="","计划可执行：建议股数见N列",IF(OR(G513&lt;=0,G513&lt;&gt;INT(G513),MOD(G513,100)&lt;&gt;0),"违规：实际股数须为100股整数倍",IF(G513&gt;N513,"违规：实际股数超过风险或金字塔上限",IF(AND(B513&gt;1,G513&gt;SUMIFS($G$2:$G$1001,$A$2:$A$1001,A513,$B$2:$B$1001,B513-1)),"违规：加仓股数须逐次不增加",IF(Q513&gt;F513,"违规：止损风险超过本次预算","通过")))))))))))))))</f>
        <v/>
      </c>
    </row>
    <row r="514" ht="17" spans="1:18">
      <c r="A514" s="13"/>
      <c r="B514" s="14"/>
      <c r="C514" s="15"/>
      <c r="D514" s="16"/>
      <c r="E514" s="16"/>
      <c r="F514" s="16"/>
      <c r="G514" s="14"/>
      <c r="H514" s="17" t="str">
        <f t="shared" ref="H514:H577" si="64">IF(OR(A514="",D514="",G514=""),"",D514*G514)</f>
        <v/>
      </c>
      <c r="I514" s="18" t="str">
        <f>IF(OR(A514="",B514=""),"",IFERROR(LOOKUP(2,1/(单次交易!$A$2:$A$201=A514),单次交易!$H$2:$H$201),0)+SUMIFS($G$2:$G$1001,$A$2:$A$1001,A514,$B$2:$B$1001,"&lt;"&amp;B514))</f>
        <v/>
      </c>
      <c r="J514" s="17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17" t="str">
        <f t="shared" ref="K514:K577" si="65">IF(OR(E514="",I514="",J514=""),"",MAX(E514*I514-J514,0))</f>
        <v/>
      </c>
      <c r="L514" s="18" t="str">
        <f t="shared" ref="L514:L577" si="66">IF(OR(D514="",E514="",F514="",D514&lt;=E514),"",FLOOR((F514+K514)/(D514-E514),100))</f>
        <v/>
      </c>
      <c r="M514" s="18" t="str">
        <f t="shared" ref="M514:M577" si="67">IF(OR(A514="",B514="",L514=""),"",IF(B514=1,L514,IFERROR(SUMIFS($G$2:$G$1001,$A$2:$A$1001,A514,$B$2:$B$1001,B514-1),0)))</f>
        <v/>
      </c>
      <c r="N514" s="18" t="str">
        <f t="shared" ref="N514:N577" si="68">IF(OR(L514="",M514=""),"",MIN(L514,M514))</f>
        <v/>
      </c>
      <c r="O514" s="18" t="str">
        <f t="shared" ref="O514:O577" si="69">IF(OR(I514="",G514=""),"",I514+G514)</f>
        <v/>
      </c>
      <c r="P514" s="17" t="str">
        <f t="shared" ref="P514:P577" si="70">IF(OR(O514="",O514=0),"",(J514+H514)/O514)</f>
        <v/>
      </c>
      <c r="Q514" s="17" t="str">
        <f t="shared" ref="Q514:Q577" si="71">IF(OR(O514="",E514=""),"",MAX(J514+H514-E514*O514,0))</f>
        <v/>
      </c>
      <c r="R514" s="19" t="str">
        <f ca="1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ht="17" spans="1:18">
      <c r="A515" s="13"/>
      <c r="B515" s="14"/>
      <c r="C515" s="15"/>
      <c r="D515" s="16"/>
      <c r="E515" s="16"/>
      <c r="F515" s="16"/>
      <c r="G515" s="14"/>
      <c r="H515" s="17" t="str">
        <f t="shared" si="64"/>
        <v/>
      </c>
      <c r="I515" s="18" t="str">
        <f>IF(OR(A515="",B515=""),"",IFERROR(LOOKUP(2,1/(单次交易!$A$2:$A$201=A515),单次交易!$H$2:$H$201),0)+SUMIFS($G$2:$G$1001,$A$2:$A$1001,A515,$B$2:$B$1001,"&lt;"&amp;B515))</f>
        <v/>
      </c>
      <c r="J515" s="17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17" t="str">
        <f t="shared" si="65"/>
        <v/>
      </c>
      <c r="L515" s="18" t="str">
        <f t="shared" si="66"/>
        <v/>
      </c>
      <c r="M515" s="18" t="str">
        <f t="shared" si="67"/>
        <v/>
      </c>
      <c r="N515" s="18" t="str">
        <f t="shared" si="68"/>
        <v/>
      </c>
      <c r="O515" s="18" t="str">
        <f t="shared" si="69"/>
        <v/>
      </c>
      <c r="P515" s="17" t="str">
        <f t="shared" si="70"/>
        <v/>
      </c>
      <c r="Q515" s="17" t="str">
        <f t="shared" si="71"/>
        <v/>
      </c>
      <c r="R515" s="19" t="str">
        <f ca="1">IF(A515="","",IF(COUNTIF(_TradeIds,A515)=0,"违规：交易编号不存在",IF(OR(B515="",B515&lt;1,B515&gt;5,B515&lt;&gt;INT(B515)),"违规：加仓序号须为1到5的整数",IF(COUNTIFS($A$2:$A$1001,A515,$B$2:$B$1001,B515)&gt;1,"违规：同一交易的加仓序号重复",IF(OR(D515="",E515="",F515=""),"计划不完整：请填写加仓价、新止损价和风险预算",IF(OR(D515&lt;=0,E515&lt;=0,F515&lt;=0,D515&lt;=E515),"违规：加仓价必须高于新止损价，金额须大于0",IF(AND(B515&gt;1,COUNTIFS($A$2:$A$1001,A515,$B$2:$B$1001,B515-1,$G$2:$G$1001,"&gt;0")=0),"违规：须先完成上一次加仓",IF(AND(B515&gt;1,E515&lt;SUMIFS($E$2:$E$1001,$A$2:$A$1001,A515,$B$2:$B$1001,B515-1)),"违规：新止损价不得低于上一次",IF(AND(B515&gt;1,F515&gt;SUMIFS($F$2:$F$1001,$A$2:$A$1001,A515,$B$2:$B$1001,B515-1)),"违规：风险预算须逐次不增加",IF(OR(_LockStatus="已锁仓",_LockStatus="解锁信息不完整"),"违规：锁仓期间禁止加仓",IF(G515="","计划可执行：建议股数见N列",IF(OR(G515&lt;=0,G515&lt;&gt;INT(G515),MOD(G515,100)&lt;&gt;0),"违规：实际股数须为100股整数倍",IF(G515&gt;N515,"违规：实际股数超过风险或金字塔上限",IF(AND(B515&gt;1,G515&gt;SUMIFS($G$2:$G$1001,$A$2:$A$1001,A515,$B$2:$B$1001,B515-1)),"违规：加仓股数须逐次不增加",IF(Q515&gt;F515,"违规：止损风险超过本次预算","通过")))))))))))))))</f>
        <v/>
      </c>
    </row>
    <row r="516" ht="17" spans="1:18">
      <c r="A516" s="13"/>
      <c r="B516" s="14"/>
      <c r="C516" s="15"/>
      <c r="D516" s="16"/>
      <c r="E516" s="16"/>
      <c r="F516" s="16"/>
      <c r="G516" s="14"/>
      <c r="H516" s="17" t="str">
        <f t="shared" si="64"/>
        <v/>
      </c>
      <c r="I516" s="18" t="str">
        <f>IF(OR(A516="",B516=""),"",IFERROR(LOOKUP(2,1/(单次交易!$A$2:$A$201=A516),单次交易!$H$2:$H$201),0)+SUMIFS($G$2:$G$1001,$A$2:$A$1001,A516,$B$2:$B$1001,"&lt;"&amp;B516))</f>
        <v/>
      </c>
      <c r="J516" s="17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17" t="str">
        <f t="shared" si="65"/>
        <v/>
      </c>
      <c r="L516" s="18" t="str">
        <f t="shared" si="66"/>
        <v/>
      </c>
      <c r="M516" s="18" t="str">
        <f t="shared" si="67"/>
        <v/>
      </c>
      <c r="N516" s="18" t="str">
        <f t="shared" si="68"/>
        <v/>
      </c>
      <c r="O516" s="18" t="str">
        <f t="shared" si="69"/>
        <v/>
      </c>
      <c r="P516" s="17" t="str">
        <f t="shared" si="70"/>
        <v/>
      </c>
      <c r="Q516" s="17" t="str">
        <f t="shared" si="71"/>
        <v/>
      </c>
      <c r="R516" s="19" t="str">
        <f ca="1">IF(A516="","",IF(COUNTIF(_TradeIds,A516)=0,"违规：交易编号不存在",IF(OR(B516="",B516&lt;1,B516&gt;5,B516&lt;&gt;INT(B516)),"违规：加仓序号须为1到5的整数",IF(COUNTIFS($A$2:$A$1001,A516,$B$2:$B$1001,B516)&gt;1,"违规：同一交易的加仓序号重复",IF(OR(D516="",E516="",F516=""),"计划不完整：请填写加仓价、新止损价和风险预算",IF(OR(D516&lt;=0,E516&lt;=0,F516&lt;=0,D516&lt;=E516),"违规：加仓价必须高于新止损价，金额须大于0",IF(AND(B516&gt;1,COUNTIFS($A$2:$A$1001,A516,$B$2:$B$1001,B516-1,$G$2:$G$1001,"&gt;0")=0),"违规：须先完成上一次加仓",IF(AND(B516&gt;1,E516&lt;SUMIFS($E$2:$E$1001,$A$2:$A$1001,A516,$B$2:$B$1001,B516-1)),"违规：新止损价不得低于上一次",IF(AND(B516&gt;1,F516&gt;SUMIFS($F$2:$F$1001,$A$2:$A$1001,A516,$B$2:$B$1001,B516-1)),"违规：风险预算须逐次不增加",IF(OR(_LockStatus="已锁仓",_LockStatus="解锁信息不完整"),"违规：锁仓期间禁止加仓",IF(G516="","计划可执行：建议股数见N列",IF(OR(G516&lt;=0,G516&lt;&gt;INT(G516),MOD(G516,100)&lt;&gt;0),"违规：实际股数须为100股整数倍",IF(G516&gt;N516,"违规：实际股数超过风险或金字塔上限",IF(AND(B516&gt;1,G516&gt;SUMIFS($G$2:$G$1001,$A$2:$A$1001,A516,$B$2:$B$1001,B516-1)),"违规：加仓股数须逐次不增加",IF(Q516&gt;F516,"违规：止损风险超过本次预算","通过")))))))))))))))</f>
        <v/>
      </c>
    </row>
    <row r="517" ht="17" spans="1:18">
      <c r="A517" s="13"/>
      <c r="B517" s="14"/>
      <c r="C517" s="15"/>
      <c r="D517" s="16"/>
      <c r="E517" s="16"/>
      <c r="F517" s="16"/>
      <c r="G517" s="14"/>
      <c r="H517" s="17" t="str">
        <f t="shared" si="64"/>
        <v/>
      </c>
      <c r="I517" s="18" t="str">
        <f>IF(OR(A517="",B517=""),"",IFERROR(LOOKUP(2,1/(单次交易!$A$2:$A$201=A517),单次交易!$H$2:$H$201),0)+SUMIFS($G$2:$G$1001,$A$2:$A$1001,A517,$B$2:$B$1001,"&lt;"&amp;B517))</f>
        <v/>
      </c>
      <c r="J517" s="17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17" t="str">
        <f t="shared" si="65"/>
        <v/>
      </c>
      <c r="L517" s="18" t="str">
        <f t="shared" si="66"/>
        <v/>
      </c>
      <c r="M517" s="18" t="str">
        <f t="shared" si="67"/>
        <v/>
      </c>
      <c r="N517" s="18" t="str">
        <f t="shared" si="68"/>
        <v/>
      </c>
      <c r="O517" s="18" t="str">
        <f t="shared" si="69"/>
        <v/>
      </c>
      <c r="P517" s="17" t="str">
        <f t="shared" si="70"/>
        <v/>
      </c>
      <c r="Q517" s="17" t="str">
        <f t="shared" si="71"/>
        <v/>
      </c>
      <c r="R517" s="19" t="str">
        <f ca="1">IF(A517="","",IF(COUNTIF(_TradeIds,A517)=0,"违规：交易编号不存在",IF(OR(B517="",B517&lt;1,B517&gt;5,B517&lt;&gt;INT(B517)),"违规：加仓序号须为1到5的整数",IF(COUNTIFS($A$2:$A$1001,A517,$B$2:$B$1001,B517)&gt;1,"违规：同一交易的加仓序号重复",IF(OR(D517="",E517="",F517=""),"计划不完整：请填写加仓价、新止损价和风险预算",IF(OR(D517&lt;=0,E517&lt;=0,F517&lt;=0,D517&lt;=E517),"违规：加仓价必须高于新止损价，金额须大于0",IF(AND(B517&gt;1,COUNTIFS($A$2:$A$1001,A517,$B$2:$B$1001,B517-1,$G$2:$G$1001,"&gt;0")=0),"违规：须先完成上一次加仓",IF(AND(B517&gt;1,E517&lt;SUMIFS($E$2:$E$1001,$A$2:$A$1001,A517,$B$2:$B$1001,B517-1)),"违规：新止损价不得低于上一次",IF(AND(B517&gt;1,F517&gt;SUMIFS($F$2:$F$1001,$A$2:$A$1001,A517,$B$2:$B$1001,B517-1)),"违规：风险预算须逐次不增加",IF(OR(_LockStatus="已锁仓",_LockStatus="解锁信息不完整"),"违规：锁仓期间禁止加仓",IF(G517="","计划可执行：建议股数见N列",IF(OR(G517&lt;=0,G517&lt;&gt;INT(G517),MOD(G517,100)&lt;&gt;0),"违规：实际股数须为100股整数倍",IF(G517&gt;N517,"违规：实际股数超过风险或金字塔上限",IF(AND(B517&gt;1,G517&gt;SUMIFS($G$2:$G$1001,$A$2:$A$1001,A517,$B$2:$B$1001,B517-1)),"违规：加仓股数须逐次不增加",IF(Q517&gt;F517,"违规：止损风险超过本次预算","通过")))))))))))))))</f>
        <v/>
      </c>
    </row>
    <row r="518" ht="17" spans="1:18">
      <c r="A518" s="13"/>
      <c r="B518" s="14"/>
      <c r="C518" s="15"/>
      <c r="D518" s="16"/>
      <c r="E518" s="16"/>
      <c r="F518" s="16"/>
      <c r="G518" s="14"/>
      <c r="H518" s="17" t="str">
        <f t="shared" si="64"/>
        <v/>
      </c>
      <c r="I518" s="18" t="str">
        <f>IF(OR(A518="",B518=""),"",IFERROR(LOOKUP(2,1/(单次交易!$A$2:$A$201=A518),单次交易!$H$2:$H$201),0)+SUMIFS($G$2:$G$1001,$A$2:$A$1001,A518,$B$2:$B$1001,"&lt;"&amp;B518))</f>
        <v/>
      </c>
      <c r="J518" s="17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17" t="str">
        <f t="shared" si="65"/>
        <v/>
      </c>
      <c r="L518" s="18" t="str">
        <f t="shared" si="66"/>
        <v/>
      </c>
      <c r="M518" s="18" t="str">
        <f t="shared" si="67"/>
        <v/>
      </c>
      <c r="N518" s="18" t="str">
        <f t="shared" si="68"/>
        <v/>
      </c>
      <c r="O518" s="18" t="str">
        <f t="shared" si="69"/>
        <v/>
      </c>
      <c r="P518" s="17" t="str">
        <f t="shared" si="70"/>
        <v/>
      </c>
      <c r="Q518" s="17" t="str">
        <f t="shared" si="71"/>
        <v/>
      </c>
      <c r="R518" s="19" t="str">
        <f ca="1">IF(A518="","",IF(COUNTIF(_TradeIds,A518)=0,"违规：交易编号不存在",IF(OR(B518="",B518&lt;1,B518&gt;5,B518&lt;&gt;INT(B518)),"违规：加仓序号须为1到5的整数",IF(COUNTIFS($A$2:$A$1001,A518,$B$2:$B$1001,B518)&gt;1,"违规：同一交易的加仓序号重复",IF(OR(D518="",E518="",F518=""),"计划不完整：请填写加仓价、新止损价和风险预算",IF(OR(D518&lt;=0,E518&lt;=0,F518&lt;=0,D518&lt;=E518),"违规：加仓价必须高于新止损价，金额须大于0",IF(AND(B518&gt;1,COUNTIFS($A$2:$A$1001,A518,$B$2:$B$1001,B518-1,$G$2:$G$1001,"&gt;0")=0),"违规：须先完成上一次加仓",IF(AND(B518&gt;1,E518&lt;SUMIFS($E$2:$E$1001,$A$2:$A$1001,A518,$B$2:$B$1001,B518-1)),"违规：新止损价不得低于上一次",IF(AND(B518&gt;1,F518&gt;SUMIFS($F$2:$F$1001,$A$2:$A$1001,A518,$B$2:$B$1001,B518-1)),"违规：风险预算须逐次不增加",IF(OR(_LockStatus="已锁仓",_LockStatus="解锁信息不完整"),"违规：锁仓期间禁止加仓",IF(G518="","计划可执行：建议股数见N列",IF(OR(G518&lt;=0,G518&lt;&gt;INT(G518),MOD(G518,100)&lt;&gt;0),"违规：实际股数须为100股整数倍",IF(G518&gt;N518,"违规：实际股数超过风险或金字塔上限",IF(AND(B518&gt;1,G518&gt;SUMIFS($G$2:$G$1001,$A$2:$A$1001,A518,$B$2:$B$1001,B518-1)),"违规：加仓股数须逐次不增加",IF(Q518&gt;F518,"违规：止损风险超过本次预算","通过")))))))))))))))</f>
        <v/>
      </c>
    </row>
    <row r="519" ht="17" spans="1:18">
      <c r="A519" s="13"/>
      <c r="B519" s="14"/>
      <c r="C519" s="15"/>
      <c r="D519" s="16"/>
      <c r="E519" s="16"/>
      <c r="F519" s="16"/>
      <c r="G519" s="14"/>
      <c r="H519" s="17" t="str">
        <f t="shared" si="64"/>
        <v/>
      </c>
      <c r="I519" s="18" t="str">
        <f>IF(OR(A519="",B519=""),"",IFERROR(LOOKUP(2,1/(单次交易!$A$2:$A$201=A519),单次交易!$H$2:$H$201),0)+SUMIFS($G$2:$G$1001,$A$2:$A$1001,A519,$B$2:$B$1001,"&lt;"&amp;B519))</f>
        <v/>
      </c>
      <c r="J519" s="17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17" t="str">
        <f t="shared" si="65"/>
        <v/>
      </c>
      <c r="L519" s="18" t="str">
        <f t="shared" si="66"/>
        <v/>
      </c>
      <c r="M519" s="18" t="str">
        <f t="shared" si="67"/>
        <v/>
      </c>
      <c r="N519" s="18" t="str">
        <f t="shared" si="68"/>
        <v/>
      </c>
      <c r="O519" s="18" t="str">
        <f t="shared" si="69"/>
        <v/>
      </c>
      <c r="P519" s="17" t="str">
        <f t="shared" si="70"/>
        <v/>
      </c>
      <c r="Q519" s="17" t="str">
        <f t="shared" si="71"/>
        <v/>
      </c>
      <c r="R519" s="19" t="str">
        <f ca="1">IF(A519="","",IF(COUNTIF(_TradeIds,A519)=0,"违规：交易编号不存在",IF(OR(B519="",B519&lt;1,B519&gt;5,B519&lt;&gt;INT(B519)),"违规：加仓序号须为1到5的整数",IF(COUNTIFS($A$2:$A$1001,A519,$B$2:$B$1001,B519)&gt;1,"违规：同一交易的加仓序号重复",IF(OR(D519="",E519="",F519=""),"计划不完整：请填写加仓价、新止损价和风险预算",IF(OR(D519&lt;=0,E519&lt;=0,F519&lt;=0,D519&lt;=E519),"违规：加仓价必须高于新止损价，金额须大于0",IF(AND(B519&gt;1,COUNTIFS($A$2:$A$1001,A519,$B$2:$B$1001,B519-1,$G$2:$G$1001,"&gt;0")=0),"违规：须先完成上一次加仓",IF(AND(B519&gt;1,E519&lt;SUMIFS($E$2:$E$1001,$A$2:$A$1001,A519,$B$2:$B$1001,B519-1)),"违规：新止损价不得低于上一次",IF(AND(B519&gt;1,F519&gt;SUMIFS($F$2:$F$1001,$A$2:$A$1001,A519,$B$2:$B$1001,B519-1)),"违规：风险预算须逐次不增加",IF(OR(_LockStatus="已锁仓",_LockStatus="解锁信息不完整"),"违规：锁仓期间禁止加仓",IF(G519="","计划可执行：建议股数见N列",IF(OR(G519&lt;=0,G519&lt;&gt;INT(G519),MOD(G519,100)&lt;&gt;0),"违规：实际股数须为100股整数倍",IF(G519&gt;N519,"违规：实际股数超过风险或金字塔上限",IF(AND(B519&gt;1,G519&gt;SUMIFS($G$2:$G$1001,$A$2:$A$1001,A519,$B$2:$B$1001,B519-1)),"违规：加仓股数须逐次不增加",IF(Q519&gt;F519,"违规：止损风险超过本次预算","通过")))))))))))))))</f>
        <v/>
      </c>
    </row>
    <row r="520" ht="17" spans="1:18">
      <c r="A520" s="13"/>
      <c r="B520" s="14"/>
      <c r="C520" s="15"/>
      <c r="D520" s="16"/>
      <c r="E520" s="16"/>
      <c r="F520" s="16"/>
      <c r="G520" s="14"/>
      <c r="H520" s="17" t="str">
        <f t="shared" si="64"/>
        <v/>
      </c>
      <c r="I520" s="18" t="str">
        <f>IF(OR(A520="",B520=""),"",IFERROR(LOOKUP(2,1/(单次交易!$A$2:$A$201=A520),单次交易!$H$2:$H$201),0)+SUMIFS($G$2:$G$1001,$A$2:$A$1001,A520,$B$2:$B$1001,"&lt;"&amp;B520))</f>
        <v/>
      </c>
      <c r="J520" s="17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17" t="str">
        <f t="shared" si="65"/>
        <v/>
      </c>
      <c r="L520" s="18" t="str">
        <f t="shared" si="66"/>
        <v/>
      </c>
      <c r="M520" s="18" t="str">
        <f t="shared" si="67"/>
        <v/>
      </c>
      <c r="N520" s="18" t="str">
        <f t="shared" si="68"/>
        <v/>
      </c>
      <c r="O520" s="18" t="str">
        <f t="shared" si="69"/>
        <v/>
      </c>
      <c r="P520" s="17" t="str">
        <f t="shared" si="70"/>
        <v/>
      </c>
      <c r="Q520" s="17" t="str">
        <f t="shared" si="71"/>
        <v/>
      </c>
      <c r="R520" s="19" t="str">
        <f ca="1">IF(A520="","",IF(COUNTIF(_TradeIds,A520)=0,"违规：交易编号不存在",IF(OR(B520="",B520&lt;1,B520&gt;5,B520&lt;&gt;INT(B520)),"违规：加仓序号须为1到5的整数",IF(COUNTIFS($A$2:$A$1001,A520,$B$2:$B$1001,B520)&gt;1,"违规：同一交易的加仓序号重复",IF(OR(D520="",E520="",F520=""),"计划不完整：请填写加仓价、新止损价和风险预算",IF(OR(D520&lt;=0,E520&lt;=0,F520&lt;=0,D520&lt;=E520),"违规：加仓价必须高于新止损价，金额须大于0",IF(AND(B520&gt;1,COUNTIFS($A$2:$A$1001,A520,$B$2:$B$1001,B520-1,$G$2:$G$1001,"&gt;0")=0),"违规：须先完成上一次加仓",IF(AND(B520&gt;1,E520&lt;SUMIFS($E$2:$E$1001,$A$2:$A$1001,A520,$B$2:$B$1001,B520-1)),"违规：新止损价不得低于上一次",IF(AND(B520&gt;1,F520&gt;SUMIFS($F$2:$F$1001,$A$2:$A$1001,A520,$B$2:$B$1001,B520-1)),"违规：风险预算须逐次不增加",IF(OR(_LockStatus="已锁仓",_LockStatus="解锁信息不完整"),"违规：锁仓期间禁止加仓",IF(G520="","计划可执行：建议股数见N列",IF(OR(G520&lt;=0,G520&lt;&gt;INT(G520),MOD(G520,100)&lt;&gt;0),"违规：实际股数须为100股整数倍",IF(G520&gt;N520,"违规：实际股数超过风险或金字塔上限",IF(AND(B520&gt;1,G520&gt;SUMIFS($G$2:$G$1001,$A$2:$A$1001,A520,$B$2:$B$1001,B520-1)),"违规：加仓股数须逐次不增加",IF(Q520&gt;F520,"违规：止损风险超过本次预算","通过")))))))))))))))</f>
        <v/>
      </c>
    </row>
    <row r="521" ht="17" spans="1:18">
      <c r="A521" s="13"/>
      <c r="B521" s="14"/>
      <c r="C521" s="15"/>
      <c r="D521" s="16"/>
      <c r="E521" s="16"/>
      <c r="F521" s="16"/>
      <c r="G521" s="14"/>
      <c r="H521" s="17" t="str">
        <f t="shared" si="64"/>
        <v/>
      </c>
      <c r="I521" s="18" t="str">
        <f>IF(OR(A521="",B521=""),"",IFERROR(LOOKUP(2,1/(单次交易!$A$2:$A$201=A521),单次交易!$H$2:$H$201),0)+SUMIFS($G$2:$G$1001,$A$2:$A$1001,A521,$B$2:$B$1001,"&lt;"&amp;B521))</f>
        <v/>
      </c>
      <c r="J521" s="17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17" t="str">
        <f t="shared" si="65"/>
        <v/>
      </c>
      <c r="L521" s="18" t="str">
        <f t="shared" si="66"/>
        <v/>
      </c>
      <c r="M521" s="18" t="str">
        <f t="shared" si="67"/>
        <v/>
      </c>
      <c r="N521" s="18" t="str">
        <f t="shared" si="68"/>
        <v/>
      </c>
      <c r="O521" s="18" t="str">
        <f t="shared" si="69"/>
        <v/>
      </c>
      <c r="P521" s="17" t="str">
        <f t="shared" si="70"/>
        <v/>
      </c>
      <c r="Q521" s="17" t="str">
        <f t="shared" si="71"/>
        <v/>
      </c>
      <c r="R521" s="19" t="str">
        <f ca="1">IF(A521="","",IF(COUNTIF(_TradeIds,A521)=0,"违规：交易编号不存在",IF(OR(B521="",B521&lt;1,B521&gt;5,B521&lt;&gt;INT(B521)),"违规：加仓序号须为1到5的整数",IF(COUNTIFS($A$2:$A$1001,A521,$B$2:$B$1001,B521)&gt;1,"违规：同一交易的加仓序号重复",IF(OR(D521="",E521="",F521=""),"计划不完整：请填写加仓价、新止损价和风险预算",IF(OR(D521&lt;=0,E521&lt;=0,F521&lt;=0,D521&lt;=E521),"违规：加仓价必须高于新止损价，金额须大于0",IF(AND(B521&gt;1,COUNTIFS($A$2:$A$1001,A521,$B$2:$B$1001,B521-1,$G$2:$G$1001,"&gt;0")=0),"违规：须先完成上一次加仓",IF(AND(B521&gt;1,E521&lt;SUMIFS($E$2:$E$1001,$A$2:$A$1001,A521,$B$2:$B$1001,B521-1)),"违规：新止损价不得低于上一次",IF(AND(B521&gt;1,F521&gt;SUMIFS($F$2:$F$1001,$A$2:$A$1001,A521,$B$2:$B$1001,B521-1)),"违规：风险预算须逐次不增加",IF(OR(_LockStatus="已锁仓",_LockStatus="解锁信息不完整"),"违规：锁仓期间禁止加仓",IF(G521="","计划可执行：建议股数见N列",IF(OR(G521&lt;=0,G521&lt;&gt;INT(G521),MOD(G521,100)&lt;&gt;0),"违规：实际股数须为100股整数倍",IF(G521&gt;N521,"违规：实际股数超过风险或金字塔上限",IF(AND(B521&gt;1,G521&gt;SUMIFS($G$2:$G$1001,$A$2:$A$1001,A521,$B$2:$B$1001,B521-1)),"违规：加仓股数须逐次不增加",IF(Q521&gt;F521,"违规：止损风险超过本次预算","通过")))))))))))))))</f>
        <v/>
      </c>
    </row>
    <row r="522" ht="17" spans="1:18">
      <c r="A522" s="13"/>
      <c r="B522" s="14"/>
      <c r="C522" s="15"/>
      <c r="D522" s="16"/>
      <c r="E522" s="16"/>
      <c r="F522" s="16"/>
      <c r="G522" s="14"/>
      <c r="H522" s="17" t="str">
        <f t="shared" si="64"/>
        <v/>
      </c>
      <c r="I522" s="18" t="str">
        <f>IF(OR(A522="",B522=""),"",IFERROR(LOOKUP(2,1/(单次交易!$A$2:$A$201=A522),单次交易!$H$2:$H$201),0)+SUMIFS($G$2:$G$1001,$A$2:$A$1001,A522,$B$2:$B$1001,"&lt;"&amp;B522))</f>
        <v/>
      </c>
      <c r="J522" s="17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17" t="str">
        <f t="shared" si="65"/>
        <v/>
      </c>
      <c r="L522" s="18" t="str">
        <f t="shared" si="66"/>
        <v/>
      </c>
      <c r="M522" s="18" t="str">
        <f t="shared" si="67"/>
        <v/>
      </c>
      <c r="N522" s="18" t="str">
        <f t="shared" si="68"/>
        <v/>
      </c>
      <c r="O522" s="18" t="str">
        <f t="shared" si="69"/>
        <v/>
      </c>
      <c r="P522" s="17" t="str">
        <f t="shared" si="70"/>
        <v/>
      </c>
      <c r="Q522" s="17" t="str">
        <f t="shared" si="71"/>
        <v/>
      </c>
      <c r="R522" s="19" t="str">
        <f ca="1">IF(A522="","",IF(COUNTIF(_TradeIds,A522)=0,"违规：交易编号不存在",IF(OR(B522="",B522&lt;1,B522&gt;5,B522&lt;&gt;INT(B522)),"违规：加仓序号须为1到5的整数",IF(COUNTIFS($A$2:$A$1001,A522,$B$2:$B$1001,B522)&gt;1,"违规：同一交易的加仓序号重复",IF(OR(D522="",E522="",F522=""),"计划不完整：请填写加仓价、新止损价和风险预算",IF(OR(D522&lt;=0,E522&lt;=0,F522&lt;=0,D522&lt;=E522),"违规：加仓价必须高于新止损价，金额须大于0",IF(AND(B522&gt;1,COUNTIFS($A$2:$A$1001,A522,$B$2:$B$1001,B522-1,$G$2:$G$1001,"&gt;0")=0),"违规：须先完成上一次加仓",IF(AND(B522&gt;1,E522&lt;SUMIFS($E$2:$E$1001,$A$2:$A$1001,A522,$B$2:$B$1001,B522-1)),"违规：新止损价不得低于上一次",IF(AND(B522&gt;1,F522&gt;SUMIFS($F$2:$F$1001,$A$2:$A$1001,A522,$B$2:$B$1001,B522-1)),"违规：风险预算须逐次不增加",IF(OR(_LockStatus="已锁仓",_LockStatus="解锁信息不完整"),"违规：锁仓期间禁止加仓",IF(G522="","计划可执行：建议股数见N列",IF(OR(G522&lt;=0,G522&lt;&gt;INT(G522),MOD(G522,100)&lt;&gt;0),"违规：实际股数须为100股整数倍",IF(G522&gt;N522,"违规：实际股数超过风险或金字塔上限",IF(AND(B522&gt;1,G522&gt;SUMIFS($G$2:$G$1001,$A$2:$A$1001,A522,$B$2:$B$1001,B522-1)),"违规：加仓股数须逐次不增加",IF(Q522&gt;F522,"违规：止损风险超过本次预算","通过")))))))))))))))</f>
        <v/>
      </c>
    </row>
    <row r="523" ht="17" spans="1:18">
      <c r="A523" s="13"/>
      <c r="B523" s="14"/>
      <c r="C523" s="15"/>
      <c r="D523" s="16"/>
      <c r="E523" s="16"/>
      <c r="F523" s="16"/>
      <c r="G523" s="14"/>
      <c r="H523" s="17" t="str">
        <f t="shared" si="64"/>
        <v/>
      </c>
      <c r="I523" s="18" t="str">
        <f>IF(OR(A523="",B523=""),"",IFERROR(LOOKUP(2,1/(单次交易!$A$2:$A$201=A523),单次交易!$H$2:$H$201),0)+SUMIFS($G$2:$G$1001,$A$2:$A$1001,A523,$B$2:$B$1001,"&lt;"&amp;B523))</f>
        <v/>
      </c>
      <c r="J523" s="17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17" t="str">
        <f t="shared" si="65"/>
        <v/>
      </c>
      <c r="L523" s="18" t="str">
        <f t="shared" si="66"/>
        <v/>
      </c>
      <c r="M523" s="18" t="str">
        <f t="shared" si="67"/>
        <v/>
      </c>
      <c r="N523" s="18" t="str">
        <f t="shared" si="68"/>
        <v/>
      </c>
      <c r="O523" s="18" t="str">
        <f t="shared" si="69"/>
        <v/>
      </c>
      <c r="P523" s="17" t="str">
        <f t="shared" si="70"/>
        <v/>
      </c>
      <c r="Q523" s="17" t="str">
        <f t="shared" si="71"/>
        <v/>
      </c>
      <c r="R523" s="19" t="str">
        <f ca="1">IF(A523="","",IF(COUNTIF(_TradeIds,A523)=0,"违规：交易编号不存在",IF(OR(B523="",B523&lt;1,B523&gt;5,B523&lt;&gt;INT(B523)),"违规：加仓序号须为1到5的整数",IF(COUNTIFS($A$2:$A$1001,A523,$B$2:$B$1001,B523)&gt;1,"违规：同一交易的加仓序号重复",IF(OR(D523="",E523="",F523=""),"计划不完整：请填写加仓价、新止损价和风险预算",IF(OR(D523&lt;=0,E523&lt;=0,F523&lt;=0,D523&lt;=E523),"违规：加仓价必须高于新止损价，金额须大于0",IF(AND(B523&gt;1,COUNTIFS($A$2:$A$1001,A523,$B$2:$B$1001,B523-1,$G$2:$G$1001,"&gt;0")=0),"违规：须先完成上一次加仓",IF(AND(B523&gt;1,E523&lt;SUMIFS($E$2:$E$1001,$A$2:$A$1001,A523,$B$2:$B$1001,B523-1)),"违规：新止损价不得低于上一次",IF(AND(B523&gt;1,F523&gt;SUMIFS($F$2:$F$1001,$A$2:$A$1001,A523,$B$2:$B$1001,B523-1)),"违规：风险预算须逐次不增加",IF(OR(_LockStatus="已锁仓",_LockStatus="解锁信息不完整"),"违规：锁仓期间禁止加仓",IF(G523="","计划可执行：建议股数见N列",IF(OR(G523&lt;=0,G523&lt;&gt;INT(G523),MOD(G523,100)&lt;&gt;0),"违规：实际股数须为100股整数倍",IF(G523&gt;N523,"违规：实际股数超过风险或金字塔上限",IF(AND(B523&gt;1,G523&gt;SUMIFS($G$2:$G$1001,$A$2:$A$1001,A523,$B$2:$B$1001,B523-1)),"违规：加仓股数须逐次不增加",IF(Q523&gt;F523,"违规：止损风险超过本次预算","通过")))))))))))))))</f>
        <v/>
      </c>
    </row>
    <row r="524" ht="17" spans="1:18">
      <c r="A524" s="13"/>
      <c r="B524" s="14"/>
      <c r="C524" s="15"/>
      <c r="D524" s="16"/>
      <c r="E524" s="16"/>
      <c r="F524" s="16"/>
      <c r="G524" s="14"/>
      <c r="H524" s="17" t="str">
        <f t="shared" si="64"/>
        <v/>
      </c>
      <c r="I524" s="18" t="str">
        <f>IF(OR(A524="",B524=""),"",IFERROR(LOOKUP(2,1/(单次交易!$A$2:$A$201=A524),单次交易!$H$2:$H$201),0)+SUMIFS($G$2:$G$1001,$A$2:$A$1001,A524,$B$2:$B$1001,"&lt;"&amp;B524))</f>
        <v/>
      </c>
      <c r="J524" s="17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17" t="str">
        <f t="shared" si="65"/>
        <v/>
      </c>
      <c r="L524" s="18" t="str">
        <f t="shared" si="66"/>
        <v/>
      </c>
      <c r="M524" s="18" t="str">
        <f t="shared" si="67"/>
        <v/>
      </c>
      <c r="N524" s="18" t="str">
        <f t="shared" si="68"/>
        <v/>
      </c>
      <c r="O524" s="18" t="str">
        <f t="shared" si="69"/>
        <v/>
      </c>
      <c r="P524" s="17" t="str">
        <f t="shared" si="70"/>
        <v/>
      </c>
      <c r="Q524" s="17" t="str">
        <f t="shared" si="71"/>
        <v/>
      </c>
      <c r="R524" s="19" t="str">
        <f ca="1">IF(A524="","",IF(COUNTIF(_TradeIds,A524)=0,"违规：交易编号不存在",IF(OR(B524="",B524&lt;1,B524&gt;5,B524&lt;&gt;INT(B524)),"违规：加仓序号须为1到5的整数",IF(COUNTIFS($A$2:$A$1001,A524,$B$2:$B$1001,B524)&gt;1,"违规：同一交易的加仓序号重复",IF(OR(D524="",E524="",F524=""),"计划不完整：请填写加仓价、新止损价和风险预算",IF(OR(D524&lt;=0,E524&lt;=0,F524&lt;=0,D524&lt;=E524),"违规：加仓价必须高于新止损价，金额须大于0",IF(AND(B524&gt;1,COUNTIFS($A$2:$A$1001,A524,$B$2:$B$1001,B524-1,$G$2:$G$1001,"&gt;0")=0),"违规：须先完成上一次加仓",IF(AND(B524&gt;1,E524&lt;SUMIFS($E$2:$E$1001,$A$2:$A$1001,A524,$B$2:$B$1001,B524-1)),"违规：新止损价不得低于上一次",IF(AND(B524&gt;1,F524&gt;SUMIFS($F$2:$F$1001,$A$2:$A$1001,A524,$B$2:$B$1001,B524-1)),"违规：风险预算须逐次不增加",IF(OR(_LockStatus="已锁仓",_LockStatus="解锁信息不完整"),"违规：锁仓期间禁止加仓",IF(G524="","计划可执行：建议股数见N列",IF(OR(G524&lt;=0,G524&lt;&gt;INT(G524),MOD(G524,100)&lt;&gt;0),"违规：实际股数须为100股整数倍",IF(G524&gt;N524,"违规：实际股数超过风险或金字塔上限",IF(AND(B524&gt;1,G524&gt;SUMIFS($G$2:$G$1001,$A$2:$A$1001,A524,$B$2:$B$1001,B524-1)),"违规：加仓股数须逐次不增加",IF(Q524&gt;F524,"违规：止损风险超过本次预算","通过")))))))))))))))</f>
        <v/>
      </c>
    </row>
    <row r="525" ht="17" spans="1:18">
      <c r="A525" s="13"/>
      <c r="B525" s="14"/>
      <c r="C525" s="15"/>
      <c r="D525" s="16"/>
      <c r="E525" s="16"/>
      <c r="F525" s="16"/>
      <c r="G525" s="14"/>
      <c r="H525" s="17" t="str">
        <f t="shared" si="64"/>
        <v/>
      </c>
      <c r="I525" s="18" t="str">
        <f>IF(OR(A525="",B525=""),"",IFERROR(LOOKUP(2,1/(单次交易!$A$2:$A$201=A525),单次交易!$H$2:$H$201),0)+SUMIFS($G$2:$G$1001,$A$2:$A$1001,A525,$B$2:$B$1001,"&lt;"&amp;B525))</f>
        <v/>
      </c>
      <c r="J525" s="17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17" t="str">
        <f t="shared" si="65"/>
        <v/>
      </c>
      <c r="L525" s="18" t="str">
        <f t="shared" si="66"/>
        <v/>
      </c>
      <c r="M525" s="18" t="str">
        <f t="shared" si="67"/>
        <v/>
      </c>
      <c r="N525" s="18" t="str">
        <f t="shared" si="68"/>
        <v/>
      </c>
      <c r="O525" s="18" t="str">
        <f t="shared" si="69"/>
        <v/>
      </c>
      <c r="P525" s="17" t="str">
        <f t="shared" si="70"/>
        <v/>
      </c>
      <c r="Q525" s="17" t="str">
        <f t="shared" si="71"/>
        <v/>
      </c>
      <c r="R525" s="19" t="str">
        <f ca="1">IF(A525="","",IF(COUNTIF(_TradeIds,A525)=0,"违规：交易编号不存在",IF(OR(B525="",B525&lt;1,B525&gt;5,B525&lt;&gt;INT(B525)),"违规：加仓序号须为1到5的整数",IF(COUNTIFS($A$2:$A$1001,A525,$B$2:$B$1001,B525)&gt;1,"违规：同一交易的加仓序号重复",IF(OR(D525="",E525="",F525=""),"计划不完整：请填写加仓价、新止损价和风险预算",IF(OR(D525&lt;=0,E525&lt;=0,F525&lt;=0,D525&lt;=E525),"违规：加仓价必须高于新止损价，金额须大于0",IF(AND(B525&gt;1,COUNTIFS($A$2:$A$1001,A525,$B$2:$B$1001,B525-1,$G$2:$G$1001,"&gt;0")=0),"违规：须先完成上一次加仓",IF(AND(B525&gt;1,E525&lt;SUMIFS($E$2:$E$1001,$A$2:$A$1001,A525,$B$2:$B$1001,B525-1)),"违规：新止损价不得低于上一次",IF(AND(B525&gt;1,F525&gt;SUMIFS($F$2:$F$1001,$A$2:$A$1001,A525,$B$2:$B$1001,B525-1)),"违规：风险预算须逐次不增加",IF(OR(_LockStatus="已锁仓",_LockStatus="解锁信息不完整"),"违规：锁仓期间禁止加仓",IF(G525="","计划可执行：建议股数见N列",IF(OR(G525&lt;=0,G525&lt;&gt;INT(G525),MOD(G525,100)&lt;&gt;0),"违规：实际股数须为100股整数倍",IF(G525&gt;N525,"违规：实际股数超过风险或金字塔上限",IF(AND(B525&gt;1,G525&gt;SUMIFS($G$2:$G$1001,$A$2:$A$1001,A525,$B$2:$B$1001,B525-1)),"违规：加仓股数须逐次不增加",IF(Q525&gt;F525,"违规：止损风险超过本次预算","通过")))))))))))))))</f>
        <v/>
      </c>
    </row>
    <row r="526" ht="17" spans="1:18">
      <c r="A526" s="13"/>
      <c r="B526" s="14"/>
      <c r="C526" s="15"/>
      <c r="D526" s="16"/>
      <c r="E526" s="16"/>
      <c r="F526" s="16"/>
      <c r="G526" s="14"/>
      <c r="H526" s="17" t="str">
        <f t="shared" si="64"/>
        <v/>
      </c>
      <c r="I526" s="18" t="str">
        <f>IF(OR(A526="",B526=""),"",IFERROR(LOOKUP(2,1/(单次交易!$A$2:$A$201=A526),单次交易!$H$2:$H$201),0)+SUMIFS($G$2:$G$1001,$A$2:$A$1001,A526,$B$2:$B$1001,"&lt;"&amp;B526))</f>
        <v/>
      </c>
      <c r="J526" s="17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17" t="str">
        <f t="shared" si="65"/>
        <v/>
      </c>
      <c r="L526" s="18" t="str">
        <f t="shared" si="66"/>
        <v/>
      </c>
      <c r="M526" s="18" t="str">
        <f t="shared" si="67"/>
        <v/>
      </c>
      <c r="N526" s="18" t="str">
        <f t="shared" si="68"/>
        <v/>
      </c>
      <c r="O526" s="18" t="str">
        <f t="shared" si="69"/>
        <v/>
      </c>
      <c r="P526" s="17" t="str">
        <f t="shared" si="70"/>
        <v/>
      </c>
      <c r="Q526" s="17" t="str">
        <f t="shared" si="71"/>
        <v/>
      </c>
      <c r="R526" s="19" t="str">
        <f ca="1">IF(A526="","",IF(COUNTIF(_TradeIds,A526)=0,"违规：交易编号不存在",IF(OR(B526="",B526&lt;1,B526&gt;5,B526&lt;&gt;INT(B526)),"违规：加仓序号须为1到5的整数",IF(COUNTIFS($A$2:$A$1001,A526,$B$2:$B$1001,B526)&gt;1,"违规：同一交易的加仓序号重复",IF(OR(D526="",E526="",F526=""),"计划不完整：请填写加仓价、新止损价和风险预算",IF(OR(D526&lt;=0,E526&lt;=0,F526&lt;=0,D526&lt;=E526),"违规：加仓价必须高于新止损价，金额须大于0",IF(AND(B526&gt;1,COUNTIFS($A$2:$A$1001,A526,$B$2:$B$1001,B526-1,$G$2:$G$1001,"&gt;0")=0),"违规：须先完成上一次加仓",IF(AND(B526&gt;1,E526&lt;SUMIFS($E$2:$E$1001,$A$2:$A$1001,A526,$B$2:$B$1001,B526-1)),"违规：新止损价不得低于上一次",IF(AND(B526&gt;1,F526&gt;SUMIFS($F$2:$F$1001,$A$2:$A$1001,A526,$B$2:$B$1001,B526-1)),"违规：风险预算须逐次不增加",IF(OR(_LockStatus="已锁仓",_LockStatus="解锁信息不完整"),"违规：锁仓期间禁止加仓",IF(G526="","计划可执行：建议股数见N列",IF(OR(G526&lt;=0,G526&lt;&gt;INT(G526),MOD(G526,100)&lt;&gt;0),"违规：实际股数须为100股整数倍",IF(G526&gt;N526,"违规：实际股数超过风险或金字塔上限",IF(AND(B526&gt;1,G526&gt;SUMIFS($G$2:$G$1001,$A$2:$A$1001,A526,$B$2:$B$1001,B526-1)),"违规：加仓股数须逐次不增加",IF(Q526&gt;F526,"违规：止损风险超过本次预算","通过")))))))))))))))</f>
        <v/>
      </c>
    </row>
    <row r="527" ht="17" spans="1:18">
      <c r="A527" s="13"/>
      <c r="B527" s="14"/>
      <c r="C527" s="15"/>
      <c r="D527" s="16"/>
      <c r="E527" s="16"/>
      <c r="F527" s="16"/>
      <c r="G527" s="14"/>
      <c r="H527" s="17" t="str">
        <f t="shared" si="64"/>
        <v/>
      </c>
      <c r="I527" s="18" t="str">
        <f>IF(OR(A527="",B527=""),"",IFERROR(LOOKUP(2,1/(单次交易!$A$2:$A$201=A527),单次交易!$H$2:$H$201),0)+SUMIFS($G$2:$G$1001,$A$2:$A$1001,A527,$B$2:$B$1001,"&lt;"&amp;B527))</f>
        <v/>
      </c>
      <c r="J527" s="17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17" t="str">
        <f t="shared" si="65"/>
        <v/>
      </c>
      <c r="L527" s="18" t="str">
        <f t="shared" si="66"/>
        <v/>
      </c>
      <c r="M527" s="18" t="str">
        <f t="shared" si="67"/>
        <v/>
      </c>
      <c r="N527" s="18" t="str">
        <f t="shared" si="68"/>
        <v/>
      </c>
      <c r="O527" s="18" t="str">
        <f t="shared" si="69"/>
        <v/>
      </c>
      <c r="P527" s="17" t="str">
        <f t="shared" si="70"/>
        <v/>
      </c>
      <c r="Q527" s="17" t="str">
        <f t="shared" si="71"/>
        <v/>
      </c>
      <c r="R527" s="19" t="str">
        <f ca="1">IF(A527="","",IF(COUNTIF(_TradeIds,A527)=0,"违规：交易编号不存在",IF(OR(B527="",B527&lt;1,B527&gt;5,B527&lt;&gt;INT(B527)),"违规：加仓序号须为1到5的整数",IF(COUNTIFS($A$2:$A$1001,A527,$B$2:$B$1001,B527)&gt;1,"违规：同一交易的加仓序号重复",IF(OR(D527="",E527="",F527=""),"计划不完整：请填写加仓价、新止损价和风险预算",IF(OR(D527&lt;=0,E527&lt;=0,F527&lt;=0,D527&lt;=E527),"违规：加仓价必须高于新止损价，金额须大于0",IF(AND(B527&gt;1,COUNTIFS($A$2:$A$1001,A527,$B$2:$B$1001,B527-1,$G$2:$G$1001,"&gt;0")=0),"违规：须先完成上一次加仓",IF(AND(B527&gt;1,E527&lt;SUMIFS($E$2:$E$1001,$A$2:$A$1001,A527,$B$2:$B$1001,B527-1)),"违规：新止损价不得低于上一次",IF(AND(B527&gt;1,F527&gt;SUMIFS($F$2:$F$1001,$A$2:$A$1001,A527,$B$2:$B$1001,B527-1)),"违规：风险预算须逐次不增加",IF(OR(_LockStatus="已锁仓",_LockStatus="解锁信息不完整"),"违规：锁仓期间禁止加仓",IF(G527="","计划可执行：建议股数见N列",IF(OR(G527&lt;=0,G527&lt;&gt;INT(G527),MOD(G527,100)&lt;&gt;0),"违规：实际股数须为100股整数倍",IF(G527&gt;N527,"违规：实际股数超过风险或金字塔上限",IF(AND(B527&gt;1,G527&gt;SUMIFS($G$2:$G$1001,$A$2:$A$1001,A527,$B$2:$B$1001,B527-1)),"违规：加仓股数须逐次不增加",IF(Q527&gt;F527,"违规：止损风险超过本次预算","通过")))))))))))))))</f>
        <v/>
      </c>
    </row>
    <row r="528" ht="17" spans="1:18">
      <c r="A528" s="13"/>
      <c r="B528" s="14"/>
      <c r="C528" s="15"/>
      <c r="D528" s="16"/>
      <c r="E528" s="16"/>
      <c r="F528" s="16"/>
      <c r="G528" s="14"/>
      <c r="H528" s="17" t="str">
        <f t="shared" si="64"/>
        <v/>
      </c>
      <c r="I528" s="18" t="str">
        <f>IF(OR(A528="",B528=""),"",IFERROR(LOOKUP(2,1/(单次交易!$A$2:$A$201=A528),单次交易!$H$2:$H$201),0)+SUMIFS($G$2:$G$1001,$A$2:$A$1001,A528,$B$2:$B$1001,"&lt;"&amp;B528))</f>
        <v/>
      </c>
      <c r="J528" s="17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17" t="str">
        <f t="shared" si="65"/>
        <v/>
      </c>
      <c r="L528" s="18" t="str">
        <f t="shared" si="66"/>
        <v/>
      </c>
      <c r="M528" s="18" t="str">
        <f t="shared" si="67"/>
        <v/>
      </c>
      <c r="N528" s="18" t="str">
        <f t="shared" si="68"/>
        <v/>
      </c>
      <c r="O528" s="18" t="str">
        <f t="shared" si="69"/>
        <v/>
      </c>
      <c r="P528" s="17" t="str">
        <f t="shared" si="70"/>
        <v/>
      </c>
      <c r="Q528" s="17" t="str">
        <f t="shared" si="71"/>
        <v/>
      </c>
      <c r="R528" s="19" t="str">
        <f ca="1">IF(A528="","",IF(COUNTIF(_TradeIds,A528)=0,"违规：交易编号不存在",IF(OR(B528="",B528&lt;1,B528&gt;5,B528&lt;&gt;INT(B528)),"违规：加仓序号须为1到5的整数",IF(COUNTIFS($A$2:$A$1001,A528,$B$2:$B$1001,B528)&gt;1,"违规：同一交易的加仓序号重复",IF(OR(D528="",E528="",F528=""),"计划不完整：请填写加仓价、新止损价和风险预算",IF(OR(D528&lt;=0,E528&lt;=0,F528&lt;=0,D528&lt;=E528),"违规：加仓价必须高于新止损价，金额须大于0",IF(AND(B528&gt;1,COUNTIFS($A$2:$A$1001,A528,$B$2:$B$1001,B528-1,$G$2:$G$1001,"&gt;0")=0),"违规：须先完成上一次加仓",IF(AND(B528&gt;1,E528&lt;SUMIFS($E$2:$E$1001,$A$2:$A$1001,A528,$B$2:$B$1001,B528-1)),"违规：新止损价不得低于上一次",IF(AND(B528&gt;1,F528&gt;SUMIFS($F$2:$F$1001,$A$2:$A$1001,A528,$B$2:$B$1001,B528-1)),"违规：风险预算须逐次不增加",IF(OR(_LockStatus="已锁仓",_LockStatus="解锁信息不完整"),"违规：锁仓期间禁止加仓",IF(G528="","计划可执行：建议股数见N列",IF(OR(G528&lt;=0,G528&lt;&gt;INT(G528),MOD(G528,100)&lt;&gt;0),"违规：实际股数须为100股整数倍",IF(G528&gt;N528,"违规：实际股数超过风险或金字塔上限",IF(AND(B528&gt;1,G528&gt;SUMIFS($G$2:$G$1001,$A$2:$A$1001,A528,$B$2:$B$1001,B528-1)),"违规：加仓股数须逐次不增加",IF(Q528&gt;F528,"违规：止损风险超过本次预算","通过")))))))))))))))</f>
        <v/>
      </c>
    </row>
    <row r="529" ht="17" spans="1:18">
      <c r="A529" s="13"/>
      <c r="B529" s="14"/>
      <c r="C529" s="15"/>
      <c r="D529" s="16"/>
      <c r="E529" s="16"/>
      <c r="F529" s="16"/>
      <c r="G529" s="14"/>
      <c r="H529" s="17" t="str">
        <f t="shared" si="64"/>
        <v/>
      </c>
      <c r="I529" s="18" t="str">
        <f>IF(OR(A529="",B529=""),"",IFERROR(LOOKUP(2,1/(单次交易!$A$2:$A$201=A529),单次交易!$H$2:$H$201),0)+SUMIFS($G$2:$G$1001,$A$2:$A$1001,A529,$B$2:$B$1001,"&lt;"&amp;B529))</f>
        <v/>
      </c>
      <c r="J529" s="17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17" t="str">
        <f t="shared" si="65"/>
        <v/>
      </c>
      <c r="L529" s="18" t="str">
        <f t="shared" si="66"/>
        <v/>
      </c>
      <c r="M529" s="18" t="str">
        <f t="shared" si="67"/>
        <v/>
      </c>
      <c r="N529" s="18" t="str">
        <f t="shared" si="68"/>
        <v/>
      </c>
      <c r="O529" s="18" t="str">
        <f t="shared" si="69"/>
        <v/>
      </c>
      <c r="P529" s="17" t="str">
        <f t="shared" si="70"/>
        <v/>
      </c>
      <c r="Q529" s="17" t="str">
        <f t="shared" si="71"/>
        <v/>
      </c>
      <c r="R529" s="19" t="str">
        <f ca="1">IF(A529="","",IF(COUNTIF(_TradeIds,A529)=0,"违规：交易编号不存在",IF(OR(B529="",B529&lt;1,B529&gt;5,B529&lt;&gt;INT(B529)),"违规：加仓序号须为1到5的整数",IF(COUNTIFS($A$2:$A$1001,A529,$B$2:$B$1001,B529)&gt;1,"违规：同一交易的加仓序号重复",IF(OR(D529="",E529="",F529=""),"计划不完整：请填写加仓价、新止损价和风险预算",IF(OR(D529&lt;=0,E529&lt;=0,F529&lt;=0,D529&lt;=E529),"违规：加仓价必须高于新止损价，金额须大于0",IF(AND(B529&gt;1,COUNTIFS($A$2:$A$1001,A529,$B$2:$B$1001,B529-1,$G$2:$G$1001,"&gt;0")=0),"违规：须先完成上一次加仓",IF(AND(B529&gt;1,E529&lt;SUMIFS($E$2:$E$1001,$A$2:$A$1001,A529,$B$2:$B$1001,B529-1)),"违规：新止损价不得低于上一次",IF(AND(B529&gt;1,F529&gt;SUMIFS($F$2:$F$1001,$A$2:$A$1001,A529,$B$2:$B$1001,B529-1)),"违规：风险预算须逐次不增加",IF(OR(_LockStatus="已锁仓",_LockStatus="解锁信息不完整"),"违规：锁仓期间禁止加仓",IF(G529="","计划可执行：建议股数见N列",IF(OR(G529&lt;=0,G529&lt;&gt;INT(G529),MOD(G529,100)&lt;&gt;0),"违规：实际股数须为100股整数倍",IF(G529&gt;N529,"违规：实际股数超过风险或金字塔上限",IF(AND(B529&gt;1,G529&gt;SUMIFS($G$2:$G$1001,$A$2:$A$1001,A529,$B$2:$B$1001,B529-1)),"违规：加仓股数须逐次不增加",IF(Q529&gt;F529,"违规：止损风险超过本次预算","通过")))))))))))))))</f>
        <v/>
      </c>
    </row>
    <row r="530" ht="17" spans="1:18">
      <c r="A530" s="13"/>
      <c r="B530" s="14"/>
      <c r="C530" s="15"/>
      <c r="D530" s="16"/>
      <c r="E530" s="16"/>
      <c r="F530" s="16"/>
      <c r="G530" s="14"/>
      <c r="H530" s="17" t="str">
        <f t="shared" si="64"/>
        <v/>
      </c>
      <c r="I530" s="18" t="str">
        <f>IF(OR(A530="",B530=""),"",IFERROR(LOOKUP(2,1/(单次交易!$A$2:$A$201=A530),单次交易!$H$2:$H$201),0)+SUMIFS($G$2:$G$1001,$A$2:$A$1001,A530,$B$2:$B$1001,"&lt;"&amp;B530))</f>
        <v/>
      </c>
      <c r="J530" s="17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17" t="str">
        <f t="shared" si="65"/>
        <v/>
      </c>
      <c r="L530" s="18" t="str">
        <f t="shared" si="66"/>
        <v/>
      </c>
      <c r="M530" s="18" t="str">
        <f t="shared" si="67"/>
        <v/>
      </c>
      <c r="N530" s="18" t="str">
        <f t="shared" si="68"/>
        <v/>
      </c>
      <c r="O530" s="18" t="str">
        <f t="shared" si="69"/>
        <v/>
      </c>
      <c r="P530" s="17" t="str">
        <f t="shared" si="70"/>
        <v/>
      </c>
      <c r="Q530" s="17" t="str">
        <f t="shared" si="71"/>
        <v/>
      </c>
      <c r="R530" s="19" t="str">
        <f ca="1">IF(A530="","",IF(COUNTIF(_TradeIds,A530)=0,"违规：交易编号不存在",IF(OR(B530="",B530&lt;1,B530&gt;5,B530&lt;&gt;INT(B530)),"违规：加仓序号须为1到5的整数",IF(COUNTIFS($A$2:$A$1001,A530,$B$2:$B$1001,B530)&gt;1,"违规：同一交易的加仓序号重复",IF(OR(D530="",E530="",F530=""),"计划不完整：请填写加仓价、新止损价和风险预算",IF(OR(D530&lt;=0,E530&lt;=0,F530&lt;=0,D530&lt;=E530),"违规：加仓价必须高于新止损价，金额须大于0",IF(AND(B530&gt;1,COUNTIFS($A$2:$A$1001,A530,$B$2:$B$1001,B530-1,$G$2:$G$1001,"&gt;0")=0),"违规：须先完成上一次加仓",IF(AND(B530&gt;1,E530&lt;SUMIFS($E$2:$E$1001,$A$2:$A$1001,A530,$B$2:$B$1001,B530-1)),"违规：新止损价不得低于上一次",IF(AND(B530&gt;1,F530&gt;SUMIFS($F$2:$F$1001,$A$2:$A$1001,A530,$B$2:$B$1001,B530-1)),"违规：风险预算须逐次不增加",IF(OR(_LockStatus="已锁仓",_LockStatus="解锁信息不完整"),"违规：锁仓期间禁止加仓",IF(G530="","计划可执行：建议股数见N列",IF(OR(G530&lt;=0,G530&lt;&gt;INT(G530),MOD(G530,100)&lt;&gt;0),"违规：实际股数须为100股整数倍",IF(G530&gt;N530,"违规：实际股数超过风险或金字塔上限",IF(AND(B530&gt;1,G530&gt;SUMIFS($G$2:$G$1001,$A$2:$A$1001,A530,$B$2:$B$1001,B530-1)),"违规：加仓股数须逐次不增加",IF(Q530&gt;F530,"违规：止损风险超过本次预算","通过")))))))))))))))</f>
        <v/>
      </c>
    </row>
    <row r="531" ht="17" spans="1:18">
      <c r="A531" s="13"/>
      <c r="B531" s="14"/>
      <c r="C531" s="15"/>
      <c r="D531" s="16"/>
      <c r="E531" s="16"/>
      <c r="F531" s="16"/>
      <c r="G531" s="14"/>
      <c r="H531" s="17" t="str">
        <f t="shared" si="64"/>
        <v/>
      </c>
      <c r="I531" s="18" t="str">
        <f>IF(OR(A531="",B531=""),"",IFERROR(LOOKUP(2,1/(单次交易!$A$2:$A$201=A531),单次交易!$H$2:$H$201),0)+SUMIFS($G$2:$G$1001,$A$2:$A$1001,A531,$B$2:$B$1001,"&lt;"&amp;B531))</f>
        <v/>
      </c>
      <c r="J531" s="17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17" t="str">
        <f t="shared" si="65"/>
        <v/>
      </c>
      <c r="L531" s="18" t="str">
        <f t="shared" si="66"/>
        <v/>
      </c>
      <c r="M531" s="18" t="str">
        <f t="shared" si="67"/>
        <v/>
      </c>
      <c r="N531" s="18" t="str">
        <f t="shared" si="68"/>
        <v/>
      </c>
      <c r="O531" s="18" t="str">
        <f t="shared" si="69"/>
        <v/>
      </c>
      <c r="P531" s="17" t="str">
        <f t="shared" si="70"/>
        <v/>
      </c>
      <c r="Q531" s="17" t="str">
        <f t="shared" si="71"/>
        <v/>
      </c>
      <c r="R531" s="19" t="str">
        <f ca="1">IF(A531="","",IF(COUNTIF(_TradeIds,A531)=0,"违规：交易编号不存在",IF(OR(B531="",B531&lt;1,B531&gt;5,B531&lt;&gt;INT(B531)),"违规：加仓序号须为1到5的整数",IF(COUNTIFS($A$2:$A$1001,A531,$B$2:$B$1001,B531)&gt;1,"违规：同一交易的加仓序号重复",IF(OR(D531="",E531="",F531=""),"计划不完整：请填写加仓价、新止损价和风险预算",IF(OR(D531&lt;=0,E531&lt;=0,F531&lt;=0,D531&lt;=E531),"违规：加仓价必须高于新止损价，金额须大于0",IF(AND(B531&gt;1,COUNTIFS($A$2:$A$1001,A531,$B$2:$B$1001,B531-1,$G$2:$G$1001,"&gt;0")=0),"违规：须先完成上一次加仓",IF(AND(B531&gt;1,E531&lt;SUMIFS($E$2:$E$1001,$A$2:$A$1001,A531,$B$2:$B$1001,B531-1)),"违规：新止损价不得低于上一次",IF(AND(B531&gt;1,F531&gt;SUMIFS($F$2:$F$1001,$A$2:$A$1001,A531,$B$2:$B$1001,B531-1)),"违规：风险预算须逐次不增加",IF(OR(_LockStatus="已锁仓",_LockStatus="解锁信息不完整"),"违规：锁仓期间禁止加仓",IF(G531="","计划可执行：建议股数见N列",IF(OR(G531&lt;=0,G531&lt;&gt;INT(G531),MOD(G531,100)&lt;&gt;0),"违规：实际股数须为100股整数倍",IF(G531&gt;N531,"违规：实际股数超过风险或金字塔上限",IF(AND(B531&gt;1,G531&gt;SUMIFS($G$2:$G$1001,$A$2:$A$1001,A531,$B$2:$B$1001,B531-1)),"违规：加仓股数须逐次不增加",IF(Q531&gt;F531,"违规：止损风险超过本次预算","通过")))))))))))))))</f>
        <v/>
      </c>
    </row>
    <row r="532" ht="17" spans="1:18">
      <c r="A532" s="13"/>
      <c r="B532" s="14"/>
      <c r="C532" s="15"/>
      <c r="D532" s="16"/>
      <c r="E532" s="16"/>
      <c r="F532" s="16"/>
      <c r="G532" s="14"/>
      <c r="H532" s="17" t="str">
        <f t="shared" si="64"/>
        <v/>
      </c>
      <c r="I532" s="18" t="str">
        <f>IF(OR(A532="",B532=""),"",IFERROR(LOOKUP(2,1/(单次交易!$A$2:$A$201=A532),单次交易!$H$2:$H$201),0)+SUMIFS($G$2:$G$1001,$A$2:$A$1001,A532,$B$2:$B$1001,"&lt;"&amp;B532))</f>
        <v/>
      </c>
      <c r="J532" s="17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17" t="str">
        <f t="shared" si="65"/>
        <v/>
      </c>
      <c r="L532" s="18" t="str">
        <f t="shared" si="66"/>
        <v/>
      </c>
      <c r="M532" s="18" t="str">
        <f t="shared" si="67"/>
        <v/>
      </c>
      <c r="N532" s="18" t="str">
        <f t="shared" si="68"/>
        <v/>
      </c>
      <c r="O532" s="18" t="str">
        <f t="shared" si="69"/>
        <v/>
      </c>
      <c r="P532" s="17" t="str">
        <f t="shared" si="70"/>
        <v/>
      </c>
      <c r="Q532" s="17" t="str">
        <f t="shared" si="71"/>
        <v/>
      </c>
      <c r="R532" s="19" t="str">
        <f ca="1">IF(A532="","",IF(COUNTIF(_TradeIds,A532)=0,"违规：交易编号不存在",IF(OR(B532="",B532&lt;1,B532&gt;5,B532&lt;&gt;INT(B532)),"违规：加仓序号须为1到5的整数",IF(COUNTIFS($A$2:$A$1001,A532,$B$2:$B$1001,B532)&gt;1,"违规：同一交易的加仓序号重复",IF(OR(D532="",E532="",F532=""),"计划不完整：请填写加仓价、新止损价和风险预算",IF(OR(D532&lt;=0,E532&lt;=0,F532&lt;=0,D532&lt;=E532),"违规：加仓价必须高于新止损价，金额须大于0",IF(AND(B532&gt;1,COUNTIFS($A$2:$A$1001,A532,$B$2:$B$1001,B532-1,$G$2:$G$1001,"&gt;0")=0),"违规：须先完成上一次加仓",IF(AND(B532&gt;1,E532&lt;SUMIFS($E$2:$E$1001,$A$2:$A$1001,A532,$B$2:$B$1001,B532-1)),"违规：新止损价不得低于上一次",IF(AND(B532&gt;1,F532&gt;SUMIFS($F$2:$F$1001,$A$2:$A$1001,A532,$B$2:$B$1001,B532-1)),"违规：风险预算须逐次不增加",IF(OR(_LockStatus="已锁仓",_LockStatus="解锁信息不完整"),"违规：锁仓期间禁止加仓",IF(G532="","计划可执行：建议股数见N列",IF(OR(G532&lt;=0,G532&lt;&gt;INT(G532),MOD(G532,100)&lt;&gt;0),"违规：实际股数须为100股整数倍",IF(G532&gt;N532,"违规：实际股数超过风险或金字塔上限",IF(AND(B532&gt;1,G532&gt;SUMIFS($G$2:$G$1001,$A$2:$A$1001,A532,$B$2:$B$1001,B532-1)),"违规：加仓股数须逐次不增加",IF(Q532&gt;F532,"违规：止损风险超过本次预算","通过")))))))))))))))</f>
        <v/>
      </c>
    </row>
    <row r="533" ht="17" spans="1:18">
      <c r="A533" s="13"/>
      <c r="B533" s="14"/>
      <c r="C533" s="15"/>
      <c r="D533" s="16"/>
      <c r="E533" s="16"/>
      <c r="F533" s="16"/>
      <c r="G533" s="14"/>
      <c r="H533" s="17" t="str">
        <f t="shared" si="64"/>
        <v/>
      </c>
      <c r="I533" s="18" t="str">
        <f>IF(OR(A533="",B533=""),"",IFERROR(LOOKUP(2,1/(单次交易!$A$2:$A$201=A533),单次交易!$H$2:$H$201),0)+SUMIFS($G$2:$G$1001,$A$2:$A$1001,A533,$B$2:$B$1001,"&lt;"&amp;B533))</f>
        <v/>
      </c>
      <c r="J533" s="17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17" t="str">
        <f t="shared" si="65"/>
        <v/>
      </c>
      <c r="L533" s="18" t="str">
        <f t="shared" si="66"/>
        <v/>
      </c>
      <c r="M533" s="18" t="str">
        <f t="shared" si="67"/>
        <v/>
      </c>
      <c r="N533" s="18" t="str">
        <f t="shared" si="68"/>
        <v/>
      </c>
      <c r="O533" s="18" t="str">
        <f t="shared" si="69"/>
        <v/>
      </c>
      <c r="P533" s="17" t="str">
        <f t="shared" si="70"/>
        <v/>
      </c>
      <c r="Q533" s="17" t="str">
        <f t="shared" si="71"/>
        <v/>
      </c>
      <c r="R533" s="19" t="str">
        <f ca="1">IF(A533="","",IF(COUNTIF(_TradeIds,A533)=0,"违规：交易编号不存在",IF(OR(B533="",B533&lt;1,B533&gt;5,B533&lt;&gt;INT(B533)),"违规：加仓序号须为1到5的整数",IF(COUNTIFS($A$2:$A$1001,A533,$B$2:$B$1001,B533)&gt;1,"违规：同一交易的加仓序号重复",IF(OR(D533="",E533="",F533=""),"计划不完整：请填写加仓价、新止损价和风险预算",IF(OR(D533&lt;=0,E533&lt;=0,F533&lt;=0,D533&lt;=E533),"违规：加仓价必须高于新止损价，金额须大于0",IF(AND(B533&gt;1,COUNTIFS($A$2:$A$1001,A533,$B$2:$B$1001,B533-1,$G$2:$G$1001,"&gt;0")=0),"违规：须先完成上一次加仓",IF(AND(B533&gt;1,E533&lt;SUMIFS($E$2:$E$1001,$A$2:$A$1001,A533,$B$2:$B$1001,B533-1)),"违规：新止损价不得低于上一次",IF(AND(B533&gt;1,F533&gt;SUMIFS($F$2:$F$1001,$A$2:$A$1001,A533,$B$2:$B$1001,B533-1)),"违规：风险预算须逐次不增加",IF(OR(_LockStatus="已锁仓",_LockStatus="解锁信息不完整"),"违规：锁仓期间禁止加仓",IF(G533="","计划可执行：建议股数见N列",IF(OR(G533&lt;=0,G533&lt;&gt;INT(G533),MOD(G533,100)&lt;&gt;0),"违规：实际股数须为100股整数倍",IF(G533&gt;N533,"违规：实际股数超过风险或金字塔上限",IF(AND(B533&gt;1,G533&gt;SUMIFS($G$2:$G$1001,$A$2:$A$1001,A533,$B$2:$B$1001,B533-1)),"违规：加仓股数须逐次不增加",IF(Q533&gt;F533,"违规：止损风险超过本次预算","通过")))))))))))))))</f>
        <v/>
      </c>
    </row>
    <row r="534" ht="17" spans="1:18">
      <c r="A534" s="13"/>
      <c r="B534" s="14"/>
      <c r="C534" s="15"/>
      <c r="D534" s="16"/>
      <c r="E534" s="16"/>
      <c r="F534" s="16"/>
      <c r="G534" s="14"/>
      <c r="H534" s="17" t="str">
        <f t="shared" si="64"/>
        <v/>
      </c>
      <c r="I534" s="18" t="str">
        <f>IF(OR(A534="",B534=""),"",IFERROR(LOOKUP(2,1/(单次交易!$A$2:$A$201=A534),单次交易!$H$2:$H$201),0)+SUMIFS($G$2:$G$1001,$A$2:$A$1001,A534,$B$2:$B$1001,"&lt;"&amp;B534))</f>
        <v/>
      </c>
      <c r="J534" s="17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17" t="str">
        <f t="shared" si="65"/>
        <v/>
      </c>
      <c r="L534" s="18" t="str">
        <f t="shared" si="66"/>
        <v/>
      </c>
      <c r="M534" s="18" t="str">
        <f t="shared" si="67"/>
        <v/>
      </c>
      <c r="N534" s="18" t="str">
        <f t="shared" si="68"/>
        <v/>
      </c>
      <c r="O534" s="18" t="str">
        <f t="shared" si="69"/>
        <v/>
      </c>
      <c r="P534" s="17" t="str">
        <f t="shared" si="70"/>
        <v/>
      </c>
      <c r="Q534" s="17" t="str">
        <f t="shared" si="71"/>
        <v/>
      </c>
      <c r="R534" s="19" t="str">
        <f ca="1">IF(A534="","",IF(COUNTIF(_TradeIds,A534)=0,"违规：交易编号不存在",IF(OR(B534="",B534&lt;1,B534&gt;5,B534&lt;&gt;INT(B534)),"违规：加仓序号须为1到5的整数",IF(COUNTIFS($A$2:$A$1001,A534,$B$2:$B$1001,B534)&gt;1,"违规：同一交易的加仓序号重复",IF(OR(D534="",E534="",F534=""),"计划不完整：请填写加仓价、新止损价和风险预算",IF(OR(D534&lt;=0,E534&lt;=0,F534&lt;=0,D534&lt;=E534),"违规：加仓价必须高于新止损价，金额须大于0",IF(AND(B534&gt;1,COUNTIFS($A$2:$A$1001,A534,$B$2:$B$1001,B534-1,$G$2:$G$1001,"&gt;0")=0),"违规：须先完成上一次加仓",IF(AND(B534&gt;1,E534&lt;SUMIFS($E$2:$E$1001,$A$2:$A$1001,A534,$B$2:$B$1001,B534-1)),"违规：新止损价不得低于上一次",IF(AND(B534&gt;1,F534&gt;SUMIFS($F$2:$F$1001,$A$2:$A$1001,A534,$B$2:$B$1001,B534-1)),"违规：风险预算须逐次不增加",IF(OR(_LockStatus="已锁仓",_LockStatus="解锁信息不完整"),"违规：锁仓期间禁止加仓",IF(G534="","计划可执行：建议股数见N列",IF(OR(G534&lt;=0,G534&lt;&gt;INT(G534),MOD(G534,100)&lt;&gt;0),"违规：实际股数须为100股整数倍",IF(G534&gt;N534,"违规：实际股数超过风险或金字塔上限",IF(AND(B534&gt;1,G534&gt;SUMIFS($G$2:$G$1001,$A$2:$A$1001,A534,$B$2:$B$1001,B534-1)),"违规：加仓股数须逐次不增加",IF(Q534&gt;F534,"违规：止损风险超过本次预算","通过")))))))))))))))</f>
        <v/>
      </c>
    </row>
    <row r="535" ht="17" spans="1:18">
      <c r="A535" s="13"/>
      <c r="B535" s="14"/>
      <c r="C535" s="15"/>
      <c r="D535" s="16"/>
      <c r="E535" s="16"/>
      <c r="F535" s="16"/>
      <c r="G535" s="14"/>
      <c r="H535" s="17" t="str">
        <f t="shared" si="64"/>
        <v/>
      </c>
      <c r="I535" s="18" t="str">
        <f>IF(OR(A535="",B535=""),"",IFERROR(LOOKUP(2,1/(单次交易!$A$2:$A$201=A535),单次交易!$H$2:$H$201),0)+SUMIFS($G$2:$G$1001,$A$2:$A$1001,A535,$B$2:$B$1001,"&lt;"&amp;B535))</f>
        <v/>
      </c>
      <c r="J535" s="17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17" t="str">
        <f t="shared" si="65"/>
        <v/>
      </c>
      <c r="L535" s="18" t="str">
        <f t="shared" si="66"/>
        <v/>
      </c>
      <c r="M535" s="18" t="str">
        <f t="shared" si="67"/>
        <v/>
      </c>
      <c r="N535" s="18" t="str">
        <f t="shared" si="68"/>
        <v/>
      </c>
      <c r="O535" s="18" t="str">
        <f t="shared" si="69"/>
        <v/>
      </c>
      <c r="P535" s="17" t="str">
        <f t="shared" si="70"/>
        <v/>
      </c>
      <c r="Q535" s="17" t="str">
        <f t="shared" si="71"/>
        <v/>
      </c>
      <c r="R535" s="19" t="str">
        <f ca="1">IF(A535="","",IF(COUNTIF(_TradeIds,A535)=0,"违规：交易编号不存在",IF(OR(B535="",B535&lt;1,B535&gt;5,B535&lt;&gt;INT(B535)),"违规：加仓序号须为1到5的整数",IF(COUNTIFS($A$2:$A$1001,A535,$B$2:$B$1001,B535)&gt;1,"违规：同一交易的加仓序号重复",IF(OR(D535="",E535="",F535=""),"计划不完整：请填写加仓价、新止损价和风险预算",IF(OR(D535&lt;=0,E535&lt;=0,F535&lt;=0,D535&lt;=E535),"违规：加仓价必须高于新止损价，金额须大于0",IF(AND(B535&gt;1,COUNTIFS($A$2:$A$1001,A535,$B$2:$B$1001,B535-1,$G$2:$G$1001,"&gt;0")=0),"违规：须先完成上一次加仓",IF(AND(B535&gt;1,E535&lt;SUMIFS($E$2:$E$1001,$A$2:$A$1001,A535,$B$2:$B$1001,B535-1)),"违规：新止损价不得低于上一次",IF(AND(B535&gt;1,F535&gt;SUMIFS($F$2:$F$1001,$A$2:$A$1001,A535,$B$2:$B$1001,B535-1)),"违规：风险预算须逐次不增加",IF(OR(_LockStatus="已锁仓",_LockStatus="解锁信息不完整"),"违规：锁仓期间禁止加仓",IF(G535="","计划可执行：建议股数见N列",IF(OR(G535&lt;=0,G535&lt;&gt;INT(G535),MOD(G535,100)&lt;&gt;0),"违规：实际股数须为100股整数倍",IF(G535&gt;N535,"违规：实际股数超过风险或金字塔上限",IF(AND(B535&gt;1,G535&gt;SUMIFS($G$2:$G$1001,$A$2:$A$1001,A535,$B$2:$B$1001,B535-1)),"违规：加仓股数须逐次不增加",IF(Q535&gt;F535,"违规：止损风险超过本次预算","通过")))))))))))))))</f>
        <v/>
      </c>
    </row>
    <row r="536" ht="17" spans="1:18">
      <c r="A536" s="13"/>
      <c r="B536" s="14"/>
      <c r="C536" s="15"/>
      <c r="D536" s="16"/>
      <c r="E536" s="16"/>
      <c r="F536" s="16"/>
      <c r="G536" s="14"/>
      <c r="H536" s="17" t="str">
        <f t="shared" si="64"/>
        <v/>
      </c>
      <c r="I536" s="18" t="str">
        <f>IF(OR(A536="",B536=""),"",IFERROR(LOOKUP(2,1/(单次交易!$A$2:$A$201=A536),单次交易!$H$2:$H$201),0)+SUMIFS($G$2:$G$1001,$A$2:$A$1001,A536,$B$2:$B$1001,"&lt;"&amp;B536))</f>
        <v/>
      </c>
      <c r="J536" s="17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17" t="str">
        <f t="shared" si="65"/>
        <v/>
      </c>
      <c r="L536" s="18" t="str">
        <f t="shared" si="66"/>
        <v/>
      </c>
      <c r="M536" s="18" t="str">
        <f t="shared" si="67"/>
        <v/>
      </c>
      <c r="N536" s="18" t="str">
        <f t="shared" si="68"/>
        <v/>
      </c>
      <c r="O536" s="18" t="str">
        <f t="shared" si="69"/>
        <v/>
      </c>
      <c r="P536" s="17" t="str">
        <f t="shared" si="70"/>
        <v/>
      </c>
      <c r="Q536" s="17" t="str">
        <f t="shared" si="71"/>
        <v/>
      </c>
      <c r="R536" s="19" t="str">
        <f ca="1">IF(A536="","",IF(COUNTIF(_TradeIds,A536)=0,"违规：交易编号不存在",IF(OR(B536="",B536&lt;1,B536&gt;5,B536&lt;&gt;INT(B536)),"违规：加仓序号须为1到5的整数",IF(COUNTIFS($A$2:$A$1001,A536,$B$2:$B$1001,B536)&gt;1,"违规：同一交易的加仓序号重复",IF(OR(D536="",E536="",F536=""),"计划不完整：请填写加仓价、新止损价和风险预算",IF(OR(D536&lt;=0,E536&lt;=0,F536&lt;=0,D536&lt;=E536),"违规：加仓价必须高于新止损价，金额须大于0",IF(AND(B536&gt;1,COUNTIFS($A$2:$A$1001,A536,$B$2:$B$1001,B536-1,$G$2:$G$1001,"&gt;0")=0),"违规：须先完成上一次加仓",IF(AND(B536&gt;1,E536&lt;SUMIFS($E$2:$E$1001,$A$2:$A$1001,A536,$B$2:$B$1001,B536-1)),"违规：新止损价不得低于上一次",IF(AND(B536&gt;1,F536&gt;SUMIFS($F$2:$F$1001,$A$2:$A$1001,A536,$B$2:$B$1001,B536-1)),"违规：风险预算须逐次不增加",IF(OR(_LockStatus="已锁仓",_LockStatus="解锁信息不完整"),"违规：锁仓期间禁止加仓",IF(G536="","计划可执行：建议股数见N列",IF(OR(G536&lt;=0,G536&lt;&gt;INT(G536),MOD(G536,100)&lt;&gt;0),"违规：实际股数须为100股整数倍",IF(G536&gt;N536,"违规：实际股数超过风险或金字塔上限",IF(AND(B536&gt;1,G536&gt;SUMIFS($G$2:$G$1001,$A$2:$A$1001,A536,$B$2:$B$1001,B536-1)),"违规：加仓股数须逐次不增加",IF(Q536&gt;F536,"违规：止损风险超过本次预算","通过")))))))))))))))</f>
        <v/>
      </c>
    </row>
    <row r="537" ht="17" spans="1:18">
      <c r="A537" s="13"/>
      <c r="B537" s="14"/>
      <c r="C537" s="15"/>
      <c r="D537" s="16"/>
      <c r="E537" s="16"/>
      <c r="F537" s="16"/>
      <c r="G537" s="14"/>
      <c r="H537" s="17" t="str">
        <f t="shared" si="64"/>
        <v/>
      </c>
      <c r="I537" s="18" t="str">
        <f>IF(OR(A537="",B537=""),"",IFERROR(LOOKUP(2,1/(单次交易!$A$2:$A$201=A537),单次交易!$H$2:$H$201),0)+SUMIFS($G$2:$G$1001,$A$2:$A$1001,A537,$B$2:$B$1001,"&lt;"&amp;B537))</f>
        <v/>
      </c>
      <c r="J537" s="17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17" t="str">
        <f t="shared" si="65"/>
        <v/>
      </c>
      <c r="L537" s="18" t="str">
        <f t="shared" si="66"/>
        <v/>
      </c>
      <c r="M537" s="18" t="str">
        <f t="shared" si="67"/>
        <v/>
      </c>
      <c r="N537" s="18" t="str">
        <f t="shared" si="68"/>
        <v/>
      </c>
      <c r="O537" s="18" t="str">
        <f t="shared" si="69"/>
        <v/>
      </c>
      <c r="P537" s="17" t="str">
        <f t="shared" si="70"/>
        <v/>
      </c>
      <c r="Q537" s="17" t="str">
        <f t="shared" si="71"/>
        <v/>
      </c>
      <c r="R537" s="19" t="str">
        <f ca="1">IF(A537="","",IF(COUNTIF(_TradeIds,A537)=0,"违规：交易编号不存在",IF(OR(B537="",B537&lt;1,B537&gt;5,B537&lt;&gt;INT(B537)),"违规：加仓序号须为1到5的整数",IF(COUNTIFS($A$2:$A$1001,A537,$B$2:$B$1001,B537)&gt;1,"违规：同一交易的加仓序号重复",IF(OR(D537="",E537="",F537=""),"计划不完整：请填写加仓价、新止损价和风险预算",IF(OR(D537&lt;=0,E537&lt;=0,F537&lt;=0,D537&lt;=E537),"违规：加仓价必须高于新止损价，金额须大于0",IF(AND(B537&gt;1,COUNTIFS($A$2:$A$1001,A537,$B$2:$B$1001,B537-1,$G$2:$G$1001,"&gt;0")=0),"违规：须先完成上一次加仓",IF(AND(B537&gt;1,E537&lt;SUMIFS($E$2:$E$1001,$A$2:$A$1001,A537,$B$2:$B$1001,B537-1)),"违规：新止损价不得低于上一次",IF(AND(B537&gt;1,F537&gt;SUMIFS($F$2:$F$1001,$A$2:$A$1001,A537,$B$2:$B$1001,B537-1)),"违规：风险预算须逐次不增加",IF(OR(_LockStatus="已锁仓",_LockStatus="解锁信息不完整"),"违规：锁仓期间禁止加仓",IF(G537="","计划可执行：建议股数见N列",IF(OR(G537&lt;=0,G537&lt;&gt;INT(G537),MOD(G537,100)&lt;&gt;0),"违规：实际股数须为100股整数倍",IF(G537&gt;N537,"违规：实际股数超过风险或金字塔上限",IF(AND(B537&gt;1,G537&gt;SUMIFS($G$2:$G$1001,$A$2:$A$1001,A537,$B$2:$B$1001,B537-1)),"违规：加仓股数须逐次不增加",IF(Q537&gt;F537,"违规：止损风险超过本次预算","通过")))))))))))))))</f>
        <v/>
      </c>
    </row>
    <row r="538" ht="17" spans="1:18">
      <c r="A538" s="13"/>
      <c r="B538" s="14"/>
      <c r="C538" s="15"/>
      <c r="D538" s="16"/>
      <c r="E538" s="16"/>
      <c r="F538" s="16"/>
      <c r="G538" s="14"/>
      <c r="H538" s="17" t="str">
        <f t="shared" si="64"/>
        <v/>
      </c>
      <c r="I538" s="18" t="str">
        <f>IF(OR(A538="",B538=""),"",IFERROR(LOOKUP(2,1/(单次交易!$A$2:$A$201=A538),单次交易!$H$2:$H$201),0)+SUMIFS($G$2:$G$1001,$A$2:$A$1001,A538,$B$2:$B$1001,"&lt;"&amp;B538))</f>
        <v/>
      </c>
      <c r="J538" s="17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17" t="str">
        <f t="shared" si="65"/>
        <v/>
      </c>
      <c r="L538" s="18" t="str">
        <f t="shared" si="66"/>
        <v/>
      </c>
      <c r="M538" s="18" t="str">
        <f t="shared" si="67"/>
        <v/>
      </c>
      <c r="N538" s="18" t="str">
        <f t="shared" si="68"/>
        <v/>
      </c>
      <c r="O538" s="18" t="str">
        <f t="shared" si="69"/>
        <v/>
      </c>
      <c r="P538" s="17" t="str">
        <f t="shared" si="70"/>
        <v/>
      </c>
      <c r="Q538" s="17" t="str">
        <f t="shared" si="71"/>
        <v/>
      </c>
      <c r="R538" s="19" t="str">
        <f ca="1">IF(A538="","",IF(COUNTIF(_TradeIds,A538)=0,"违规：交易编号不存在",IF(OR(B538="",B538&lt;1,B538&gt;5,B538&lt;&gt;INT(B538)),"违规：加仓序号须为1到5的整数",IF(COUNTIFS($A$2:$A$1001,A538,$B$2:$B$1001,B538)&gt;1,"违规：同一交易的加仓序号重复",IF(OR(D538="",E538="",F538=""),"计划不完整：请填写加仓价、新止损价和风险预算",IF(OR(D538&lt;=0,E538&lt;=0,F538&lt;=0,D538&lt;=E538),"违规：加仓价必须高于新止损价，金额须大于0",IF(AND(B538&gt;1,COUNTIFS($A$2:$A$1001,A538,$B$2:$B$1001,B538-1,$G$2:$G$1001,"&gt;0")=0),"违规：须先完成上一次加仓",IF(AND(B538&gt;1,E538&lt;SUMIFS($E$2:$E$1001,$A$2:$A$1001,A538,$B$2:$B$1001,B538-1)),"违规：新止损价不得低于上一次",IF(AND(B538&gt;1,F538&gt;SUMIFS($F$2:$F$1001,$A$2:$A$1001,A538,$B$2:$B$1001,B538-1)),"违规：风险预算须逐次不增加",IF(OR(_LockStatus="已锁仓",_LockStatus="解锁信息不完整"),"违规：锁仓期间禁止加仓",IF(G538="","计划可执行：建议股数见N列",IF(OR(G538&lt;=0,G538&lt;&gt;INT(G538),MOD(G538,100)&lt;&gt;0),"违规：实际股数须为100股整数倍",IF(G538&gt;N538,"违规：实际股数超过风险或金字塔上限",IF(AND(B538&gt;1,G538&gt;SUMIFS($G$2:$G$1001,$A$2:$A$1001,A538,$B$2:$B$1001,B538-1)),"违规：加仓股数须逐次不增加",IF(Q538&gt;F538,"违规：止损风险超过本次预算","通过")))))))))))))))</f>
        <v/>
      </c>
    </row>
    <row r="539" ht="17" spans="1:18">
      <c r="A539" s="13"/>
      <c r="B539" s="14"/>
      <c r="C539" s="15"/>
      <c r="D539" s="16"/>
      <c r="E539" s="16"/>
      <c r="F539" s="16"/>
      <c r="G539" s="14"/>
      <c r="H539" s="17" t="str">
        <f t="shared" si="64"/>
        <v/>
      </c>
      <c r="I539" s="18" t="str">
        <f>IF(OR(A539="",B539=""),"",IFERROR(LOOKUP(2,1/(单次交易!$A$2:$A$201=A539),单次交易!$H$2:$H$201),0)+SUMIFS($G$2:$G$1001,$A$2:$A$1001,A539,$B$2:$B$1001,"&lt;"&amp;B539))</f>
        <v/>
      </c>
      <c r="J539" s="17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17" t="str">
        <f t="shared" si="65"/>
        <v/>
      </c>
      <c r="L539" s="18" t="str">
        <f t="shared" si="66"/>
        <v/>
      </c>
      <c r="M539" s="18" t="str">
        <f t="shared" si="67"/>
        <v/>
      </c>
      <c r="N539" s="18" t="str">
        <f t="shared" si="68"/>
        <v/>
      </c>
      <c r="O539" s="18" t="str">
        <f t="shared" si="69"/>
        <v/>
      </c>
      <c r="P539" s="17" t="str">
        <f t="shared" si="70"/>
        <v/>
      </c>
      <c r="Q539" s="17" t="str">
        <f t="shared" si="71"/>
        <v/>
      </c>
      <c r="R539" s="19" t="str">
        <f ca="1">IF(A539="","",IF(COUNTIF(_TradeIds,A539)=0,"违规：交易编号不存在",IF(OR(B539="",B539&lt;1,B539&gt;5,B539&lt;&gt;INT(B539)),"违规：加仓序号须为1到5的整数",IF(COUNTIFS($A$2:$A$1001,A539,$B$2:$B$1001,B539)&gt;1,"违规：同一交易的加仓序号重复",IF(OR(D539="",E539="",F539=""),"计划不完整：请填写加仓价、新止损价和风险预算",IF(OR(D539&lt;=0,E539&lt;=0,F539&lt;=0,D539&lt;=E539),"违规：加仓价必须高于新止损价，金额须大于0",IF(AND(B539&gt;1,COUNTIFS($A$2:$A$1001,A539,$B$2:$B$1001,B539-1,$G$2:$G$1001,"&gt;0")=0),"违规：须先完成上一次加仓",IF(AND(B539&gt;1,E539&lt;SUMIFS($E$2:$E$1001,$A$2:$A$1001,A539,$B$2:$B$1001,B539-1)),"违规：新止损价不得低于上一次",IF(AND(B539&gt;1,F539&gt;SUMIFS($F$2:$F$1001,$A$2:$A$1001,A539,$B$2:$B$1001,B539-1)),"违规：风险预算须逐次不增加",IF(OR(_LockStatus="已锁仓",_LockStatus="解锁信息不完整"),"违规：锁仓期间禁止加仓",IF(G539="","计划可执行：建议股数见N列",IF(OR(G539&lt;=0,G539&lt;&gt;INT(G539),MOD(G539,100)&lt;&gt;0),"违规：实际股数须为100股整数倍",IF(G539&gt;N539,"违规：实际股数超过风险或金字塔上限",IF(AND(B539&gt;1,G539&gt;SUMIFS($G$2:$G$1001,$A$2:$A$1001,A539,$B$2:$B$1001,B539-1)),"违规：加仓股数须逐次不增加",IF(Q539&gt;F539,"违规：止损风险超过本次预算","通过")))))))))))))))</f>
        <v/>
      </c>
    </row>
    <row r="540" ht="17" spans="1:18">
      <c r="A540" s="13"/>
      <c r="B540" s="14"/>
      <c r="C540" s="15"/>
      <c r="D540" s="16"/>
      <c r="E540" s="16"/>
      <c r="F540" s="16"/>
      <c r="G540" s="14"/>
      <c r="H540" s="17" t="str">
        <f t="shared" si="64"/>
        <v/>
      </c>
      <c r="I540" s="18" t="str">
        <f>IF(OR(A540="",B540=""),"",IFERROR(LOOKUP(2,1/(单次交易!$A$2:$A$201=A540),单次交易!$H$2:$H$201),0)+SUMIFS($G$2:$G$1001,$A$2:$A$1001,A540,$B$2:$B$1001,"&lt;"&amp;B540))</f>
        <v/>
      </c>
      <c r="J540" s="17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17" t="str">
        <f t="shared" si="65"/>
        <v/>
      </c>
      <c r="L540" s="18" t="str">
        <f t="shared" si="66"/>
        <v/>
      </c>
      <c r="M540" s="18" t="str">
        <f t="shared" si="67"/>
        <v/>
      </c>
      <c r="N540" s="18" t="str">
        <f t="shared" si="68"/>
        <v/>
      </c>
      <c r="O540" s="18" t="str">
        <f t="shared" si="69"/>
        <v/>
      </c>
      <c r="P540" s="17" t="str">
        <f t="shared" si="70"/>
        <v/>
      </c>
      <c r="Q540" s="17" t="str">
        <f t="shared" si="71"/>
        <v/>
      </c>
      <c r="R540" s="19" t="str">
        <f ca="1">IF(A540="","",IF(COUNTIF(_TradeIds,A540)=0,"违规：交易编号不存在",IF(OR(B540="",B540&lt;1,B540&gt;5,B540&lt;&gt;INT(B540)),"违规：加仓序号须为1到5的整数",IF(COUNTIFS($A$2:$A$1001,A540,$B$2:$B$1001,B540)&gt;1,"违规：同一交易的加仓序号重复",IF(OR(D540="",E540="",F540=""),"计划不完整：请填写加仓价、新止损价和风险预算",IF(OR(D540&lt;=0,E540&lt;=0,F540&lt;=0,D540&lt;=E540),"违规：加仓价必须高于新止损价，金额须大于0",IF(AND(B540&gt;1,COUNTIFS($A$2:$A$1001,A540,$B$2:$B$1001,B540-1,$G$2:$G$1001,"&gt;0")=0),"违规：须先完成上一次加仓",IF(AND(B540&gt;1,E540&lt;SUMIFS($E$2:$E$1001,$A$2:$A$1001,A540,$B$2:$B$1001,B540-1)),"违规：新止损价不得低于上一次",IF(AND(B540&gt;1,F540&gt;SUMIFS($F$2:$F$1001,$A$2:$A$1001,A540,$B$2:$B$1001,B540-1)),"违规：风险预算须逐次不增加",IF(OR(_LockStatus="已锁仓",_LockStatus="解锁信息不完整"),"违规：锁仓期间禁止加仓",IF(G540="","计划可执行：建议股数见N列",IF(OR(G540&lt;=0,G540&lt;&gt;INT(G540),MOD(G540,100)&lt;&gt;0),"违规：实际股数须为100股整数倍",IF(G540&gt;N540,"违规：实际股数超过风险或金字塔上限",IF(AND(B540&gt;1,G540&gt;SUMIFS($G$2:$G$1001,$A$2:$A$1001,A540,$B$2:$B$1001,B540-1)),"违规：加仓股数须逐次不增加",IF(Q540&gt;F540,"违规：止损风险超过本次预算","通过")))))))))))))))</f>
        <v/>
      </c>
    </row>
    <row r="541" ht="17" spans="1:18">
      <c r="A541" s="13"/>
      <c r="B541" s="14"/>
      <c r="C541" s="15"/>
      <c r="D541" s="16"/>
      <c r="E541" s="16"/>
      <c r="F541" s="16"/>
      <c r="G541" s="14"/>
      <c r="H541" s="17" t="str">
        <f t="shared" si="64"/>
        <v/>
      </c>
      <c r="I541" s="18" t="str">
        <f>IF(OR(A541="",B541=""),"",IFERROR(LOOKUP(2,1/(单次交易!$A$2:$A$201=A541),单次交易!$H$2:$H$201),0)+SUMIFS($G$2:$G$1001,$A$2:$A$1001,A541,$B$2:$B$1001,"&lt;"&amp;B541))</f>
        <v/>
      </c>
      <c r="J541" s="17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17" t="str">
        <f t="shared" si="65"/>
        <v/>
      </c>
      <c r="L541" s="18" t="str">
        <f t="shared" si="66"/>
        <v/>
      </c>
      <c r="M541" s="18" t="str">
        <f t="shared" si="67"/>
        <v/>
      </c>
      <c r="N541" s="18" t="str">
        <f t="shared" si="68"/>
        <v/>
      </c>
      <c r="O541" s="18" t="str">
        <f t="shared" si="69"/>
        <v/>
      </c>
      <c r="P541" s="17" t="str">
        <f t="shared" si="70"/>
        <v/>
      </c>
      <c r="Q541" s="17" t="str">
        <f t="shared" si="71"/>
        <v/>
      </c>
      <c r="R541" s="19" t="str">
        <f ca="1">IF(A541="","",IF(COUNTIF(_TradeIds,A541)=0,"违规：交易编号不存在",IF(OR(B541="",B541&lt;1,B541&gt;5,B541&lt;&gt;INT(B541)),"违规：加仓序号须为1到5的整数",IF(COUNTIFS($A$2:$A$1001,A541,$B$2:$B$1001,B541)&gt;1,"违规：同一交易的加仓序号重复",IF(OR(D541="",E541="",F541=""),"计划不完整：请填写加仓价、新止损价和风险预算",IF(OR(D541&lt;=0,E541&lt;=0,F541&lt;=0,D541&lt;=E541),"违规：加仓价必须高于新止损价，金额须大于0",IF(AND(B541&gt;1,COUNTIFS($A$2:$A$1001,A541,$B$2:$B$1001,B541-1,$G$2:$G$1001,"&gt;0")=0),"违规：须先完成上一次加仓",IF(AND(B541&gt;1,E541&lt;SUMIFS($E$2:$E$1001,$A$2:$A$1001,A541,$B$2:$B$1001,B541-1)),"违规：新止损价不得低于上一次",IF(AND(B541&gt;1,F541&gt;SUMIFS($F$2:$F$1001,$A$2:$A$1001,A541,$B$2:$B$1001,B541-1)),"违规：风险预算须逐次不增加",IF(OR(_LockStatus="已锁仓",_LockStatus="解锁信息不完整"),"违规：锁仓期间禁止加仓",IF(G541="","计划可执行：建议股数见N列",IF(OR(G541&lt;=0,G541&lt;&gt;INT(G541),MOD(G541,100)&lt;&gt;0),"违规：实际股数须为100股整数倍",IF(G541&gt;N541,"违规：实际股数超过风险或金字塔上限",IF(AND(B541&gt;1,G541&gt;SUMIFS($G$2:$G$1001,$A$2:$A$1001,A541,$B$2:$B$1001,B541-1)),"违规：加仓股数须逐次不增加",IF(Q541&gt;F541,"违规：止损风险超过本次预算","通过")))))))))))))))</f>
        <v/>
      </c>
    </row>
    <row r="542" ht="17" spans="1:18">
      <c r="A542" s="13"/>
      <c r="B542" s="14"/>
      <c r="C542" s="15"/>
      <c r="D542" s="16"/>
      <c r="E542" s="16"/>
      <c r="F542" s="16"/>
      <c r="G542" s="14"/>
      <c r="H542" s="17" t="str">
        <f t="shared" si="64"/>
        <v/>
      </c>
      <c r="I542" s="18" t="str">
        <f>IF(OR(A542="",B542=""),"",IFERROR(LOOKUP(2,1/(单次交易!$A$2:$A$201=A542),单次交易!$H$2:$H$201),0)+SUMIFS($G$2:$G$1001,$A$2:$A$1001,A542,$B$2:$B$1001,"&lt;"&amp;B542))</f>
        <v/>
      </c>
      <c r="J542" s="17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17" t="str">
        <f t="shared" si="65"/>
        <v/>
      </c>
      <c r="L542" s="18" t="str">
        <f t="shared" si="66"/>
        <v/>
      </c>
      <c r="M542" s="18" t="str">
        <f t="shared" si="67"/>
        <v/>
      </c>
      <c r="N542" s="18" t="str">
        <f t="shared" si="68"/>
        <v/>
      </c>
      <c r="O542" s="18" t="str">
        <f t="shared" si="69"/>
        <v/>
      </c>
      <c r="P542" s="17" t="str">
        <f t="shared" si="70"/>
        <v/>
      </c>
      <c r="Q542" s="17" t="str">
        <f t="shared" si="71"/>
        <v/>
      </c>
      <c r="R542" s="19" t="str">
        <f ca="1">IF(A542="","",IF(COUNTIF(_TradeIds,A542)=0,"违规：交易编号不存在",IF(OR(B542="",B542&lt;1,B542&gt;5,B542&lt;&gt;INT(B542)),"违规：加仓序号须为1到5的整数",IF(COUNTIFS($A$2:$A$1001,A542,$B$2:$B$1001,B542)&gt;1,"违规：同一交易的加仓序号重复",IF(OR(D542="",E542="",F542=""),"计划不完整：请填写加仓价、新止损价和风险预算",IF(OR(D542&lt;=0,E542&lt;=0,F542&lt;=0,D542&lt;=E542),"违规：加仓价必须高于新止损价，金额须大于0",IF(AND(B542&gt;1,COUNTIFS($A$2:$A$1001,A542,$B$2:$B$1001,B542-1,$G$2:$G$1001,"&gt;0")=0),"违规：须先完成上一次加仓",IF(AND(B542&gt;1,E542&lt;SUMIFS($E$2:$E$1001,$A$2:$A$1001,A542,$B$2:$B$1001,B542-1)),"违规：新止损价不得低于上一次",IF(AND(B542&gt;1,F542&gt;SUMIFS($F$2:$F$1001,$A$2:$A$1001,A542,$B$2:$B$1001,B542-1)),"违规：风险预算须逐次不增加",IF(OR(_LockStatus="已锁仓",_LockStatus="解锁信息不完整"),"违规：锁仓期间禁止加仓",IF(G542="","计划可执行：建议股数见N列",IF(OR(G542&lt;=0,G542&lt;&gt;INT(G542),MOD(G542,100)&lt;&gt;0),"违规：实际股数须为100股整数倍",IF(G542&gt;N542,"违规：实际股数超过风险或金字塔上限",IF(AND(B542&gt;1,G542&gt;SUMIFS($G$2:$G$1001,$A$2:$A$1001,A542,$B$2:$B$1001,B542-1)),"违规：加仓股数须逐次不增加",IF(Q542&gt;F542,"违规：止损风险超过本次预算","通过")))))))))))))))</f>
        <v/>
      </c>
    </row>
    <row r="543" ht="17" spans="1:18">
      <c r="A543" s="13"/>
      <c r="B543" s="14"/>
      <c r="C543" s="15"/>
      <c r="D543" s="16"/>
      <c r="E543" s="16"/>
      <c r="F543" s="16"/>
      <c r="G543" s="14"/>
      <c r="H543" s="17" t="str">
        <f t="shared" si="64"/>
        <v/>
      </c>
      <c r="I543" s="18" t="str">
        <f>IF(OR(A543="",B543=""),"",IFERROR(LOOKUP(2,1/(单次交易!$A$2:$A$201=A543),单次交易!$H$2:$H$201),0)+SUMIFS($G$2:$G$1001,$A$2:$A$1001,A543,$B$2:$B$1001,"&lt;"&amp;B543))</f>
        <v/>
      </c>
      <c r="J543" s="17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17" t="str">
        <f t="shared" si="65"/>
        <v/>
      </c>
      <c r="L543" s="18" t="str">
        <f t="shared" si="66"/>
        <v/>
      </c>
      <c r="M543" s="18" t="str">
        <f t="shared" si="67"/>
        <v/>
      </c>
      <c r="N543" s="18" t="str">
        <f t="shared" si="68"/>
        <v/>
      </c>
      <c r="O543" s="18" t="str">
        <f t="shared" si="69"/>
        <v/>
      </c>
      <c r="P543" s="17" t="str">
        <f t="shared" si="70"/>
        <v/>
      </c>
      <c r="Q543" s="17" t="str">
        <f t="shared" si="71"/>
        <v/>
      </c>
      <c r="R543" s="19" t="str">
        <f ca="1">IF(A543="","",IF(COUNTIF(_TradeIds,A543)=0,"违规：交易编号不存在",IF(OR(B543="",B543&lt;1,B543&gt;5,B543&lt;&gt;INT(B543)),"违规：加仓序号须为1到5的整数",IF(COUNTIFS($A$2:$A$1001,A543,$B$2:$B$1001,B543)&gt;1,"违规：同一交易的加仓序号重复",IF(OR(D543="",E543="",F543=""),"计划不完整：请填写加仓价、新止损价和风险预算",IF(OR(D543&lt;=0,E543&lt;=0,F543&lt;=0,D543&lt;=E543),"违规：加仓价必须高于新止损价，金额须大于0",IF(AND(B543&gt;1,COUNTIFS($A$2:$A$1001,A543,$B$2:$B$1001,B543-1,$G$2:$G$1001,"&gt;0")=0),"违规：须先完成上一次加仓",IF(AND(B543&gt;1,E543&lt;SUMIFS($E$2:$E$1001,$A$2:$A$1001,A543,$B$2:$B$1001,B543-1)),"违规：新止损价不得低于上一次",IF(AND(B543&gt;1,F543&gt;SUMIFS($F$2:$F$1001,$A$2:$A$1001,A543,$B$2:$B$1001,B543-1)),"违规：风险预算须逐次不增加",IF(OR(_LockStatus="已锁仓",_LockStatus="解锁信息不完整"),"违规：锁仓期间禁止加仓",IF(G543="","计划可执行：建议股数见N列",IF(OR(G543&lt;=0,G543&lt;&gt;INT(G543),MOD(G543,100)&lt;&gt;0),"违规：实际股数须为100股整数倍",IF(G543&gt;N543,"违规：实际股数超过风险或金字塔上限",IF(AND(B543&gt;1,G543&gt;SUMIFS($G$2:$G$1001,$A$2:$A$1001,A543,$B$2:$B$1001,B543-1)),"违规：加仓股数须逐次不增加",IF(Q543&gt;F543,"违规：止损风险超过本次预算","通过")))))))))))))))</f>
        <v/>
      </c>
    </row>
    <row r="544" ht="17" spans="1:18">
      <c r="A544" s="13"/>
      <c r="B544" s="14"/>
      <c r="C544" s="15"/>
      <c r="D544" s="16"/>
      <c r="E544" s="16"/>
      <c r="F544" s="16"/>
      <c r="G544" s="14"/>
      <c r="H544" s="17" t="str">
        <f t="shared" si="64"/>
        <v/>
      </c>
      <c r="I544" s="18" t="str">
        <f>IF(OR(A544="",B544=""),"",IFERROR(LOOKUP(2,1/(单次交易!$A$2:$A$201=A544),单次交易!$H$2:$H$201),0)+SUMIFS($G$2:$G$1001,$A$2:$A$1001,A544,$B$2:$B$1001,"&lt;"&amp;B544))</f>
        <v/>
      </c>
      <c r="J544" s="17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17" t="str">
        <f t="shared" si="65"/>
        <v/>
      </c>
      <c r="L544" s="18" t="str">
        <f t="shared" si="66"/>
        <v/>
      </c>
      <c r="M544" s="18" t="str">
        <f t="shared" si="67"/>
        <v/>
      </c>
      <c r="N544" s="18" t="str">
        <f t="shared" si="68"/>
        <v/>
      </c>
      <c r="O544" s="18" t="str">
        <f t="shared" si="69"/>
        <v/>
      </c>
      <c r="P544" s="17" t="str">
        <f t="shared" si="70"/>
        <v/>
      </c>
      <c r="Q544" s="17" t="str">
        <f t="shared" si="71"/>
        <v/>
      </c>
      <c r="R544" s="19" t="str">
        <f ca="1">IF(A544="","",IF(COUNTIF(_TradeIds,A544)=0,"违规：交易编号不存在",IF(OR(B544="",B544&lt;1,B544&gt;5,B544&lt;&gt;INT(B544)),"违规：加仓序号须为1到5的整数",IF(COUNTIFS($A$2:$A$1001,A544,$B$2:$B$1001,B544)&gt;1,"违规：同一交易的加仓序号重复",IF(OR(D544="",E544="",F544=""),"计划不完整：请填写加仓价、新止损价和风险预算",IF(OR(D544&lt;=0,E544&lt;=0,F544&lt;=0,D544&lt;=E544),"违规：加仓价必须高于新止损价，金额须大于0",IF(AND(B544&gt;1,COUNTIFS($A$2:$A$1001,A544,$B$2:$B$1001,B544-1,$G$2:$G$1001,"&gt;0")=0),"违规：须先完成上一次加仓",IF(AND(B544&gt;1,E544&lt;SUMIFS($E$2:$E$1001,$A$2:$A$1001,A544,$B$2:$B$1001,B544-1)),"违规：新止损价不得低于上一次",IF(AND(B544&gt;1,F544&gt;SUMIFS($F$2:$F$1001,$A$2:$A$1001,A544,$B$2:$B$1001,B544-1)),"违规：风险预算须逐次不增加",IF(OR(_LockStatus="已锁仓",_LockStatus="解锁信息不完整"),"违规：锁仓期间禁止加仓",IF(G544="","计划可执行：建议股数见N列",IF(OR(G544&lt;=0,G544&lt;&gt;INT(G544),MOD(G544,100)&lt;&gt;0),"违规：实际股数须为100股整数倍",IF(G544&gt;N544,"违规：实际股数超过风险或金字塔上限",IF(AND(B544&gt;1,G544&gt;SUMIFS($G$2:$G$1001,$A$2:$A$1001,A544,$B$2:$B$1001,B544-1)),"违规：加仓股数须逐次不增加",IF(Q544&gt;F544,"违规：止损风险超过本次预算","通过")))))))))))))))</f>
        <v/>
      </c>
    </row>
    <row r="545" ht="17" spans="1:18">
      <c r="A545" s="13"/>
      <c r="B545" s="14"/>
      <c r="C545" s="15"/>
      <c r="D545" s="16"/>
      <c r="E545" s="16"/>
      <c r="F545" s="16"/>
      <c r="G545" s="14"/>
      <c r="H545" s="17" t="str">
        <f t="shared" si="64"/>
        <v/>
      </c>
      <c r="I545" s="18" t="str">
        <f>IF(OR(A545="",B545=""),"",IFERROR(LOOKUP(2,1/(单次交易!$A$2:$A$201=A545),单次交易!$H$2:$H$201),0)+SUMIFS($G$2:$G$1001,$A$2:$A$1001,A545,$B$2:$B$1001,"&lt;"&amp;B545))</f>
        <v/>
      </c>
      <c r="J545" s="17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17" t="str">
        <f t="shared" si="65"/>
        <v/>
      </c>
      <c r="L545" s="18" t="str">
        <f t="shared" si="66"/>
        <v/>
      </c>
      <c r="M545" s="18" t="str">
        <f t="shared" si="67"/>
        <v/>
      </c>
      <c r="N545" s="18" t="str">
        <f t="shared" si="68"/>
        <v/>
      </c>
      <c r="O545" s="18" t="str">
        <f t="shared" si="69"/>
        <v/>
      </c>
      <c r="P545" s="17" t="str">
        <f t="shared" si="70"/>
        <v/>
      </c>
      <c r="Q545" s="17" t="str">
        <f t="shared" si="71"/>
        <v/>
      </c>
      <c r="R545" s="19" t="str">
        <f ca="1">IF(A545="","",IF(COUNTIF(_TradeIds,A545)=0,"违规：交易编号不存在",IF(OR(B545="",B545&lt;1,B545&gt;5,B545&lt;&gt;INT(B545)),"违规：加仓序号须为1到5的整数",IF(COUNTIFS($A$2:$A$1001,A545,$B$2:$B$1001,B545)&gt;1,"违规：同一交易的加仓序号重复",IF(OR(D545="",E545="",F545=""),"计划不完整：请填写加仓价、新止损价和风险预算",IF(OR(D545&lt;=0,E545&lt;=0,F545&lt;=0,D545&lt;=E545),"违规：加仓价必须高于新止损价，金额须大于0",IF(AND(B545&gt;1,COUNTIFS($A$2:$A$1001,A545,$B$2:$B$1001,B545-1,$G$2:$G$1001,"&gt;0")=0),"违规：须先完成上一次加仓",IF(AND(B545&gt;1,E545&lt;SUMIFS($E$2:$E$1001,$A$2:$A$1001,A545,$B$2:$B$1001,B545-1)),"违规：新止损价不得低于上一次",IF(AND(B545&gt;1,F545&gt;SUMIFS($F$2:$F$1001,$A$2:$A$1001,A545,$B$2:$B$1001,B545-1)),"违规：风险预算须逐次不增加",IF(OR(_LockStatus="已锁仓",_LockStatus="解锁信息不完整"),"违规：锁仓期间禁止加仓",IF(G545="","计划可执行：建议股数见N列",IF(OR(G545&lt;=0,G545&lt;&gt;INT(G545),MOD(G545,100)&lt;&gt;0),"违规：实际股数须为100股整数倍",IF(G545&gt;N545,"违规：实际股数超过风险或金字塔上限",IF(AND(B545&gt;1,G545&gt;SUMIFS($G$2:$G$1001,$A$2:$A$1001,A545,$B$2:$B$1001,B545-1)),"违规：加仓股数须逐次不增加",IF(Q545&gt;F545,"违规：止损风险超过本次预算","通过")))))))))))))))</f>
        <v/>
      </c>
    </row>
    <row r="546" ht="17" spans="1:18">
      <c r="A546" s="13"/>
      <c r="B546" s="14"/>
      <c r="C546" s="15"/>
      <c r="D546" s="16"/>
      <c r="E546" s="16"/>
      <c r="F546" s="16"/>
      <c r="G546" s="14"/>
      <c r="H546" s="17" t="str">
        <f t="shared" si="64"/>
        <v/>
      </c>
      <c r="I546" s="18" t="str">
        <f>IF(OR(A546="",B546=""),"",IFERROR(LOOKUP(2,1/(单次交易!$A$2:$A$201=A546),单次交易!$H$2:$H$201),0)+SUMIFS($G$2:$G$1001,$A$2:$A$1001,A546,$B$2:$B$1001,"&lt;"&amp;B546))</f>
        <v/>
      </c>
      <c r="J546" s="17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17" t="str">
        <f t="shared" si="65"/>
        <v/>
      </c>
      <c r="L546" s="18" t="str">
        <f t="shared" si="66"/>
        <v/>
      </c>
      <c r="M546" s="18" t="str">
        <f t="shared" si="67"/>
        <v/>
      </c>
      <c r="N546" s="18" t="str">
        <f t="shared" si="68"/>
        <v/>
      </c>
      <c r="O546" s="18" t="str">
        <f t="shared" si="69"/>
        <v/>
      </c>
      <c r="P546" s="17" t="str">
        <f t="shared" si="70"/>
        <v/>
      </c>
      <c r="Q546" s="17" t="str">
        <f t="shared" si="71"/>
        <v/>
      </c>
      <c r="R546" s="19" t="str">
        <f ca="1">IF(A546="","",IF(COUNTIF(_TradeIds,A546)=0,"违规：交易编号不存在",IF(OR(B546="",B546&lt;1,B546&gt;5,B546&lt;&gt;INT(B546)),"违规：加仓序号须为1到5的整数",IF(COUNTIFS($A$2:$A$1001,A546,$B$2:$B$1001,B546)&gt;1,"违规：同一交易的加仓序号重复",IF(OR(D546="",E546="",F546=""),"计划不完整：请填写加仓价、新止损价和风险预算",IF(OR(D546&lt;=0,E546&lt;=0,F546&lt;=0,D546&lt;=E546),"违规：加仓价必须高于新止损价，金额须大于0",IF(AND(B546&gt;1,COUNTIFS($A$2:$A$1001,A546,$B$2:$B$1001,B546-1,$G$2:$G$1001,"&gt;0")=0),"违规：须先完成上一次加仓",IF(AND(B546&gt;1,E546&lt;SUMIFS($E$2:$E$1001,$A$2:$A$1001,A546,$B$2:$B$1001,B546-1)),"违规：新止损价不得低于上一次",IF(AND(B546&gt;1,F546&gt;SUMIFS($F$2:$F$1001,$A$2:$A$1001,A546,$B$2:$B$1001,B546-1)),"违规：风险预算须逐次不增加",IF(OR(_LockStatus="已锁仓",_LockStatus="解锁信息不完整"),"违规：锁仓期间禁止加仓",IF(G546="","计划可执行：建议股数见N列",IF(OR(G546&lt;=0,G546&lt;&gt;INT(G546),MOD(G546,100)&lt;&gt;0),"违规：实际股数须为100股整数倍",IF(G546&gt;N546,"违规：实际股数超过风险或金字塔上限",IF(AND(B546&gt;1,G546&gt;SUMIFS($G$2:$G$1001,$A$2:$A$1001,A546,$B$2:$B$1001,B546-1)),"违规：加仓股数须逐次不增加",IF(Q546&gt;F546,"违规：止损风险超过本次预算","通过")))))))))))))))</f>
        <v/>
      </c>
    </row>
    <row r="547" ht="17" spans="1:18">
      <c r="A547" s="13"/>
      <c r="B547" s="14"/>
      <c r="C547" s="15"/>
      <c r="D547" s="16"/>
      <c r="E547" s="16"/>
      <c r="F547" s="16"/>
      <c r="G547" s="14"/>
      <c r="H547" s="17" t="str">
        <f t="shared" si="64"/>
        <v/>
      </c>
      <c r="I547" s="18" t="str">
        <f>IF(OR(A547="",B547=""),"",IFERROR(LOOKUP(2,1/(单次交易!$A$2:$A$201=A547),单次交易!$H$2:$H$201),0)+SUMIFS($G$2:$G$1001,$A$2:$A$1001,A547,$B$2:$B$1001,"&lt;"&amp;B547))</f>
        <v/>
      </c>
      <c r="J547" s="17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17" t="str">
        <f t="shared" si="65"/>
        <v/>
      </c>
      <c r="L547" s="18" t="str">
        <f t="shared" si="66"/>
        <v/>
      </c>
      <c r="M547" s="18" t="str">
        <f t="shared" si="67"/>
        <v/>
      </c>
      <c r="N547" s="18" t="str">
        <f t="shared" si="68"/>
        <v/>
      </c>
      <c r="O547" s="18" t="str">
        <f t="shared" si="69"/>
        <v/>
      </c>
      <c r="P547" s="17" t="str">
        <f t="shared" si="70"/>
        <v/>
      </c>
      <c r="Q547" s="17" t="str">
        <f t="shared" si="71"/>
        <v/>
      </c>
      <c r="R547" s="19" t="str">
        <f ca="1">IF(A547="","",IF(COUNTIF(_TradeIds,A547)=0,"违规：交易编号不存在",IF(OR(B547="",B547&lt;1,B547&gt;5,B547&lt;&gt;INT(B547)),"违规：加仓序号须为1到5的整数",IF(COUNTIFS($A$2:$A$1001,A547,$B$2:$B$1001,B547)&gt;1,"违规：同一交易的加仓序号重复",IF(OR(D547="",E547="",F547=""),"计划不完整：请填写加仓价、新止损价和风险预算",IF(OR(D547&lt;=0,E547&lt;=0,F547&lt;=0,D547&lt;=E547),"违规：加仓价必须高于新止损价，金额须大于0",IF(AND(B547&gt;1,COUNTIFS($A$2:$A$1001,A547,$B$2:$B$1001,B547-1,$G$2:$G$1001,"&gt;0")=0),"违规：须先完成上一次加仓",IF(AND(B547&gt;1,E547&lt;SUMIFS($E$2:$E$1001,$A$2:$A$1001,A547,$B$2:$B$1001,B547-1)),"违规：新止损价不得低于上一次",IF(AND(B547&gt;1,F547&gt;SUMIFS($F$2:$F$1001,$A$2:$A$1001,A547,$B$2:$B$1001,B547-1)),"违规：风险预算须逐次不增加",IF(OR(_LockStatus="已锁仓",_LockStatus="解锁信息不完整"),"违规：锁仓期间禁止加仓",IF(G547="","计划可执行：建议股数见N列",IF(OR(G547&lt;=0,G547&lt;&gt;INT(G547),MOD(G547,100)&lt;&gt;0),"违规：实际股数须为100股整数倍",IF(G547&gt;N547,"违规：实际股数超过风险或金字塔上限",IF(AND(B547&gt;1,G547&gt;SUMIFS($G$2:$G$1001,$A$2:$A$1001,A547,$B$2:$B$1001,B547-1)),"违规：加仓股数须逐次不增加",IF(Q547&gt;F547,"违规：止损风险超过本次预算","通过")))))))))))))))</f>
        <v/>
      </c>
    </row>
    <row r="548" ht="17" spans="1:18">
      <c r="A548" s="13"/>
      <c r="B548" s="14"/>
      <c r="C548" s="15"/>
      <c r="D548" s="16"/>
      <c r="E548" s="16"/>
      <c r="F548" s="16"/>
      <c r="G548" s="14"/>
      <c r="H548" s="17" t="str">
        <f t="shared" si="64"/>
        <v/>
      </c>
      <c r="I548" s="18" t="str">
        <f>IF(OR(A548="",B548=""),"",IFERROR(LOOKUP(2,1/(单次交易!$A$2:$A$201=A548),单次交易!$H$2:$H$201),0)+SUMIFS($G$2:$G$1001,$A$2:$A$1001,A548,$B$2:$B$1001,"&lt;"&amp;B548))</f>
        <v/>
      </c>
      <c r="J548" s="17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17" t="str">
        <f t="shared" si="65"/>
        <v/>
      </c>
      <c r="L548" s="18" t="str">
        <f t="shared" si="66"/>
        <v/>
      </c>
      <c r="M548" s="18" t="str">
        <f t="shared" si="67"/>
        <v/>
      </c>
      <c r="N548" s="18" t="str">
        <f t="shared" si="68"/>
        <v/>
      </c>
      <c r="O548" s="18" t="str">
        <f t="shared" si="69"/>
        <v/>
      </c>
      <c r="P548" s="17" t="str">
        <f t="shared" si="70"/>
        <v/>
      </c>
      <c r="Q548" s="17" t="str">
        <f t="shared" si="71"/>
        <v/>
      </c>
      <c r="R548" s="19" t="str">
        <f ca="1">IF(A548="","",IF(COUNTIF(_TradeIds,A548)=0,"违规：交易编号不存在",IF(OR(B548="",B548&lt;1,B548&gt;5,B548&lt;&gt;INT(B548)),"违规：加仓序号须为1到5的整数",IF(COUNTIFS($A$2:$A$1001,A548,$B$2:$B$1001,B548)&gt;1,"违规：同一交易的加仓序号重复",IF(OR(D548="",E548="",F548=""),"计划不完整：请填写加仓价、新止损价和风险预算",IF(OR(D548&lt;=0,E548&lt;=0,F548&lt;=0,D548&lt;=E548),"违规：加仓价必须高于新止损价，金额须大于0",IF(AND(B548&gt;1,COUNTIFS($A$2:$A$1001,A548,$B$2:$B$1001,B548-1,$G$2:$G$1001,"&gt;0")=0),"违规：须先完成上一次加仓",IF(AND(B548&gt;1,E548&lt;SUMIFS($E$2:$E$1001,$A$2:$A$1001,A548,$B$2:$B$1001,B548-1)),"违规：新止损价不得低于上一次",IF(AND(B548&gt;1,F548&gt;SUMIFS($F$2:$F$1001,$A$2:$A$1001,A548,$B$2:$B$1001,B548-1)),"违规：风险预算须逐次不增加",IF(OR(_LockStatus="已锁仓",_LockStatus="解锁信息不完整"),"违规：锁仓期间禁止加仓",IF(G548="","计划可执行：建议股数见N列",IF(OR(G548&lt;=0,G548&lt;&gt;INT(G548),MOD(G548,100)&lt;&gt;0),"违规：实际股数须为100股整数倍",IF(G548&gt;N548,"违规：实际股数超过风险或金字塔上限",IF(AND(B548&gt;1,G548&gt;SUMIFS($G$2:$G$1001,$A$2:$A$1001,A548,$B$2:$B$1001,B548-1)),"违规：加仓股数须逐次不增加",IF(Q548&gt;F548,"违规：止损风险超过本次预算","通过")))))))))))))))</f>
        <v/>
      </c>
    </row>
    <row r="549" ht="17" spans="1:18">
      <c r="A549" s="13"/>
      <c r="B549" s="14"/>
      <c r="C549" s="15"/>
      <c r="D549" s="16"/>
      <c r="E549" s="16"/>
      <c r="F549" s="16"/>
      <c r="G549" s="14"/>
      <c r="H549" s="17" t="str">
        <f t="shared" si="64"/>
        <v/>
      </c>
      <c r="I549" s="18" t="str">
        <f>IF(OR(A549="",B549=""),"",IFERROR(LOOKUP(2,1/(单次交易!$A$2:$A$201=A549),单次交易!$H$2:$H$201),0)+SUMIFS($G$2:$G$1001,$A$2:$A$1001,A549,$B$2:$B$1001,"&lt;"&amp;B549))</f>
        <v/>
      </c>
      <c r="J549" s="17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17" t="str">
        <f t="shared" si="65"/>
        <v/>
      </c>
      <c r="L549" s="18" t="str">
        <f t="shared" si="66"/>
        <v/>
      </c>
      <c r="M549" s="18" t="str">
        <f t="shared" si="67"/>
        <v/>
      </c>
      <c r="N549" s="18" t="str">
        <f t="shared" si="68"/>
        <v/>
      </c>
      <c r="O549" s="18" t="str">
        <f t="shared" si="69"/>
        <v/>
      </c>
      <c r="P549" s="17" t="str">
        <f t="shared" si="70"/>
        <v/>
      </c>
      <c r="Q549" s="17" t="str">
        <f t="shared" si="71"/>
        <v/>
      </c>
      <c r="R549" s="19" t="str">
        <f ca="1">IF(A549="","",IF(COUNTIF(_TradeIds,A549)=0,"违规：交易编号不存在",IF(OR(B549="",B549&lt;1,B549&gt;5,B549&lt;&gt;INT(B549)),"违规：加仓序号须为1到5的整数",IF(COUNTIFS($A$2:$A$1001,A549,$B$2:$B$1001,B549)&gt;1,"违规：同一交易的加仓序号重复",IF(OR(D549="",E549="",F549=""),"计划不完整：请填写加仓价、新止损价和风险预算",IF(OR(D549&lt;=0,E549&lt;=0,F549&lt;=0,D549&lt;=E549),"违规：加仓价必须高于新止损价，金额须大于0",IF(AND(B549&gt;1,COUNTIFS($A$2:$A$1001,A549,$B$2:$B$1001,B549-1,$G$2:$G$1001,"&gt;0")=0),"违规：须先完成上一次加仓",IF(AND(B549&gt;1,E549&lt;SUMIFS($E$2:$E$1001,$A$2:$A$1001,A549,$B$2:$B$1001,B549-1)),"违规：新止损价不得低于上一次",IF(AND(B549&gt;1,F549&gt;SUMIFS($F$2:$F$1001,$A$2:$A$1001,A549,$B$2:$B$1001,B549-1)),"违规：风险预算须逐次不增加",IF(OR(_LockStatus="已锁仓",_LockStatus="解锁信息不完整"),"违规：锁仓期间禁止加仓",IF(G549="","计划可执行：建议股数见N列",IF(OR(G549&lt;=0,G549&lt;&gt;INT(G549),MOD(G549,100)&lt;&gt;0),"违规：实际股数须为100股整数倍",IF(G549&gt;N549,"违规：实际股数超过风险或金字塔上限",IF(AND(B549&gt;1,G549&gt;SUMIFS($G$2:$G$1001,$A$2:$A$1001,A549,$B$2:$B$1001,B549-1)),"违规：加仓股数须逐次不增加",IF(Q549&gt;F549,"违规：止损风险超过本次预算","通过")))))))))))))))</f>
        <v/>
      </c>
    </row>
    <row r="550" ht="17" spans="1:18">
      <c r="A550" s="13"/>
      <c r="B550" s="14"/>
      <c r="C550" s="15"/>
      <c r="D550" s="16"/>
      <c r="E550" s="16"/>
      <c r="F550" s="16"/>
      <c r="G550" s="14"/>
      <c r="H550" s="17" t="str">
        <f t="shared" si="64"/>
        <v/>
      </c>
      <c r="I550" s="18" t="str">
        <f>IF(OR(A550="",B550=""),"",IFERROR(LOOKUP(2,1/(单次交易!$A$2:$A$201=A550),单次交易!$H$2:$H$201),0)+SUMIFS($G$2:$G$1001,$A$2:$A$1001,A550,$B$2:$B$1001,"&lt;"&amp;B550))</f>
        <v/>
      </c>
      <c r="J550" s="17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17" t="str">
        <f t="shared" si="65"/>
        <v/>
      </c>
      <c r="L550" s="18" t="str">
        <f t="shared" si="66"/>
        <v/>
      </c>
      <c r="M550" s="18" t="str">
        <f t="shared" si="67"/>
        <v/>
      </c>
      <c r="N550" s="18" t="str">
        <f t="shared" si="68"/>
        <v/>
      </c>
      <c r="O550" s="18" t="str">
        <f t="shared" si="69"/>
        <v/>
      </c>
      <c r="P550" s="17" t="str">
        <f t="shared" si="70"/>
        <v/>
      </c>
      <c r="Q550" s="17" t="str">
        <f t="shared" si="71"/>
        <v/>
      </c>
      <c r="R550" s="19" t="str">
        <f ca="1">IF(A550="","",IF(COUNTIF(_TradeIds,A550)=0,"违规：交易编号不存在",IF(OR(B550="",B550&lt;1,B550&gt;5,B550&lt;&gt;INT(B550)),"违规：加仓序号须为1到5的整数",IF(COUNTIFS($A$2:$A$1001,A550,$B$2:$B$1001,B550)&gt;1,"违规：同一交易的加仓序号重复",IF(OR(D550="",E550="",F550=""),"计划不完整：请填写加仓价、新止损价和风险预算",IF(OR(D550&lt;=0,E550&lt;=0,F550&lt;=0,D550&lt;=E550),"违规：加仓价必须高于新止损价，金额须大于0",IF(AND(B550&gt;1,COUNTIFS($A$2:$A$1001,A550,$B$2:$B$1001,B550-1,$G$2:$G$1001,"&gt;0")=0),"违规：须先完成上一次加仓",IF(AND(B550&gt;1,E550&lt;SUMIFS($E$2:$E$1001,$A$2:$A$1001,A550,$B$2:$B$1001,B550-1)),"违规：新止损价不得低于上一次",IF(AND(B550&gt;1,F550&gt;SUMIFS($F$2:$F$1001,$A$2:$A$1001,A550,$B$2:$B$1001,B550-1)),"违规：风险预算须逐次不增加",IF(OR(_LockStatus="已锁仓",_LockStatus="解锁信息不完整"),"违规：锁仓期间禁止加仓",IF(G550="","计划可执行：建议股数见N列",IF(OR(G550&lt;=0,G550&lt;&gt;INT(G550),MOD(G550,100)&lt;&gt;0),"违规：实际股数须为100股整数倍",IF(G550&gt;N550,"违规：实际股数超过风险或金字塔上限",IF(AND(B550&gt;1,G550&gt;SUMIFS($G$2:$G$1001,$A$2:$A$1001,A550,$B$2:$B$1001,B550-1)),"违规：加仓股数须逐次不增加",IF(Q550&gt;F550,"违规：止损风险超过本次预算","通过")))))))))))))))</f>
        <v/>
      </c>
    </row>
    <row r="551" ht="17" spans="1:18">
      <c r="A551" s="13"/>
      <c r="B551" s="14"/>
      <c r="C551" s="15"/>
      <c r="D551" s="16"/>
      <c r="E551" s="16"/>
      <c r="F551" s="16"/>
      <c r="G551" s="14"/>
      <c r="H551" s="17" t="str">
        <f t="shared" si="64"/>
        <v/>
      </c>
      <c r="I551" s="18" t="str">
        <f>IF(OR(A551="",B551=""),"",IFERROR(LOOKUP(2,1/(单次交易!$A$2:$A$201=A551),单次交易!$H$2:$H$201),0)+SUMIFS($G$2:$G$1001,$A$2:$A$1001,A551,$B$2:$B$1001,"&lt;"&amp;B551))</f>
        <v/>
      </c>
      <c r="J551" s="17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17" t="str">
        <f t="shared" si="65"/>
        <v/>
      </c>
      <c r="L551" s="18" t="str">
        <f t="shared" si="66"/>
        <v/>
      </c>
      <c r="M551" s="18" t="str">
        <f t="shared" si="67"/>
        <v/>
      </c>
      <c r="N551" s="18" t="str">
        <f t="shared" si="68"/>
        <v/>
      </c>
      <c r="O551" s="18" t="str">
        <f t="shared" si="69"/>
        <v/>
      </c>
      <c r="P551" s="17" t="str">
        <f t="shared" si="70"/>
        <v/>
      </c>
      <c r="Q551" s="17" t="str">
        <f t="shared" si="71"/>
        <v/>
      </c>
      <c r="R551" s="19" t="str">
        <f ca="1">IF(A551="","",IF(COUNTIF(_TradeIds,A551)=0,"违规：交易编号不存在",IF(OR(B551="",B551&lt;1,B551&gt;5,B551&lt;&gt;INT(B551)),"违规：加仓序号须为1到5的整数",IF(COUNTIFS($A$2:$A$1001,A551,$B$2:$B$1001,B551)&gt;1,"违规：同一交易的加仓序号重复",IF(OR(D551="",E551="",F551=""),"计划不完整：请填写加仓价、新止损价和风险预算",IF(OR(D551&lt;=0,E551&lt;=0,F551&lt;=0,D551&lt;=E551),"违规：加仓价必须高于新止损价，金额须大于0",IF(AND(B551&gt;1,COUNTIFS($A$2:$A$1001,A551,$B$2:$B$1001,B551-1,$G$2:$G$1001,"&gt;0")=0),"违规：须先完成上一次加仓",IF(AND(B551&gt;1,E551&lt;SUMIFS($E$2:$E$1001,$A$2:$A$1001,A551,$B$2:$B$1001,B551-1)),"违规：新止损价不得低于上一次",IF(AND(B551&gt;1,F551&gt;SUMIFS($F$2:$F$1001,$A$2:$A$1001,A551,$B$2:$B$1001,B551-1)),"违规：风险预算须逐次不增加",IF(OR(_LockStatus="已锁仓",_LockStatus="解锁信息不完整"),"违规：锁仓期间禁止加仓",IF(G551="","计划可执行：建议股数见N列",IF(OR(G551&lt;=0,G551&lt;&gt;INT(G551),MOD(G551,100)&lt;&gt;0),"违规：实际股数须为100股整数倍",IF(G551&gt;N551,"违规：实际股数超过风险或金字塔上限",IF(AND(B551&gt;1,G551&gt;SUMIFS($G$2:$G$1001,$A$2:$A$1001,A551,$B$2:$B$1001,B551-1)),"违规：加仓股数须逐次不增加",IF(Q551&gt;F551,"违规：止损风险超过本次预算","通过")))))))))))))))</f>
        <v/>
      </c>
    </row>
    <row r="552" ht="17" spans="1:18">
      <c r="A552" s="13"/>
      <c r="B552" s="14"/>
      <c r="C552" s="15"/>
      <c r="D552" s="16"/>
      <c r="E552" s="16"/>
      <c r="F552" s="16"/>
      <c r="G552" s="14"/>
      <c r="H552" s="17" t="str">
        <f t="shared" si="64"/>
        <v/>
      </c>
      <c r="I552" s="18" t="str">
        <f>IF(OR(A552="",B552=""),"",IFERROR(LOOKUP(2,1/(单次交易!$A$2:$A$201=A552),单次交易!$H$2:$H$201),0)+SUMIFS($G$2:$G$1001,$A$2:$A$1001,A552,$B$2:$B$1001,"&lt;"&amp;B552))</f>
        <v/>
      </c>
      <c r="J552" s="17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17" t="str">
        <f t="shared" si="65"/>
        <v/>
      </c>
      <c r="L552" s="18" t="str">
        <f t="shared" si="66"/>
        <v/>
      </c>
      <c r="M552" s="18" t="str">
        <f t="shared" si="67"/>
        <v/>
      </c>
      <c r="N552" s="18" t="str">
        <f t="shared" si="68"/>
        <v/>
      </c>
      <c r="O552" s="18" t="str">
        <f t="shared" si="69"/>
        <v/>
      </c>
      <c r="P552" s="17" t="str">
        <f t="shared" si="70"/>
        <v/>
      </c>
      <c r="Q552" s="17" t="str">
        <f t="shared" si="71"/>
        <v/>
      </c>
      <c r="R552" s="19" t="str">
        <f ca="1">IF(A552="","",IF(COUNTIF(_TradeIds,A552)=0,"违规：交易编号不存在",IF(OR(B552="",B552&lt;1,B552&gt;5,B552&lt;&gt;INT(B552)),"违规：加仓序号须为1到5的整数",IF(COUNTIFS($A$2:$A$1001,A552,$B$2:$B$1001,B552)&gt;1,"违规：同一交易的加仓序号重复",IF(OR(D552="",E552="",F552=""),"计划不完整：请填写加仓价、新止损价和风险预算",IF(OR(D552&lt;=0,E552&lt;=0,F552&lt;=0,D552&lt;=E552),"违规：加仓价必须高于新止损价，金额须大于0",IF(AND(B552&gt;1,COUNTIFS($A$2:$A$1001,A552,$B$2:$B$1001,B552-1,$G$2:$G$1001,"&gt;0")=0),"违规：须先完成上一次加仓",IF(AND(B552&gt;1,E552&lt;SUMIFS($E$2:$E$1001,$A$2:$A$1001,A552,$B$2:$B$1001,B552-1)),"违规：新止损价不得低于上一次",IF(AND(B552&gt;1,F552&gt;SUMIFS($F$2:$F$1001,$A$2:$A$1001,A552,$B$2:$B$1001,B552-1)),"违规：风险预算须逐次不增加",IF(OR(_LockStatus="已锁仓",_LockStatus="解锁信息不完整"),"违规：锁仓期间禁止加仓",IF(G552="","计划可执行：建议股数见N列",IF(OR(G552&lt;=0,G552&lt;&gt;INT(G552),MOD(G552,100)&lt;&gt;0),"违规：实际股数须为100股整数倍",IF(G552&gt;N552,"违规：实际股数超过风险或金字塔上限",IF(AND(B552&gt;1,G552&gt;SUMIFS($G$2:$G$1001,$A$2:$A$1001,A552,$B$2:$B$1001,B552-1)),"违规：加仓股数须逐次不增加",IF(Q552&gt;F552,"违规：止损风险超过本次预算","通过")))))))))))))))</f>
        <v/>
      </c>
    </row>
    <row r="553" ht="17" spans="1:18">
      <c r="A553" s="13"/>
      <c r="B553" s="14"/>
      <c r="C553" s="15"/>
      <c r="D553" s="16"/>
      <c r="E553" s="16"/>
      <c r="F553" s="16"/>
      <c r="G553" s="14"/>
      <c r="H553" s="17" t="str">
        <f t="shared" si="64"/>
        <v/>
      </c>
      <c r="I553" s="18" t="str">
        <f>IF(OR(A553="",B553=""),"",IFERROR(LOOKUP(2,1/(单次交易!$A$2:$A$201=A553),单次交易!$H$2:$H$201),0)+SUMIFS($G$2:$G$1001,$A$2:$A$1001,A553,$B$2:$B$1001,"&lt;"&amp;B553))</f>
        <v/>
      </c>
      <c r="J553" s="17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17" t="str">
        <f t="shared" si="65"/>
        <v/>
      </c>
      <c r="L553" s="18" t="str">
        <f t="shared" si="66"/>
        <v/>
      </c>
      <c r="M553" s="18" t="str">
        <f t="shared" si="67"/>
        <v/>
      </c>
      <c r="N553" s="18" t="str">
        <f t="shared" si="68"/>
        <v/>
      </c>
      <c r="O553" s="18" t="str">
        <f t="shared" si="69"/>
        <v/>
      </c>
      <c r="P553" s="17" t="str">
        <f t="shared" si="70"/>
        <v/>
      </c>
      <c r="Q553" s="17" t="str">
        <f t="shared" si="71"/>
        <v/>
      </c>
      <c r="R553" s="19" t="str">
        <f ca="1">IF(A553="","",IF(COUNTIF(_TradeIds,A553)=0,"违规：交易编号不存在",IF(OR(B553="",B553&lt;1,B553&gt;5,B553&lt;&gt;INT(B553)),"违规：加仓序号须为1到5的整数",IF(COUNTIFS($A$2:$A$1001,A553,$B$2:$B$1001,B553)&gt;1,"违规：同一交易的加仓序号重复",IF(OR(D553="",E553="",F553=""),"计划不完整：请填写加仓价、新止损价和风险预算",IF(OR(D553&lt;=0,E553&lt;=0,F553&lt;=0,D553&lt;=E553),"违规：加仓价必须高于新止损价，金额须大于0",IF(AND(B553&gt;1,COUNTIFS($A$2:$A$1001,A553,$B$2:$B$1001,B553-1,$G$2:$G$1001,"&gt;0")=0),"违规：须先完成上一次加仓",IF(AND(B553&gt;1,E553&lt;SUMIFS($E$2:$E$1001,$A$2:$A$1001,A553,$B$2:$B$1001,B553-1)),"违规：新止损价不得低于上一次",IF(AND(B553&gt;1,F553&gt;SUMIFS($F$2:$F$1001,$A$2:$A$1001,A553,$B$2:$B$1001,B553-1)),"违规：风险预算须逐次不增加",IF(OR(_LockStatus="已锁仓",_LockStatus="解锁信息不完整"),"违规：锁仓期间禁止加仓",IF(G553="","计划可执行：建议股数见N列",IF(OR(G553&lt;=0,G553&lt;&gt;INT(G553),MOD(G553,100)&lt;&gt;0),"违规：实际股数须为100股整数倍",IF(G553&gt;N553,"违规：实际股数超过风险或金字塔上限",IF(AND(B553&gt;1,G553&gt;SUMIFS($G$2:$G$1001,$A$2:$A$1001,A553,$B$2:$B$1001,B553-1)),"违规：加仓股数须逐次不增加",IF(Q553&gt;F553,"违规：止损风险超过本次预算","通过")))))))))))))))</f>
        <v/>
      </c>
    </row>
    <row r="554" ht="17" spans="1:18">
      <c r="A554" s="13"/>
      <c r="B554" s="14"/>
      <c r="C554" s="15"/>
      <c r="D554" s="16"/>
      <c r="E554" s="16"/>
      <c r="F554" s="16"/>
      <c r="G554" s="14"/>
      <c r="H554" s="17" t="str">
        <f t="shared" si="64"/>
        <v/>
      </c>
      <c r="I554" s="18" t="str">
        <f>IF(OR(A554="",B554=""),"",IFERROR(LOOKUP(2,1/(单次交易!$A$2:$A$201=A554),单次交易!$H$2:$H$201),0)+SUMIFS($G$2:$G$1001,$A$2:$A$1001,A554,$B$2:$B$1001,"&lt;"&amp;B554))</f>
        <v/>
      </c>
      <c r="J554" s="17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17" t="str">
        <f t="shared" si="65"/>
        <v/>
      </c>
      <c r="L554" s="18" t="str">
        <f t="shared" si="66"/>
        <v/>
      </c>
      <c r="M554" s="18" t="str">
        <f t="shared" si="67"/>
        <v/>
      </c>
      <c r="N554" s="18" t="str">
        <f t="shared" si="68"/>
        <v/>
      </c>
      <c r="O554" s="18" t="str">
        <f t="shared" si="69"/>
        <v/>
      </c>
      <c r="P554" s="17" t="str">
        <f t="shared" si="70"/>
        <v/>
      </c>
      <c r="Q554" s="17" t="str">
        <f t="shared" si="71"/>
        <v/>
      </c>
      <c r="R554" s="19" t="str">
        <f ca="1">IF(A554="","",IF(COUNTIF(_TradeIds,A554)=0,"违规：交易编号不存在",IF(OR(B554="",B554&lt;1,B554&gt;5,B554&lt;&gt;INT(B554)),"违规：加仓序号须为1到5的整数",IF(COUNTIFS($A$2:$A$1001,A554,$B$2:$B$1001,B554)&gt;1,"违规：同一交易的加仓序号重复",IF(OR(D554="",E554="",F554=""),"计划不完整：请填写加仓价、新止损价和风险预算",IF(OR(D554&lt;=0,E554&lt;=0,F554&lt;=0,D554&lt;=E554),"违规：加仓价必须高于新止损价，金额须大于0",IF(AND(B554&gt;1,COUNTIFS($A$2:$A$1001,A554,$B$2:$B$1001,B554-1,$G$2:$G$1001,"&gt;0")=0),"违规：须先完成上一次加仓",IF(AND(B554&gt;1,E554&lt;SUMIFS($E$2:$E$1001,$A$2:$A$1001,A554,$B$2:$B$1001,B554-1)),"违规：新止损价不得低于上一次",IF(AND(B554&gt;1,F554&gt;SUMIFS($F$2:$F$1001,$A$2:$A$1001,A554,$B$2:$B$1001,B554-1)),"违规：风险预算须逐次不增加",IF(OR(_LockStatus="已锁仓",_LockStatus="解锁信息不完整"),"违规：锁仓期间禁止加仓",IF(G554="","计划可执行：建议股数见N列",IF(OR(G554&lt;=0,G554&lt;&gt;INT(G554),MOD(G554,100)&lt;&gt;0),"违规：实际股数须为100股整数倍",IF(G554&gt;N554,"违规：实际股数超过风险或金字塔上限",IF(AND(B554&gt;1,G554&gt;SUMIFS($G$2:$G$1001,$A$2:$A$1001,A554,$B$2:$B$1001,B554-1)),"违规：加仓股数须逐次不增加",IF(Q554&gt;F554,"违规：止损风险超过本次预算","通过")))))))))))))))</f>
        <v/>
      </c>
    </row>
    <row r="555" ht="17" spans="1:18">
      <c r="A555" s="13"/>
      <c r="B555" s="14"/>
      <c r="C555" s="15"/>
      <c r="D555" s="16"/>
      <c r="E555" s="16"/>
      <c r="F555" s="16"/>
      <c r="G555" s="14"/>
      <c r="H555" s="17" t="str">
        <f t="shared" si="64"/>
        <v/>
      </c>
      <c r="I555" s="18" t="str">
        <f>IF(OR(A555="",B555=""),"",IFERROR(LOOKUP(2,1/(单次交易!$A$2:$A$201=A555),单次交易!$H$2:$H$201),0)+SUMIFS($G$2:$G$1001,$A$2:$A$1001,A555,$B$2:$B$1001,"&lt;"&amp;B555))</f>
        <v/>
      </c>
      <c r="J555" s="17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17" t="str">
        <f t="shared" si="65"/>
        <v/>
      </c>
      <c r="L555" s="18" t="str">
        <f t="shared" si="66"/>
        <v/>
      </c>
      <c r="M555" s="18" t="str">
        <f t="shared" si="67"/>
        <v/>
      </c>
      <c r="N555" s="18" t="str">
        <f t="shared" si="68"/>
        <v/>
      </c>
      <c r="O555" s="18" t="str">
        <f t="shared" si="69"/>
        <v/>
      </c>
      <c r="P555" s="17" t="str">
        <f t="shared" si="70"/>
        <v/>
      </c>
      <c r="Q555" s="17" t="str">
        <f t="shared" si="71"/>
        <v/>
      </c>
      <c r="R555" s="19" t="str">
        <f ca="1">IF(A555="","",IF(COUNTIF(_TradeIds,A555)=0,"违规：交易编号不存在",IF(OR(B555="",B555&lt;1,B555&gt;5,B555&lt;&gt;INT(B555)),"违规：加仓序号须为1到5的整数",IF(COUNTIFS($A$2:$A$1001,A555,$B$2:$B$1001,B555)&gt;1,"违规：同一交易的加仓序号重复",IF(OR(D555="",E555="",F555=""),"计划不完整：请填写加仓价、新止损价和风险预算",IF(OR(D555&lt;=0,E555&lt;=0,F555&lt;=0,D555&lt;=E555),"违规：加仓价必须高于新止损价，金额须大于0",IF(AND(B555&gt;1,COUNTIFS($A$2:$A$1001,A555,$B$2:$B$1001,B555-1,$G$2:$G$1001,"&gt;0")=0),"违规：须先完成上一次加仓",IF(AND(B555&gt;1,E555&lt;SUMIFS($E$2:$E$1001,$A$2:$A$1001,A555,$B$2:$B$1001,B555-1)),"违规：新止损价不得低于上一次",IF(AND(B555&gt;1,F555&gt;SUMIFS($F$2:$F$1001,$A$2:$A$1001,A555,$B$2:$B$1001,B555-1)),"违规：风险预算须逐次不增加",IF(OR(_LockStatus="已锁仓",_LockStatus="解锁信息不完整"),"违规：锁仓期间禁止加仓",IF(G555="","计划可执行：建议股数见N列",IF(OR(G555&lt;=0,G555&lt;&gt;INT(G555),MOD(G555,100)&lt;&gt;0),"违规：实际股数须为100股整数倍",IF(G555&gt;N555,"违规：实际股数超过风险或金字塔上限",IF(AND(B555&gt;1,G555&gt;SUMIFS($G$2:$G$1001,$A$2:$A$1001,A555,$B$2:$B$1001,B555-1)),"违规：加仓股数须逐次不增加",IF(Q555&gt;F555,"违规：止损风险超过本次预算","通过")))))))))))))))</f>
        <v/>
      </c>
    </row>
    <row r="556" ht="17" spans="1:18">
      <c r="A556" s="13"/>
      <c r="B556" s="14"/>
      <c r="C556" s="15"/>
      <c r="D556" s="16"/>
      <c r="E556" s="16"/>
      <c r="F556" s="16"/>
      <c r="G556" s="14"/>
      <c r="H556" s="17" t="str">
        <f t="shared" si="64"/>
        <v/>
      </c>
      <c r="I556" s="18" t="str">
        <f>IF(OR(A556="",B556=""),"",IFERROR(LOOKUP(2,1/(单次交易!$A$2:$A$201=A556),单次交易!$H$2:$H$201),0)+SUMIFS($G$2:$G$1001,$A$2:$A$1001,A556,$B$2:$B$1001,"&lt;"&amp;B556))</f>
        <v/>
      </c>
      <c r="J556" s="17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17" t="str">
        <f t="shared" si="65"/>
        <v/>
      </c>
      <c r="L556" s="18" t="str">
        <f t="shared" si="66"/>
        <v/>
      </c>
      <c r="M556" s="18" t="str">
        <f t="shared" si="67"/>
        <v/>
      </c>
      <c r="N556" s="18" t="str">
        <f t="shared" si="68"/>
        <v/>
      </c>
      <c r="O556" s="18" t="str">
        <f t="shared" si="69"/>
        <v/>
      </c>
      <c r="P556" s="17" t="str">
        <f t="shared" si="70"/>
        <v/>
      </c>
      <c r="Q556" s="17" t="str">
        <f t="shared" si="71"/>
        <v/>
      </c>
      <c r="R556" s="19" t="str">
        <f ca="1">IF(A556="","",IF(COUNTIF(_TradeIds,A556)=0,"违规：交易编号不存在",IF(OR(B556="",B556&lt;1,B556&gt;5,B556&lt;&gt;INT(B556)),"违规：加仓序号须为1到5的整数",IF(COUNTIFS($A$2:$A$1001,A556,$B$2:$B$1001,B556)&gt;1,"违规：同一交易的加仓序号重复",IF(OR(D556="",E556="",F556=""),"计划不完整：请填写加仓价、新止损价和风险预算",IF(OR(D556&lt;=0,E556&lt;=0,F556&lt;=0,D556&lt;=E556),"违规：加仓价必须高于新止损价，金额须大于0",IF(AND(B556&gt;1,COUNTIFS($A$2:$A$1001,A556,$B$2:$B$1001,B556-1,$G$2:$G$1001,"&gt;0")=0),"违规：须先完成上一次加仓",IF(AND(B556&gt;1,E556&lt;SUMIFS($E$2:$E$1001,$A$2:$A$1001,A556,$B$2:$B$1001,B556-1)),"违规：新止损价不得低于上一次",IF(AND(B556&gt;1,F556&gt;SUMIFS($F$2:$F$1001,$A$2:$A$1001,A556,$B$2:$B$1001,B556-1)),"违规：风险预算须逐次不增加",IF(OR(_LockStatus="已锁仓",_LockStatus="解锁信息不完整"),"违规：锁仓期间禁止加仓",IF(G556="","计划可执行：建议股数见N列",IF(OR(G556&lt;=0,G556&lt;&gt;INT(G556),MOD(G556,100)&lt;&gt;0),"违规：实际股数须为100股整数倍",IF(G556&gt;N556,"违规：实际股数超过风险或金字塔上限",IF(AND(B556&gt;1,G556&gt;SUMIFS($G$2:$G$1001,$A$2:$A$1001,A556,$B$2:$B$1001,B556-1)),"违规：加仓股数须逐次不增加",IF(Q556&gt;F556,"违规：止损风险超过本次预算","通过")))))))))))))))</f>
        <v/>
      </c>
    </row>
    <row r="557" ht="17" spans="1:18">
      <c r="A557" s="13"/>
      <c r="B557" s="14"/>
      <c r="C557" s="15"/>
      <c r="D557" s="16"/>
      <c r="E557" s="16"/>
      <c r="F557" s="16"/>
      <c r="G557" s="14"/>
      <c r="H557" s="17" t="str">
        <f t="shared" si="64"/>
        <v/>
      </c>
      <c r="I557" s="18" t="str">
        <f>IF(OR(A557="",B557=""),"",IFERROR(LOOKUP(2,1/(单次交易!$A$2:$A$201=A557),单次交易!$H$2:$H$201),0)+SUMIFS($G$2:$G$1001,$A$2:$A$1001,A557,$B$2:$B$1001,"&lt;"&amp;B557))</f>
        <v/>
      </c>
      <c r="J557" s="17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17" t="str">
        <f t="shared" si="65"/>
        <v/>
      </c>
      <c r="L557" s="18" t="str">
        <f t="shared" si="66"/>
        <v/>
      </c>
      <c r="M557" s="18" t="str">
        <f t="shared" si="67"/>
        <v/>
      </c>
      <c r="N557" s="18" t="str">
        <f t="shared" si="68"/>
        <v/>
      </c>
      <c r="O557" s="18" t="str">
        <f t="shared" si="69"/>
        <v/>
      </c>
      <c r="P557" s="17" t="str">
        <f t="shared" si="70"/>
        <v/>
      </c>
      <c r="Q557" s="17" t="str">
        <f t="shared" si="71"/>
        <v/>
      </c>
      <c r="R557" s="19" t="str">
        <f ca="1">IF(A557="","",IF(COUNTIF(_TradeIds,A557)=0,"违规：交易编号不存在",IF(OR(B557="",B557&lt;1,B557&gt;5,B557&lt;&gt;INT(B557)),"违规：加仓序号须为1到5的整数",IF(COUNTIFS($A$2:$A$1001,A557,$B$2:$B$1001,B557)&gt;1,"违规：同一交易的加仓序号重复",IF(OR(D557="",E557="",F557=""),"计划不完整：请填写加仓价、新止损价和风险预算",IF(OR(D557&lt;=0,E557&lt;=0,F557&lt;=0,D557&lt;=E557),"违规：加仓价必须高于新止损价，金额须大于0",IF(AND(B557&gt;1,COUNTIFS($A$2:$A$1001,A557,$B$2:$B$1001,B557-1,$G$2:$G$1001,"&gt;0")=0),"违规：须先完成上一次加仓",IF(AND(B557&gt;1,E557&lt;SUMIFS($E$2:$E$1001,$A$2:$A$1001,A557,$B$2:$B$1001,B557-1)),"违规：新止损价不得低于上一次",IF(AND(B557&gt;1,F557&gt;SUMIFS($F$2:$F$1001,$A$2:$A$1001,A557,$B$2:$B$1001,B557-1)),"违规：风险预算须逐次不增加",IF(OR(_LockStatus="已锁仓",_LockStatus="解锁信息不完整"),"违规：锁仓期间禁止加仓",IF(G557="","计划可执行：建议股数见N列",IF(OR(G557&lt;=0,G557&lt;&gt;INT(G557),MOD(G557,100)&lt;&gt;0),"违规：实际股数须为100股整数倍",IF(G557&gt;N557,"违规：实际股数超过风险或金字塔上限",IF(AND(B557&gt;1,G557&gt;SUMIFS($G$2:$G$1001,$A$2:$A$1001,A557,$B$2:$B$1001,B557-1)),"违规：加仓股数须逐次不增加",IF(Q557&gt;F557,"违规：止损风险超过本次预算","通过")))))))))))))))</f>
        <v/>
      </c>
    </row>
    <row r="558" ht="17" spans="1:18">
      <c r="A558" s="13"/>
      <c r="B558" s="14"/>
      <c r="C558" s="15"/>
      <c r="D558" s="16"/>
      <c r="E558" s="16"/>
      <c r="F558" s="16"/>
      <c r="G558" s="14"/>
      <c r="H558" s="17" t="str">
        <f t="shared" si="64"/>
        <v/>
      </c>
      <c r="I558" s="18" t="str">
        <f>IF(OR(A558="",B558=""),"",IFERROR(LOOKUP(2,1/(单次交易!$A$2:$A$201=A558),单次交易!$H$2:$H$201),0)+SUMIFS($G$2:$G$1001,$A$2:$A$1001,A558,$B$2:$B$1001,"&lt;"&amp;B558))</f>
        <v/>
      </c>
      <c r="J558" s="17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17" t="str">
        <f t="shared" si="65"/>
        <v/>
      </c>
      <c r="L558" s="18" t="str">
        <f t="shared" si="66"/>
        <v/>
      </c>
      <c r="M558" s="18" t="str">
        <f t="shared" si="67"/>
        <v/>
      </c>
      <c r="N558" s="18" t="str">
        <f t="shared" si="68"/>
        <v/>
      </c>
      <c r="O558" s="18" t="str">
        <f t="shared" si="69"/>
        <v/>
      </c>
      <c r="P558" s="17" t="str">
        <f t="shared" si="70"/>
        <v/>
      </c>
      <c r="Q558" s="17" t="str">
        <f t="shared" si="71"/>
        <v/>
      </c>
      <c r="R558" s="19" t="str">
        <f ca="1">IF(A558="","",IF(COUNTIF(_TradeIds,A558)=0,"违规：交易编号不存在",IF(OR(B558="",B558&lt;1,B558&gt;5,B558&lt;&gt;INT(B558)),"违规：加仓序号须为1到5的整数",IF(COUNTIFS($A$2:$A$1001,A558,$B$2:$B$1001,B558)&gt;1,"违规：同一交易的加仓序号重复",IF(OR(D558="",E558="",F558=""),"计划不完整：请填写加仓价、新止损价和风险预算",IF(OR(D558&lt;=0,E558&lt;=0,F558&lt;=0,D558&lt;=E558),"违规：加仓价必须高于新止损价，金额须大于0",IF(AND(B558&gt;1,COUNTIFS($A$2:$A$1001,A558,$B$2:$B$1001,B558-1,$G$2:$G$1001,"&gt;0")=0),"违规：须先完成上一次加仓",IF(AND(B558&gt;1,E558&lt;SUMIFS($E$2:$E$1001,$A$2:$A$1001,A558,$B$2:$B$1001,B558-1)),"违规：新止损价不得低于上一次",IF(AND(B558&gt;1,F558&gt;SUMIFS($F$2:$F$1001,$A$2:$A$1001,A558,$B$2:$B$1001,B558-1)),"违规：风险预算须逐次不增加",IF(OR(_LockStatus="已锁仓",_LockStatus="解锁信息不完整"),"违规：锁仓期间禁止加仓",IF(G558="","计划可执行：建议股数见N列",IF(OR(G558&lt;=0,G558&lt;&gt;INT(G558),MOD(G558,100)&lt;&gt;0),"违规：实际股数须为100股整数倍",IF(G558&gt;N558,"违规：实际股数超过风险或金字塔上限",IF(AND(B558&gt;1,G558&gt;SUMIFS($G$2:$G$1001,$A$2:$A$1001,A558,$B$2:$B$1001,B558-1)),"违规：加仓股数须逐次不增加",IF(Q558&gt;F558,"违规：止损风险超过本次预算","通过")))))))))))))))</f>
        <v/>
      </c>
    </row>
    <row r="559" ht="17" spans="1:18">
      <c r="A559" s="13"/>
      <c r="B559" s="14"/>
      <c r="C559" s="15"/>
      <c r="D559" s="16"/>
      <c r="E559" s="16"/>
      <c r="F559" s="16"/>
      <c r="G559" s="14"/>
      <c r="H559" s="17" t="str">
        <f t="shared" si="64"/>
        <v/>
      </c>
      <c r="I559" s="18" t="str">
        <f>IF(OR(A559="",B559=""),"",IFERROR(LOOKUP(2,1/(单次交易!$A$2:$A$201=A559),单次交易!$H$2:$H$201),0)+SUMIFS($G$2:$G$1001,$A$2:$A$1001,A559,$B$2:$B$1001,"&lt;"&amp;B559))</f>
        <v/>
      </c>
      <c r="J559" s="17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17" t="str">
        <f t="shared" si="65"/>
        <v/>
      </c>
      <c r="L559" s="18" t="str">
        <f t="shared" si="66"/>
        <v/>
      </c>
      <c r="M559" s="18" t="str">
        <f t="shared" si="67"/>
        <v/>
      </c>
      <c r="N559" s="18" t="str">
        <f t="shared" si="68"/>
        <v/>
      </c>
      <c r="O559" s="18" t="str">
        <f t="shared" si="69"/>
        <v/>
      </c>
      <c r="P559" s="17" t="str">
        <f t="shared" si="70"/>
        <v/>
      </c>
      <c r="Q559" s="17" t="str">
        <f t="shared" si="71"/>
        <v/>
      </c>
      <c r="R559" s="19" t="str">
        <f ca="1">IF(A559="","",IF(COUNTIF(_TradeIds,A559)=0,"违规：交易编号不存在",IF(OR(B559="",B559&lt;1,B559&gt;5,B559&lt;&gt;INT(B559)),"违规：加仓序号须为1到5的整数",IF(COUNTIFS($A$2:$A$1001,A559,$B$2:$B$1001,B559)&gt;1,"违规：同一交易的加仓序号重复",IF(OR(D559="",E559="",F559=""),"计划不完整：请填写加仓价、新止损价和风险预算",IF(OR(D559&lt;=0,E559&lt;=0,F559&lt;=0,D559&lt;=E559),"违规：加仓价必须高于新止损价，金额须大于0",IF(AND(B559&gt;1,COUNTIFS($A$2:$A$1001,A559,$B$2:$B$1001,B559-1,$G$2:$G$1001,"&gt;0")=0),"违规：须先完成上一次加仓",IF(AND(B559&gt;1,E559&lt;SUMIFS($E$2:$E$1001,$A$2:$A$1001,A559,$B$2:$B$1001,B559-1)),"违规：新止损价不得低于上一次",IF(AND(B559&gt;1,F559&gt;SUMIFS($F$2:$F$1001,$A$2:$A$1001,A559,$B$2:$B$1001,B559-1)),"违规：风险预算须逐次不增加",IF(OR(_LockStatus="已锁仓",_LockStatus="解锁信息不完整"),"违规：锁仓期间禁止加仓",IF(G559="","计划可执行：建议股数见N列",IF(OR(G559&lt;=0,G559&lt;&gt;INT(G559),MOD(G559,100)&lt;&gt;0),"违规：实际股数须为100股整数倍",IF(G559&gt;N559,"违规：实际股数超过风险或金字塔上限",IF(AND(B559&gt;1,G559&gt;SUMIFS($G$2:$G$1001,$A$2:$A$1001,A559,$B$2:$B$1001,B559-1)),"违规：加仓股数须逐次不增加",IF(Q559&gt;F559,"违规：止损风险超过本次预算","通过")))))))))))))))</f>
        <v/>
      </c>
    </row>
    <row r="560" ht="17" spans="1:18">
      <c r="A560" s="13"/>
      <c r="B560" s="14"/>
      <c r="C560" s="15"/>
      <c r="D560" s="16"/>
      <c r="E560" s="16"/>
      <c r="F560" s="16"/>
      <c r="G560" s="14"/>
      <c r="H560" s="17" t="str">
        <f t="shared" si="64"/>
        <v/>
      </c>
      <c r="I560" s="18" t="str">
        <f>IF(OR(A560="",B560=""),"",IFERROR(LOOKUP(2,1/(单次交易!$A$2:$A$201=A560),单次交易!$H$2:$H$201),0)+SUMIFS($G$2:$G$1001,$A$2:$A$1001,A560,$B$2:$B$1001,"&lt;"&amp;B560))</f>
        <v/>
      </c>
      <c r="J560" s="17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17" t="str">
        <f t="shared" si="65"/>
        <v/>
      </c>
      <c r="L560" s="18" t="str">
        <f t="shared" si="66"/>
        <v/>
      </c>
      <c r="M560" s="18" t="str">
        <f t="shared" si="67"/>
        <v/>
      </c>
      <c r="N560" s="18" t="str">
        <f t="shared" si="68"/>
        <v/>
      </c>
      <c r="O560" s="18" t="str">
        <f t="shared" si="69"/>
        <v/>
      </c>
      <c r="P560" s="17" t="str">
        <f t="shared" si="70"/>
        <v/>
      </c>
      <c r="Q560" s="17" t="str">
        <f t="shared" si="71"/>
        <v/>
      </c>
      <c r="R560" s="19" t="str">
        <f ca="1">IF(A560="","",IF(COUNTIF(_TradeIds,A560)=0,"违规：交易编号不存在",IF(OR(B560="",B560&lt;1,B560&gt;5,B560&lt;&gt;INT(B560)),"违规：加仓序号须为1到5的整数",IF(COUNTIFS($A$2:$A$1001,A560,$B$2:$B$1001,B560)&gt;1,"违规：同一交易的加仓序号重复",IF(OR(D560="",E560="",F560=""),"计划不完整：请填写加仓价、新止损价和风险预算",IF(OR(D560&lt;=0,E560&lt;=0,F560&lt;=0,D560&lt;=E560),"违规：加仓价必须高于新止损价，金额须大于0",IF(AND(B560&gt;1,COUNTIFS($A$2:$A$1001,A560,$B$2:$B$1001,B560-1,$G$2:$G$1001,"&gt;0")=0),"违规：须先完成上一次加仓",IF(AND(B560&gt;1,E560&lt;SUMIFS($E$2:$E$1001,$A$2:$A$1001,A560,$B$2:$B$1001,B560-1)),"违规：新止损价不得低于上一次",IF(AND(B560&gt;1,F560&gt;SUMIFS($F$2:$F$1001,$A$2:$A$1001,A560,$B$2:$B$1001,B560-1)),"违规：风险预算须逐次不增加",IF(OR(_LockStatus="已锁仓",_LockStatus="解锁信息不完整"),"违规：锁仓期间禁止加仓",IF(G560="","计划可执行：建议股数见N列",IF(OR(G560&lt;=0,G560&lt;&gt;INT(G560),MOD(G560,100)&lt;&gt;0),"违规：实际股数须为100股整数倍",IF(G560&gt;N560,"违规：实际股数超过风险或金字塔上限",IF(AND(B560&gt;1,G560&gt;SUMIFS($G$2:$G$1001,$A$2:$A$1001,A560,$B$2:$B$1001,B560-1)),"违规：加仓股数须逐次不增加",IF(Q560&gt;F560,"违规：止损风险超过本次预算","通过")))))))))))))))</f>
        <v/>
      </c>
    </row>
    <row r="561" ht="17" spans="1:18">
      <c r="A561" s="13"/>
      <c r="B561" s="14"/>
      <c r="C561" s="15"/>
      <c r="D561" s="16"/>
      <c r="E561" s="16"/>
      <c r="F561" s="16"/>
      <c r="G561" s="14"/>
      <c r="H561" s="17" t="str">
        <f t="shared" si="64"/>
        <v/>
      </c>
      <c r="I561" s="18" t="str">
        <f>IF(OR(A561="",B561=""),"",IFERROR(LOOKUP(2,1/(单次交易!$A$2:$A$201=A561),单次交易!$H$2:$H$201),0)+SUMIFS($G$2:$G$1001,$A$2:$A$1001,A561,$B$2:$B$1001,"&lt;"&amp;B561))</f>
        <v/>
      </c>
      <c r="J561" s="17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17" t="str">
        <f t="shared" si="65"/>
        <v/>
      </c>
      <c r="L561" s="18" t="str">
        <f t="shared" si="66"/>
        <v/>
      </c>
      <c r="M561" s="18" t="str">
        <f t="shared" si="67"/>
        <v/>
      </c>
      <c r="N561" s="18" t="str">
        <f t="shared" si="68"/>
        <v/>
      </c>
      <c r="O561" s="18" t="str">
        <f t="shared" si="69"/>
        <v/>
      </c>
      <c r="P561" s="17" t="str">
        <f t="shared" si="70"/>
        <v/>
      </c>
      <c r="Q561" s="17" t="str">
        <f t="shared" si="71"/>
        <v/>
      </c>
      <c r="R561" s="19" t="str">
        <f ca="1">IF(A561="","",IF(COUNTIF(_TradeIds,A561)=0,"违规：交易编号不存在",IF(OR(B561="",B561&lt;1,B561&gt;5,B561&lt;&gt;INT(B561)),"违规：加仓序号须为1到5的整数",IF(COUNTIFS($A$2:$A$1001,A561,$B$2:$B$1001,B561)&gt;1,"违规：同一交易的加仓序号重复",IF(OR(D561="",E561="",F561=""),"计划不完整：请填写加仓价、新止损价和风险预算",IF(OR(D561&lt;=0,E561&lt;=0,F561&lt;=0,D561&lt;=E561),"违规：加仓价必须高于新止损价，金额须大于0",IF(AND(B561&gt;1,COUNTIFS($A$2:$A$1001,A561,$B$2:$B$1001,B561-1,$G$2:$G$1001,"&gt;0")=0),"违规：须先完成上一次加仓",IF(AND(B561&gt;1,E561&lt;SUMIFS($E$2:$E$1001,$A$2:$A$1001,A561,$B$2:$B$1001,B561-1)),"违规：新止损价不得低于上一次",IF(AND(B561&gt;1,F561&gt;SUMIFS($F$2:$F$1001,$A$2:$A$1001,A561,$B$2:$B$1001,B561-1)),"违规：风险预算须逐次不增加",IF(OR(_LockStatus="已锁仓",_LockStatus="解锁信息不完整"),"违规：锁仓期间禁止加仓",IF(G561="","计划可执行：建议股数见N列",IF(OR(G561&lt;=0,G561&lt;&gt;INT(G561),MOD(G561,100)&lt;&gt;0),"违规：实际股数须为100股整数倍",IF(G561&gt;N561,"违规：实际股数超过风险或金字塔上限",IF(AND(B561&gt;1,G561&gt;SUMIFS($G$2:$G$1001,$A$2:$A$1001,A561,$B$2:$B$1001,B561-1)),"违规：加仓股数须逐次不增加",IF(Q561&gt;F561,"违规：止损风险超过本次预算","通过")))))))))))))))</f>
        <v/>
      </c>
    </row>
    <row r="562" ht="17" spans="1:18">
      <c r="A562" s="13"/>
      <c r="B562" s="14"/>
      <c r="C562" s="15"/>
      <c r="D562" s="16"/>
      <c r="E562" s="16"/>
      <c r="F562" s="16"/>
      <c r="G562" s="14"/>
      <c r="H562" s="17" t="str">
        <f t="shared" si="64"/>
        <v/>
      </c>
      <c r="I562" s="18" t="str">
        <f>IF(OR(A562="",B562=""),"",IFERROR(LOOKUP(2,1/(单次交易!$A$2:$A$201=A562),单次交易!$H$2:$H$201),0)+SUMIFS($G$2:$G$1001,$A$2:$A$1001,A562,$B$2:$B$1001,"&lt;"&amp;B562))</f>
        <v/>
      </c>
      <c r="J562" s="17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17" t="str">
        <f t="shared" si="65"/>
        <v/>
      </c>
      <c r="L562" s="18" t="str">
        <f t="shared" si="66"/>
        <v/>
      </c>
      <c r="M562" s="18" t="str">
        <f t="shared" si="67"/>
        <v/>
      </c>
      <c r="N562" s="18" t="str">
        <f t="shared" si="68"/>
        <v/>
      </c>
      <c r="O562" s="18" t="str">
        <f t="shared" si="69"/>
        <v/>
      </c>
      <c r="P562" s="17" t="str">
        <f t="shared" si="70"/>
        <v/>
      </c>
      <c r="Q562" s="17" t="str">
        <f t="shared" si="71"/>
        <v/>
      </c>
      <c r="R562" s="19" t="str">
        <f ca="1">IF(A562="","",IF(COUNTIF(_TradeIds,A562)=0,"违规：交易编号不存在",IF(OR(B562="",B562&lt;1,B562&gt;5,B562&lt;&gt;INT(B562)),"违规：加仓序号须为1到5的整数",IF(COUNTIFS($A$2:$A$1001,A562,$B$2:$B$1001,B562)&gt;1,"违规：同一交易的加仓序号重复",IF(OR(D562="",E562="",F562=""),"计划不完整：请填写加仓价、新止损价和风险预算",IF(OR(D562&lt;=0,E562&lt;=0,F562&lt;=0,D562&lt;=E562),"违规：加仓价必须高于新止损价，金额须大于0",IF(AND(B562&gt;1,COUNTIFS($A$2:$A$1001,A562,$B$2:$B$1001,B562-1,$G$2:$G$1001,"&gt;0")=0),"违规：须先完成上一次加仓",IF(AND(B562&gt;1,E562&lt;SUMIFS($E$2:$E$1001,$A$2:$A$1001,A562,$B$2:$B$1001,B562-1)),"违规：新止损价不得低于上一次",IF(AND(B562&gt;1,F562&gt;SUMIFS($F$2:$F$1001,$A$2:$A$1001,A562,$B$2:$B$1001,B562-1)),"违规：风险预算须逐次不增加",IF(OR(_LockStatus="已锁仓",_LockStatus="解锁信息不完整"),"违规：锁仓期间禁止加仓",IF(G562="","计划可执行：建议股数见N列",IF(OR(G562&lt;=0,G562&lt;&gt;INT(G562),MOD(G562,100)&lt;&gt;0),"违规：实际股数须为100股整数倍",IF(G562&gt;N562,"违规：实际股数超过风险或金字塔上限",IF(AND(B562&gt;1,G562&gt;SUMIFS($G$2:$G$1001,$A$2:$A$1001,A562,$B$2:$B$1001,B562-1)),"违规：加仓股数须逐次不增加",IF(Q562&gt;F562,"违规：止损风险超过本次预算","通过")))))))))))))))</f>
        <v/>
      </c>
    </row>
    <row r="563" ht="17" spans="1:18">
      <c r="A563" s="13"/>
      <c r="B563" s="14"/>
      <c r="C563" s="15"/>
      <c r="D563" s="16"/>
      <c r="E563" s="16"/>
      <c r="F563" s="16"/>
      <c r="G563" s="14"/>
      <c r="H563" s="17" t="str">
        <f t="shared" si="64"/>
        <v/>
      </c>
      <c r="I563" s="18" t="str">
        <f>IF(OR(A563="",B563=""),"",IFERROR(LOOKUP(2,1/(单次交易!$A$2:$A$201=A563),单次交易!$H$2:$H$201),0)+SUMIFS($G$2:$G$1001,$A$2:$A$1001,A563,$B$2:$B$1001,"&lt;"&amp;B563))</f>
        <v/>
      </c>
      <c r="J563" s="17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17" t="str">
        <f t="shared" si="65"/>
        <v/>
      </c>
      <c r="L563" s="18" t="str">
        <f t="shared" si="66"/>
        <v/>
      </c>
      <c r="M563" s="18" t="str">
        <f t="shared" si="67"/>
        <v/>
      </c>
      <c r="N563" s="18" t="str">
        <f t="shared" si="68"/>
        <v/>
      </c>
      <c r="O563" s="18" t="str">
        <f t="shared" si="69"/>
        <v/>
      </c>
      <c r="P563" s="17" t="str">
        <f t="shared" si="70"/>
        <v/>
      </c>
      <c r="Q563" s="17" t="str">
        <f t="shared" si="71"/>
        <v/>
      </c>
      <c r="R563" s="19" t="str">
        <f ca="1">IF(A563="","",IF(COUNTIF(_TradeIds,A563)=0,"违规：交易编号不存在",IF(OR(B563="",B563&lt;1,B563&gt;5,B563&lt;&gt;INT(B563)),"违规：加仓序号须为1到5的整数",IF(COUNTIFS($A$2:$A$1001,A563,$B$2:$B$1001,B563)&gt;1,"违规：同一交易的加仓序号重复",IF(OR(D563="",E563="",F563=""),"计划不完整：请填写加仓价、新止损价和风险预算",IF(OR(D563&lt;=0,E563&lt;=0,F563&lt;=0,D563&lt;=E563),"违规：加仓价必须高于新止损价，金额须大于0",IF(AND(B563&gt;1,COUNTIFS($A$2:$A$1001,A563,$B$2:$B$1001,B563-1,$G$2:$G$1001,"&gt;0")=0),"违规：须先完成上一次加仓",IF(AND(B563&gt;1,E563&lt;SUMIFS($E$2:$E$1001,$A$2:$A$1001,A563,$B$2:$B$1001,B563-1)),"违规：新止损价不得低于上一次",IF(AND(B563&gt;1,F563&gt;SUMIFS($F$2:$F$1001,$A$2:$A$1001,A563,$B$2:$B$1001,B563-1)),"违规：风险预算须逐次不增加",IF(OR(_LockStatus="已锁仓",_LockStatus="解锁信息不完整"),"违规：锁仓期间禁止加仓",IF(G563="","计划可执行：建议股数见N列",IF(OR(G563&lt;=0,G563&lt;&gt;INT(G563),MOD(G563,100)&lt;&gt;0),"违规：实际股数须为100股整数倍",IF(G563&gt;N563,"违规：实际股数超过风险或金字塔上限",IF(AND(B563&gt;1,G563&gt;SUMIFS($G$2:$G$1001,$A$2:$A$1001,A563,$B$2:$B$1001,B563-1)),"违规：加仓股数须逐次不增加",IF(Q563&gt;F563,"违规：止损风险超过本次预算","通过")))))))))))))))</f>
        <v/>
      </c>
    </row>
    <row r="564" ht="17" spans="1:18">
      <c r="A564" s="13"/>
      <c r="B564" s="14"/>
      <c r="C564" s="15"/>
      <c r="D564" s="16"/>
      <c r="E564" s="16"/>
      <c r="F564" s="16"/>
      <c r="G564" s="14"/>
      <c r="H564" s="17" t="str">
        <f t="shared" si="64"/>
        <v/>
      </c>
      <c r="I564" s="18" t="str">
        <f>IF(OR(A564="",B564=""),"",IFERROR(LOOKUP(2,1/(单次交易!$A$2:$A$201=A564),单次交易!$H$2:$H$201),0)+SUMIFS($G$2:$G$1001,$A$2:$A$1001,A564,$B$2:$B$1001,"&lt;"&amp;B564))</f>
        <v/>
      </c>
      <c r="J564" s="17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17" t="str">
        <f t="shared" si="65"/>
        <v/>
      </c>
      <c r="L564" s="18" t="str">
        <f t="shared" si="66"/>
        <v/>
      </c>
      <c r="M564" s="18" t="str">
        <f t="shared" si="67"/>
        <v/>
      </c>
      <c r="N564" s="18" t="str">
        <f t="shared" si="68"/>
        <v/>
      </c>
      <c r="O564" s="18" t="str">
        <f t="shared" si="69"/>
        <v/>
      </c>
      <c r="P564" s="17" t="str">
        <f t="shared" si="70"/>
        <v/>
      </c>
      <c r="Q564" s="17" t="str">
        <f t="shared" si="71"/>
        <v/>
      </c>
      <c r="R564" s="19" t="str">
        <f ca="1">IF(A564="","",IF(COUNTIF(_TradeIds,A564)=0,"违规：交易编号不存在",IF(OR(B564="",B564&lt;1,B564&gt;5,B564&lt;&gt;INT(B564)),"违规：加仓序号须为1到5的整数",IF(COUNTIFS($A$2:$A$1001,A564,$B$2:$B$1001,B564)&gt;1,"违规：同一交易的加仓序号重复",IF(OR(D564="",E564="",F564=""),"计划不完整：请填写加仓价、新止损价和风险预算",IF(OR(D564&lt;=0,E564&lt;=0,F564&lt;=0,D564&lt;=E564),"违规：加仓价必须高于新止损价，金额须大于0",IF(AND(B564&gt;1,COUNTIFS($A$2:$A$1001,A564,$B$2:$B$1001,B564-1,$G$2:$G$1001,"&gt;0")=0),"违规：须先完成上一次加仓",IF(AND(B564&gt;1,E564&lt;SUMIFS($E$2:$E$1001,$A$2:$A$1001,A564,$B$2:$B$1001,B564-1)),"违规：新止损价不得低于上一次",IF(AND(B564&gt;1,F564&gt;SUMIFS($F$2:$F$1001,$A$2:$A$1001,A564,$B$2:$B$1001,B564-1)),"违规：风险预算须逐次不增加",IF(OR(_LockStatus="已锁仓",_LockStatus="解锁信息不完整"),"违规：锁仓期间禁止加仓",IF(G564="","计划可执行：建议股数见N列",IF(OR(G564&lt;=0,G564&lt;&gt;INT(G564),MOD(G564,100)&lt;&gt;0),"违规：实际股数须为100股整数倍",IF(G564&gt;N564,"违规：实际股数超过风险或金字塔上限",IF(AND(B564&gt;1,G564&gt;SUMIFS($G$2:$G$1001,$A$2:$A$1001,A564,$B$2:$B$1001,B564-1)),"违规：加仓股数须逐次不增加",IF(Q564&gt;F564,"违规：止损风险超过本次预算","通过")))))))))))))))</f>
        <v/>
      </c>
    </row>
    <row r="565" ht="17" spans="1:18">
      <c r="A565" s="13"/>
      <c r="B565" s="14"/>
      <c r="C565" s="15"/>
      <c r="D565" s="16"/>
      <c r="E565" s="16"/>
      <c r="F565" s="16"/>
      <c r="G565" s="14"/>
      <c r="H565" s="17" t="str">
        <f t="shared" si="64"/>
        <v/>
      </c>
      <c r="I565" s="18" t="str">
        <f>IF(OR(A565="",B565=""),"",IFERROR(LOOKUP(2,1/(单次交易!$A$2:$A$201=A565),单次交易!$H$2:$H$201),0)+SUMIFS($G$2:$G$1001,$A$2:$A$1001,A565,$B$2:$B$1001,"&lt;"&amp;B565))</f>
        <v/>
      </c>
      <c r="J565" s="17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17" t="str">
        <f t="shared" si="65"/>
        <v/>
      </c>
      <c r="L565" s="18" t="str">
        <f t="shared" si="66"/>
        <v/>
      </c>
      <c r="M565" s="18" t="str">
        <f t="shared" si="67"/>
        <v/>
      </c>
      <c r="N565" s="18" t="str">
        <f t="shared" si="68"/>
        <v/>
      </c>
      <c r="O565" s="18" t="str">
        <f t="shared" si="69"/>
        <v/>
      </c>
      <c r="P565" s="17" t="str">
        <f t="shared" si="70"/>
        <v/>
      </c>
      <c r="Q565" s="17" t="str">
        <f t="shared" si="71"/>
        <v/>
      </c>
      <c r="R565" s="19" t="str">
        <f ca="1">IF(A565="","",IF(COUNTIF(_TradeIds,A565)=0,"违规：交易编号不存在",IF(OR(B565="",B565&lt;1,B565&gt;5,B565&lt;&gt;INT(B565)),"违规：加仓序号须为1到5的整数",IF(COUNTIFS($A$2:$A$1001,A565,$B$2:$B$1001,B565)&gt;1,"违规：同一交易的加仓序号重复",IF(OR(D565="",E565="",F565=""),"计划不完整：请填写加仓价、新止损价和风险预算",IF(OR(D565&lt;=0,E565&lt;=0,F565&lt;=0,D565&lt;=E565),"违规：加仓价必须高于新止损价，金额须大于0",IF(AND(B565&gt;1,COUNTIFS($A$2:$A$1001,A565,$B$2:$B$1001,B565-1,$G$2:$G$1001,"&gt;0")=0),"违规：须先完成上一次加仓",IF(AND(B565&gt;1,E565&lt;SUMIFS($E$2:$E$1001,$A$2:$A$1001,A565,$B$2:$B$1001,B565-1)),"违规：新止损价不得低于上一次",IF(AND(B565&gt;1,F565&gt;SUMIFS($F$2:$F$1001,$A$2:$A$1001,A565,$B$2:$B$1001,B565-1)),"违规：风险预算须逐次不增加",IF(OR(_LockStatus="已锁仓",_LockStatus="解锁信息不完整"),"违规：锁仓期间禁止加仓",IF(G565="","计划可执行：建议股数见N列",IF(OR(G565&lt;=0,G565&lt;&gt;INT(G565),MOD(G565,100)&lt;&gt;0),"违规：实际股数须为100股整数倍",IF(G565&gt;N565,"违规：实际股数超过风险或金字塔上限",IF(AND(B565&gt;1,G565&gt;SUMIFS($G$2:$G$1001,$A$2:$A$1001,A565,$B$2:$B$1001,B565-1)),"违规：加仓股数须逐次不增加",IF(Q565&gt;F565,"违规：止损风险超过本次预算","通过")))))))))))))))</f>
        <v/>
      </c>
    </row>
    <row r="566" ht="17" spans="1:18">
      <c r="A566" s="13"/>
      <c r="B566" s="14"/>
      <c r="C566" s="15"/>
      <c r="D566" s="16"/>
      <c r="E566" s="16"/>
      <c r="F566" s="16"/>
      <c r="G566" s="14"/>
      <c r="H566" s="17" t="str">
        <f t="shared" si="64"/>
        <v/>
      </c>
      <c r="I566" s="18" t="str">
        <f>IF(OR(A566="",B566=""),"",IFERROR(LOOKUP(2,1/(单次交易!$A$2:$A$201=A566),单次交易!$H$2:$H$201),0)+SUMIFS($G$2:$G$1001,$A$2:$A$1001,A566,$B$2:$B$1001,"&lt;"&amp;B566))</f>
        <v/>
      </c>
      <c r="J566" s="17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17" t="str">
        <f t="shared" si="65"/>
        <v/>
      </c>
      <c r="L566" s="18" t="str">
        <f t="shared" si="66"/>
        <v/>
      </c>
      <c r="M566" s="18" t="str">
        <f t="shared" si="67"/>
        <v/>
      </c>
      <c r="N566" s="18" t="str">
        <f t="shared" si="68"/>
        <v/>
      </c>
      <c r="O566" s="18" t="str">
        <f t="shared" si="69"/>
        <v/>
      </c>
      <c r="P566" s="17" t="str">
        <f t="shared" si="70"/>
        <v/>
      </c>
      <c r="Q566" s="17" t="str">
        <f t="shared" si="71"/>
        <v/>
      </c>
      <c r="R566" s="19" t="str">
        <f ca="1">IF(A566="","",IF(COUNTIF(_TradeIds,A566)=0,"违规：交易编号不存在",IF(OR(B566="",B566&lt;1,B566&gt;5,B566&lt;&gt;INT(B566)),"违规：加仓序号须为1到5的整数",IF(COUNTIFS($A$2:$A$1001,A566,$B$2:$B$1001,B566)&gt;1,"违规：同一交易的加仓序号重复",IF(OR(D566="",E566="",F566=""),"计划不完整：请填写加仓价、新止损价和风险预算",IF(OR(D566&lt;=0,E566&lt;=0,F566&lt;=0,D566&lt;=E566),"违规：加仓价必须高于新止损价，金额须大于0",IF(AND(B566&gt;1,COUNTIFS($A$2:$A$1001,A566,$B$2:$B$1001,B566-1,$G$2:$G$1001,"&gt;0")=0),"违规：须先完成上一次加仓",IF(AND(B566&gt;1,E566&lt;SUMIFS($E$2:$E$1001,$A$2:$A$1001,A566,$B$2:$B$1001,B566-1)),"违规：新止损价不得低于上一次",IF(AND(B566&gt;1,F566&gt;SUMIFS($F$2:$F$1001,$A$2:$A$1001,A566,$B$2:$B$1001,B566-1)),"违规：风险预算须逐次不增加",IF(OR(_LockStatus="已锁仓",_LockStatus="解锁信息不完整"),"违规：锁仓期间禁止加仓",IF(G566="","计划可执行：建议股数见N列",IF(OR(G566&lt;=0,G566&lt;&gt;INT(G566),MOD(G566,100)&lt;&gt;0),"违规：实际股数须为100股整数倍",IF(G566&gt;N566,"违规：实际股数超过风险或金字塔上限",IF(AND(B566&gt;1,G566&gt;SUMIFS($G$2:$G$1001,$A$2:$A$1001,A566,$B$2:$B$1001,B566-1)),"违规：加仓股数须逐次不增加",IF(Q566&gt;F566,"违规：止损风险超过本次预算","通过")))))))))))))))</f>
        <v/>
      </c>
    </row>
    <row r="567" ht="17" spans="1:18">
      <c r="A567" s="13"/>
      <c r="B567" s="14"/>
      <c r="C567" s="15"/>
      <c r="D567" s="16"/>
      <c r="E567" s="16"/>
      <c r="F567" s="16"/>
      <c r="G567" s="14"/>
      <c r="H567" s="17" t="str">
        <f t="shared" si="64"/>
        <v/>
      </c>
      <c r="I567" s="18" t="str">
        <f>IF(OR(A567="",B567=""),"",IFERROR(LOOKUP(2,1/(单次交易!$A$2:$A$201=A567),单次交易!$H$2:$H$201),0)+SUMIFS($G$2:$G$1001,$A$2:$A$1001,A567,$B$2:$B$1001,"&lt;"&amp;B567))</f>
        <v/>
      </c>
      <c r="J567" s="17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17" t="str">
        <f t="shared" si="65"/>
        <v/>
      </c>
      <c r="L567" s="18" t="str">
        <f t="shared" si="66"/>
        <v/>
      </c>
      <c r="M567" s="18" t="str">
        <f t="shared" si="67"/>
        <v/>
      </c>
      <c r="N567" s="18" t="str">
        <f t="shared" si="68"/>
        <v/>
      </c>
      <c r="O567" s="18" t="str">
        <f t="shared" si="69"/>
        <v/>
      </c>
      <c r="P567" s="17" t="str">
        <f t="shared" si="70"/>
        <v/>
      </c>
      <c r="Q567" s="17" t="str">
        <f t="shared" si="71"/>
        <v/>
      </c>
      <c r="R567" s="19" t="str">
        <f ca="1">IF(A567="","",IF(COUNTIF(_TradeIds,A567)=0,"违规：交易编号不存在",IF(OR(B567="",B567&lt;1,B567&gt;5,B567&lt;&gt;INT(B567)),"违规：加仓序号须为1到5的整数",IF(COUNTIFS($A$2:$A$1001,A567,$B$2:$B$1001,B567)&gt;1,"违规：同一交易的加仓序号重复",IF(OR(D567="",E567="",F567=""),"计划不完整：请填写加仓价、新止损价和风险预算",IF(OR(D567&lt;=0,E567&lt;=0,F567&lt;=0,D567&lt;=E567),"违规：加仓价必须高于新止损价，金额须大于0",IF(AND(B567&gt;1,COUNTIFS($A$2:$A$1001,A567,$B$2:$B$1001,B567-1,$G$2:$G$1001,"&gt;0")=0),"违规：须先完成上一次加仓",IF(AND(B567&gt;1,E567&lt;SUMIFS($E$2:$E$1001,$A$2:$A$1001,A567,$B$2:$B$1001,B567-1)),"违规：新止损价不得低于上一次",IF(AND(B567&gt;1,F567&gt;SUMIFS($F$2:$F$1001,$A$2:$A$1001,A567,$B$2:$B$1001,B567-1)),"违规：风险预算须逐次不增加",IF(OR(_LockStatus="已锁仓",_LockStatus="解锁信息不完整"),"违规：锁仓期间禁止加仓",IF(G567="","计划可执行：建议股数见N列",IF(OR(G567&lt;=0,G567&lt;&gt;INT(G567),MOD(G567,100)&lt;&gt;0),"违规：实际股数须为100股整数倍",IF(G567&gt;N567,"违规：实际股数超过风险或金字塔上限",IF(AND(B567&gt;1,G567&gt;SUMIFS($G$2:$G$1001,$A$2:$A$1001,A567,$B$2:$B$1001,B567-1)),"违规：加仓股数须逐次不增加",IF(Q567&gt;F567,"违规：止损风险超过本次预算","通过")))))))))))))))</f>
        <v/>
      </c>
    </row>
    <row r="568" ht="17" spans="1:18">
      <c r="A568" s="13"/>
      <c r="B568" s="14"/>
      <c r="C568" s="15"/>
      <c r="D568" s="16"/>
      <c r="E568" s="16"/>
      <c r="F568" s="16"/>
      <c r="G568" s="14"/>
      <c r="H568" s="17" t="str">
        <f t="shared" si="64"/>
        <v/>
      </c>
      <c r="I568" s="18" t="str">
        <f>IF(OR(A568="",B568=""),"",IFERROR(LOOKUP(2,1/(单次交易!$A$2:$A$201=A568),单次交易!$H$2:$H$201),0)+SUMIFS($G$2:$G$1001,$A$2:$A$1001,A568,$B$2:$B$1001,"&lt;"&amp;B568))</f>
        <v/>
      </c>
      <c r="J568" s="17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17" t="str">
        <f t="shared" si="65"/>
        <v/>
      </c>
      <c r="L568" s="18" t="str">
        <f t="shared" si="66"/>
        <v/>
      </c>
      <c r="M568" s="18" t="str">
        <f t="shared" si="67"/>
        <v/>
      </c>
      <c r="N568" s="18" t="str">
        <f t="shared" si="68"/>
        <v/>
      </c>
      <c r="O568" s="18" t="str">
        <f t="shared" si="69"/>
        <v/>
      </c>
      <c r="P568" s="17" t="str">
        <f t="shared" si="70"/>
        <v/>
      </c>
      <c r="Q568" s="17" t="str">
        <f t="shared" si="71"/>
        <v/>
      </c>
      <c r="R568" s="19" t="str">
        <f ca="1">IF(A568="","",IF(COUNTIF(_TradeIds,A568)=0,"违规：交易编号不存在",IF(OR(B568="",B568&lt;1,B568&gt;5,B568&lt;&gt;INT(B568)),"违规：加仓序号须为1到5的整数",IF(COUNTIFS($A$2:$A$1001,A568,$B$2:$B$1001,B568)&gt;1,"违规：同一交易的加仓序号重复",IF(OR(D568="",E568="",F568=""),"计划不完整：请填写加仓价、新止损价和风险预算",IF(OR(D568&lt;=0,E568&lt;=0,F568&lt;=0,D568&lt;=E568),"违规：加仓价必须高于新止损价，金额须大于0",IF(AND(B568&gt;1,COUNTIFS($A$2:$A$1001,A568,$B$2:$B$1001,B568-1,$G$2:$G$1001,"&gt;0")=0),"违规：须先完成上一次加仓",IF(AND(B568&gt;1,E568&lt;SUMIFS($E$2:$E$1001,$A$2:$A$1001,A568,$B$2:$B$1001,B568-1)),"违规：新止损价不得低于上一次",IF(AND(B568&gt;1,F568&gt;SUMIFS($F$2:$F$1001,$A$2:$A$1001,A568,$B$2:$B$1001,B568-1)),"违规：风险预算须逐次不增加",IF(OR(_LockStatus="已锁仓",_LockStatus="解锁信息不完整"),"违规：锁仓期间禁止加仓",IF(G568="","计划可执行：建议股数见N列",IF(OR(G568&lt;=0,G568&lt;&gt;INT(G568),MOD(G568,100)&lt;&gt;0),"违规：实际股数须为100股整数倍",IF(G568&gt;N568,"违规：实际股数超过风险或金字塔上限",IF(AND(B568&gt;1,G568&gt;SUMIFS($G$2:$G$1001,$A$2:$A$1001,A568,$B$2:$B$1001,B568-1)),"违规：加仓股数须逐次不增加",IF(Q568&gt;F568,"违规：止损风险超过本次预算","通过")))))))))))))))</f>
        <v/>
      </c>
    </row>
    <row r="569" ht="17" spans="1:18">
      <c r="A569" s="13"/>
      <c r="B569" s="14"/>
      <c r="C569" s="15"/>
      <c r="D569" s="16"/>
      <c r="E569" s="16"/>
      <c r="F569" s="16"/>
      <c r="G569" s="14"/>
      <c r="H569" s="17" t="str">
        <f t="shared" si="64"/>
        <v/>
      </c>
      <c r="I569" s="18" t="str">
        <f>IF(OR(A569="",B569=""),"",IFERROR(LOOKUP(2,1/(单次交易!$A$2:$A$201=A569),单次交易!$H$2:$H$201),0)+SUMIFS($G$2:$G$1001,$A$2:$A$1001,A569,$B$2:$B$1001,"&lt;"&amp;B569))</f>
        <v/>
      </c>
      <c r="J569" s="17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17" t="str">
        <f t="shared" si="65"/>
        <v/>
      </c>
      <c r="L569" s="18" t="str">
        <f t="shared" si="66"/>
        <v/>
      </c>
      <c r="M569" s="18" t="str">
        <f t="shared" si="67"/>
        <v/>
      </c>
      <c r="N569" s="18" t="str">
        <f t="shared" si="68"/>
        <v/>
      </c>
      <c r="O569" s="18" t="str">
        <f t="shared" si="69"/>
        <v/>
      </c>
      <c r="P569" s="17" t="str">
        <f t="shared" si="70"/>
        <v/>
      </c>
      <c r="Q569" s="17" t="str">
        <f t="shared" si="71"/>
        <v/>
      </c>
      <c r="R569" s="19" t="str">
        <f ca="1">IF(A569="","",IF(COUNTIF(_TradeIds,A569)=0,"违规：交易编号不存在",IF(OR(B569="",B569&lt;1,B569&gt;5,B569&lt;&gt;INT(B569)),"违规：加仓序号须为1到5的整数",IF(COUNTIFS($A$2:$A$1001,A569,$B$2:$B$1001,B569)&gt;1,"违规：同一交易的加仓序号重复",IF(OR(D569="",E569="",F569=""),"计划不完整：请填写加仓价、新止损价和风险预算",IF(OR(D569&lt;=0,E569&lt;=0,F569&lt;=0,D569&lt;=E569),"违规：加仓价必须高于新止损价，金额须大于0",IF(AND(B569&gt;1,COUNTIFS($A$2:$A$1001,A569,$B$2:$B$1001,B569-1,$G$2:$G$1001,"&gt;0")=0),"违规：须先完成上一次加仓",IF(AND(B569&gt;1,E569&lt;SUMIFS($E$2:$E$1001,$A$2:$A$1001,A569,$B$2:$B$1001,B569-1)),"违规：新止损价不得低于上一次",IF(AND(B569&gt;1,F569&gt;SUMIFS($F$2:$F$1001,$A$2:$A$1001,A569,$B$2:$B$1001,B569-1)),"违规：风险预算须逐次不增加",IF(OR(_LockStatus="已锁仓",_LockStatus="解锁信息不完整"),"违规：锁仓期间禁止加仓",IF(G569="","计划可执行：建议股数见N列",IF(OR(G569&lt;=0,G569&lt;&gt;INT(G569),MOD(G569,100)&lt;&gt;0),"违规：实际股数须为100股整数倍",IF(G569&gt;N569,"违规：实际股数超过风险或金字塔上限",IF(AND(B569&gt;1,G569&gt;SUMIFS($G$2:$G$1001,$A$2:$A$1001,A569,$B$2:$B$1001,B569-1)),"违规：加仓股数须逐次不增加",IF(Q569&gt;F569,"违规：止损风险超过本次预算","通过")))))))))))))))</f>
        <v/>
      </c>
    </row>
    <row r="570" ht="17" spans="1:18">
      <c r="A570" s="13"/>
      <c r="B570" s="14"/>
      <c r="C570" s="15"/>
      <c r="D570" s="16"/>
      <c r="E570" s="16"/>
      <c r="F570" s="16"/>
      <c r="G570" s="14"/>
      <c r="H570" s="17" t="str">
        <f t="shared" si="64"/>
        <v/>
      </c>
      <c r="I570" s="18" t="str">
        <f>IF(OR(A570="",B570=""),"",IFERROR(LOOKUP(2,1/(单次交易!$A$2:$A$201=A570),单次交易!$H$2:$H$201),0)+SUMIFS($G$2:$G$1001,$A$2:$A$1001,A570,$B$2:$B$1001,"&lt;"&amp;B570))</f>
        <v/>
      </c>
      <c r="J570" s="17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17" t="str">
        <f t="shared" si="65"/>
        <v/>
      </c>
      <c r="L570" s="18" t="str">
        <f t="shared" si="66"/>
        <v/>
      </c>
      <c r="M570" s="18" t="str">
        <f t="shared" si="67"/>
        <v/>
      </c>
      <c r="N570" s="18" t="str">
        <f t="shared" si="68"/>
        <v/>
      </c>
      <c r="O570" s="18" t="str">
        <f t="shared" si="69"/>
        <v/>
      </c>
      <c r="P570" s="17" t="str">
        <f t="shared" si="70"/>
        <v/>
      </c>
      <c r="Q570" s="17" t="str">
        <f t="shared" si="71"/>
        <v/>
      </c>
      <c r="R570" s="19" t="str">
        <f ca="1">IF(A570="","",IF(COUNTIF(_TradeIds,A570)=0,"违规：交易编号不存在",IF(OR(B570="",B570&lt;1,B570&gt;5,B570&lt;&gt;INT(B570)),"违规：加仓序号须为1到5的整数",IF(COUNTIFS($A$2:$A$1001,A570,$B$2:$B$1001,B570)&gt;1,"违规：同一交易的加仓序号重复",IF(OR(D570="",E570="",F570=""),"计划不完整：请填写加仓价、新止损价和风险预算",IF(OR(D570&lt;=0,E570&lt;=0,F570&lt;=0,D570&lt;=E570),"违规：加仓价必须高于新止损价，金额须大于0",IF(AND(B570&gt;1,COUNTIFS($A$2:$A$1001,A570,$B$2:$B$1001,B570-1,$G$2:$G$1001,"&gt;0")=0),"违规：须先完成上一次加仓",IF(AND(B570&gt;1,E570&lt;SUMIFS($E$2:$E$1001,$A$2:$A$1001,A570,$B$2:$B$1001,B570-1)),"违规：新止损价不得低于上一次",IF(AND(B570&gt;1,F570&gt;SUMIFS($F$2:$F$1001,$A$2:$A$1001,A570,$B$2:$B$1001,B570-1)),"违规：风险预算须逐次不增加",IF(OR(_LockStatus="已锁仓",_LockStatus="解锁信息不完整"),"违规：锁仓期间禁止加仓",IF(G570="","计划可执行：建议股数见N列",IF(OR(G570&lt;=0,G570&lt;&gt;INT(G570),MOD(G570,100)&lt;&gt;0),"违规：实际股数须为100股整数倍",IF(G570&gt;N570,"违规：实际股数超过风险或金字塔上限",IF(AND(B570&gt;1,G570&gt;SUMIFS($G$2:$G$1001,$A$2:$A$1001,A570,$B$2:$B$1001,B570-1)),"违规：加仓股数须逐次不增加",IF(Q570&gt;F570,"违规：止损风险超过本次预算","通过")))))))))))))))</f>
        <v/>
      </c>
    </row>
    <row r="571" ht="17" spans="1:18">
      <c r="A571" s="13"/>
      <c r="B571" s="14"/>
      <c r="C571" s="15"/>
      <c r="D571" s="16"/>
      <c r="E571" s="16"/>
      <c r="F571" s="16"/>
      <c r="G571" s="14"/>
      <c r="H571" s="17" t="str">
        <f t="shared" si="64"/>
        <v/>
      </c>
      <c r="I571" s="18" t="str">
        <f>IF(OR(A571="",B571=""),"",IFERROR(LOOKUP(2,1/(单次交易!$A$2:$A$201=A571),单次交易!$H$2:$H$201),0)+SUMIFS($G$2:$G$1001,$A$2:$A$1001,A571,$B$2:$B$1001,"&lt;"&amp;B571))</f>
        <v/>
      </c>
      <c r="J571" s="17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17" t="str">
        <f t="shared" si="65"/>
        <v/>
      </c>
      <c r="L571" s="18" t="str">
        <f t="shared" si="66"/>
        <v/>
      </c>
      <c r="M571" s="18" t="str">
        <f t="shared" si="67"/>
        <v/>
      </c>
      <c r="N571" s="18" t="str">
        <f t="shared" si="68"/>
        <v/>
      </c>
      <c r="O571" s="18" t="str">
        <f t="shared" si="69"/>
        <v/>
      </c>
      <c r="P571" s="17" t="str">
        <f t="shared" si="70"/>
        <v/>
      </c>
      <c r="Q571" s="17" t="str">
        <f t="shared" si="71"/>
        <v/>
      </c>
      <c r="R571" s="19" t="str">
        <f ca="1">IF(A571="","",IF(COUNTIF(_TradeIds,A571)=0,"违规：交易编号不存在",IF(OR(B571="",B571&lt;1,B571&gt;5,B571&lt;&gt;INT(B571)),"违规：加仓序号须为1到5的整数",IF(COUNTIFS($A$2:$A$1001,A571,$B$2:$B$1001,B571)&gt;1,"违规：同一交易的加仓序号重复",IF(OR(D571="",E571="",F571=""),"计划不完整：请填写加仓价、新止损价和风险预算",IF(OR(D571&lt;=0,E571&lt;=0,F571&lt;=0,D571&lt;=E571),"违规：加仓价必须高于新止损价，金额须大于0",IF(AND(B571&gt;1,COUNTIFS($A$2:$A$1001,A571,$B$2:$B$1001,B571-1,$G$2:$G$1001,"&gt;0")=0),"违规：须先完成上一次加仓",IF(AND(B571&gt;1,E571&lt;SUMIFS($E$2:$E$1001,$A$2:$A$1001,A571,$B$2:$B$1001,B571-1)),"违规：新止损价不得低于上一次",IF(AND(B571&gt;1,F571&gt;SUMIFS($F$2:$F$1001,$A$2:$A$1001,A571,$B$2:$B$1001,B571-1)),"违规：风险预算须逐次不增加",IF(OR(_LockStatus="已锁仓",_LockStatus="解锁信息不完整"),"违规：锁仓期间禁止加仓",IF(G571="","计划可执行：建议股数见N列",IF(OR(G571&lt;=0,G571&lt;&gt;INT(G571),MOD(G571,100)&lt;&gt;0),"违规：实际股数须为100股整数倍",IF(G571&gt;N571,"违规：实际股数超过风险或金字塔上限",IF(AND(B571&gt;1,G571&gt;SUMIFS($G$2:$G$1001,$A$2:$A$1001,A571,$B$2:$B$1001,B571-1)),"违规：加仓股数须逐次不增加",IF(Q571&gt;F571,"违规：止损风险超过本次预算","通过")))))))))))))))</f>
        <v/>
      </c>
    </row>
    <row r="572" ht="17" spans="1:18">
      <c r="A572" s="13"/>
      <c r="B572" s="14"/>
      <c r="C572" s="15"/>
      <c r="D572" s="16"/>
      <c r="E572" s="16"/>
      <c r="F572" s="16"/>
      <c r="G572" s="14"/>
      <c r="H572" s="17" t="str">
        <f t="shared" si="64"/>
        <v/>
      </c>
      <c r="I572" s="18" t="str">
        <f>IF(OR(A572="",B572=""),"",IFERROR(LOOKUP(2,1/(单次交易!$A$2:$A$201=A572),单次交易!$H$2:$H$201),0)+SUMIFS($G$2:$G$1001,$A$2:$A$1001,A572,$B$2:$B$1001,"&lt;"&amp;B572))</f>
        <v/>
      </c>
      <c r="J572" s="17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17" t="str">
        <f t="shared" si="65"/>
        <v/>
      </c>
      <c r="L572" s="18" t="str">
        <f t="shared" si="66"/>
        <v/>
      </c>
      <c r="M572" s="18" t="str">
        <f t="shared" si="67"/>
        <v/>
      </c>
      <c r="N572" s="18" t="str">
        <f t="shared" si="68"/>
        <v/>
      </c>
      <c r="O572" s="18" t="str">
        <f t="shared" si="69"/>
        <v/>
      </c>
      <c r="P572" s="17" t="str">
        <f t="shared" si="70"/>
        <v/>
      </c>
      <c r="Q572" s="17" t="str">
        <f t="shared" si="71"/>
        <v/>
      </c>
      <c r="R572" s="19" t="str">
        <f ca="1">IF(A572="","",IF(COUNTIF(_TradeIds,A572)=0,"违规：交易编号不存在",IF(OR(B572="",B572&lt;1,B572&gt;5,B572&lt;&gt;INT(B572)),"违规：加仓序号须为1到5的整数",IF(COUNTIFS($A$2:$A$1001,A572,$B$2:$B$1001,B572)&gt;1,"违规：同一交易的加仓序号重复",IF(OR(D572="",E572="",F572=""),"计划不完整：请填写加仓价、新止损价和风险预算",IF(OR(D572&lt;=0,E572&lt;=0,F572&lt;=0,D572&lt;=E572),"违规：加仓价必须高于新止损价，金额须大于0",IF(AND(B572&gt;1,COUNTIFS($A$2:$A$1001,A572,$B$2:$B$1001,B572-1,$G$2:$G$1001,"&gt;0")=0),"违规：须先完成上一次加仓",IF(AND(B572&gt;1,E572&lt;SUMIFS($E$2:$E$1001,$A$2:$A$1001,A572,$B$2:$B$1001,B572-1)),"违规：新止损价不得低于上一次",IF(AND(B572&gt;1,F572&gt;SUMIFS($F$2:$F$1001,$A$2:$A$1001,A572,$B$2:$B$1001,B572-1)),"违规：风险预算须逐次不增加",IF(OR(_LockStatus="已锁仓",_LockStatus="解锁信息不完整"),"违规：锁仓期间禁止加仓",IF(G572="","计划可执行：建议股数见N列",IF(OR(G572&lt;=0,G572&lt;&gt;INT(G572),MOD(G572,100)&lt;&gt;0),"违规：实际股数须为100股整数倍",IF(G572&gt;N572,"违规：实际股数超过风险或金字塔上限",IF(AND(B572&gt;1,G572&gt;SUMIFS($G$2:$G$1001,$A$2:$A$1001,A572,$B$2:$B$1001,B572-1)),"违规：加仓股数须逐次不增加",IF(Q572&gt;F572,"违规：止损风险超过本次预算","通过")))))))))))))))</f>
        <v/>
      </c>
    </row>
    <row r="573" ht="17" spans="1:18">
      <c r="A573" s="13"/>
      <c r="B573" s="14"/>
      <c r="C573" s="15"/>
      <c r="D573" s="16"/>
      <c r="E573" s="16"/>
      <c r="F573" s="16"/>
      <c r="G573" s="14"/>
      <c r="H573" s="17" t="str">
        <f t="shared" si="64"/>
        <v/>
      </c>
      <c r="I573" s="18" t="str">
        <f>IF(OR(A573="",B573=""),"",IFERROR(LOOKUP(2,1/(单次交易!$A$2:$A$201=A573),单次交易!$H$2:$H$201),0)+SUMIFS($G$2:$G$1001,$A$2:$A$1001,A573,$B$2:$B$1001,"&lt;"&amp;B573))</f>
        <v/>
      </c>
      <c r="J573" s="17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17" t="str">
        <f t="shared" si="65"/>
        <v/>
      </c>
      <c r="L573" s="18" t="str">
        <f t="shared" si="66"/>
        <v/>
      </c>
      <c r="M573" s="18" t="str">
        <f t="shared" si="67"/>
        <v/>
      </c>
      <c r="N573" s="18" t="str">
        <f t="shared" si="68"/>
        <v/>
      </c>
      <c r="O573" s="18" t="str">
        <f t="shared" si="69"/>
        <v/>
      </c>
      <c r="P573" s="17" t="str">
        <f t="shared" si="70"/>
        <v/>
      </c>
      <c r="Q573" s="17" t="str">
        <f t="shared" si="71"/>
        <v/>
      </c>
      <c r="R573" s="19" t="str">
        <f ca="1">IF(A573="","",IF(COUNTIF(_TradeIds,A573)=0,"违规：交易编号不存在",IF(OR(B573="",B573&lt;1,B573&gt;5,B573&lt;&gt;INT(B573)),"违规：加仓序号须为1到5的整数",IF(COUNTIFS($A$2:$A$1001,A573,$B$2:$B$1001,B573)&gt;1,"违规：同一交易的加仓序号重复",IF(OR(D573="",E573="",F573=""),"计划不完整：请填写加仓价、新止损价和风险预算",IF(OR(D573&lt;=0,E573&lt;=0,F573&lt;=0,D573&lt;=E573),"违规：加仓价必须高于新止损价，金额须大于0",IF(AND(B573&gt;1,COUNTIFS($A$2:$A$1001,A573,$B$2:$B$1001,B573-1,$G$2:$G$1001,"&gt;0")=0),"违规：须先完成上一次加仓",IF(AND(B573&gt;1,E573&lt;SUMIFS($E$2:$E$1001,$A$2:$A$1001,A573,$B$2:$B$1001,B573-1)),"违规：新止损价不得低于上一次",IF(AND(B573&gt;1,F573&gt;SUMIFS($F$2:$F$1001,$A$2:$A$1001,A573,$B$2:$B$1001,B573-1)),"违规：风险预算须逐次不增加",IF(OR(_LockStatus="已锁仓",_LockStatus="解锁信息不完整"),"违规：锁仓期间禁止加仓",IF(G573="","计划可执行：建议股数见N列",IF(OR(G573&lt;=0,G573&lt;&gt;INT(G573),MOD(G573,100)&lt;&gt;0),"违规：实际股数须为100股整数倍",IF(G573&gt;N573,"违规：实际股数超过风险或金字塔上限",IF(AND(B573&gt;1,G573&gt;SUMIFS($G$2:$G$1001,$A$2:$A$1001,A573,$B$2:$B$1001,B573-1)),"违规：加仓股数须逐次不增加",IF(Q573&gt;F573,"违规：止损风险超过本次预算","通过")))))))))))))))</f>
        <v/>
      </c>
    </row>
    <row r="574" ht="17" spans="1:18">
      <c r="A574" s="13"/>
      <c r="B574" s="14"/>
      <c r="C574" s="15"/>
      <c r="D574" s="16"/>
      <c r="E574" s="16"/>
      <c r="F574" s="16"/>
      <c r="G574" s="14"/>
      <c r="H574" s="17" t="str">
        <f t="shared" si="64"/>
        <v/>
      </c>
      <c r="I574" s="18" t="str">
        <f>IF(OR(A574="",B574=""),"",IFERROR(LOOKUP(2,1/(单次交易!$A$2:$A$201=A574),单次交易!$H$2:$H$201),0)+SUMIFS($G$2:$G$1001,$A$2:$A$1001,A574,$B$2:$B$1001,"&lt;"&amp;B574))</f>
        <v/>
      </c>
      <c r="J574" s="17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17" t="str">
        <f t="shared" si="65"/>
        <v/>
      </c>
      <c r="L574" s="18" t="str">
        <f t="shared" si="66"/>
        <v/>
      </c>
      <c r="M574" s="18" t="str">
        <f t="shared" si="67"/>
        <v/>
      </c>
      <c r="N574" s="18" t="str">
        <f t="shared" si="68"/>
        <v/>
      </c>
      <c r="O574" s="18" t="str">
        <f t="shared" si="69"/>
        <v/>
      </c>
      <c r="P574" s="17" t="str">
        <f t="shared" si="70"/>
        <v/>
      </c>
      <c r="Q574" s="17" t="str">
        <f t="shared" si="71"/>
        <v/>
      </c>
      <c r="R574" s="19" t="str">
        <f ca="1">IF(A574="","",IF(COUNTIF(_TradeIds,A574)=0,"违规：交易编号不存在",IF(OR(B574="",B574&lt;1,B574&gt;5,B574&lt;&gt;INT(B574)),"违规：加仓序号须为1到5的整数",IF(COUNTIFS($A$2:$A$1001,A574,$B$2:$B$1001,B574)&gt;1,"违规：同一交易的加仓序号重复",IF(OR(D574="",E574="",F574=""),"计划不完整：请填写加仓价、新止损价和风险预算",IF(OR(D574&lt;=0,E574&lt;=0,F574&lt;=0,D574&lt;=E574),"违规：加仓价必须高于新止损价，金额须大于0",IF(AND(B574&gt;1,COUNTIFS($A$2:$A$1001,A574,$B$2:$B$1001,B574-1,$G$2:$G$1001,"&gt;0")=0),"违规：须先完成上一次加仓",IF(AND(B574&gt;1,E574&lt;SUMIFS($E$2:$E$1001,$A$2:$A$1001,A574,$B$2:$B$1001,B574-1)),"违规：新止损价不得低于上一次",IF(AND(B574&gt;1,F574&gt;SUMIFS($F$2:$F$1001,$A$2:$A$1001,A574,$B$2:$B$1001,B574-1)),"违规：风险预算须逐次不增加",IF(OR(_LockStatus="已锁仓",_LockStatus="解锁信息不完整"),"违规：锁仓期间禁止加仓",IF(G574="","计划可执行：建议股数见N列",IF(OR(G574&lt;=0,G574&lt;&gt;INT(G574),MOD(G574,100)&lt;&gt;0),"违规：实际股数须为100股整数倍",IF(G574&gt;N574,"违规：实际股数超过风险或金字塔上限",IF(AND(B574&gt;1,G574&gt;SUMIFS($G$2:$G$1001,$A$2:$A$1001,A574,$B$2:$B$1001,B574-1)),"违规：加仓股数须逐次不增加",IF(Q574&gt;F574,"违规：止损风险超过本次预算","通过")))))))))))))))</f>
        <v/>
      </c>
    </row>
    <row r="575" ht="17" spans="1:18">
      <c r="A575" s="13"/>
      <c r="B575" s="14"/>
      <c r="C575" s="15"/>
      <c r="D575" s="16"/>
      <c r="E575" s="16"/>
      <c r="F575" s="16"/>
      <c r="G575" s="14"/>
      <c r="H575" s="17" t="str">
        <f t="shared" si="64"/>
        <v/>
      </c>
      <c r="I575" s="18" t="str">
        <f>IF(OR(A575="",B575=""),"",IFERROR(LOOKUP(2,1/(单次交易!$A$2:$A$201=A575),单次交易!$H$2:$H$201),0)+SUMIFS($G$2:$G$1001,$A$2:$A$1001,A575,$B$2:$B$1001,"&lt;"&amp;B575))</f>
        <v/>
      </c>
      <c r="J575" s="17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17" t="str">
        <f t="shared" si="65"/>
        <v/>
      </c>
      <c r="L575" s="18" t="str">
        <f t="shared" si="66"/>
        <v/>
      </c>
      <c r="M575" s="18" t="str">
        <f t="shared" si="67"/>
        <v/>
      </c>
      <c r="N575" s="18" t="str">
        <f t="shared" si="68"/>
        <v/>
      </c>
      <c r="O575" s="18" t="str">
        <f t="shared" si="69"/>
        <v/>
      </c>
      <c r="P575" s="17" t="str">
        <f t="shared" si="70"/>
        <v/>
      </c>
      <c r="Q575" s="17" t="str">
        <f t="shared" si="71"/>
        <v/>
      </c>
      <c r="R575" s="19" t="str">
        <f ca="1">IF(A575="","",IF(COUNTIF(_TradeIds,A575)=0,"违规：交易编号不存在",IF(OR(B575="",B575&lt;1,B575&gt;5,B575&lt;&gt;INT(B575)),"违规：加仓序号须为1到5的整数",IF(COUNTIFS($A$2:$A$1001,A575,$B$2:$B$1001,B575)&gt;1,"违规：同一交易的加仓序号重复",IF(OR(D575="",E575="",F575=""),"计划不完整：请填写加仓价、新止损价和风险预算",IF(OR(D575&lt;=0,E575&lt;=0,F575&lt;=0,D575&lt;=E575),"违规：加仓价必须高于新止损价，金额须大于0",IF(AND(B575&gt;1,COUNTIFS($A$2:$A$1001,A575,$B$2:$B$1001,B575-1,$G$2:$G$1001,"&gt;0")=0),"违规：须先完成上一次加仓",IF(AND(B575&gt;1,E575&lt;SUMIFS($E$2:$E$1001,$A$2:$A$1001,A575,$B$2:$B$1001,B575-1)),"违规：新止损价不得低于上一次",IF(AND(B575&gt;1,F575&gt;SUMIFS($F$2:$F$1001,$A$2:$A$1001,A575,$B$2:$B$1001,B575-1)),"违规：风险预算须逐次不增加",IF(OR(_LockStatus="已锁仓",_LockStatus="解锁信息不完整"),"违规：锁仓期间禁止加仓",IF(G575="","计划可执行：建议股数见N列",IF(OR(G575&lt;=0,G575&lt;&gt;INT(G575),MOD(G575,100)&lt;&gt;0),"违规：实际股数须为100股整数倍",IF(G575&gt;N575,"违规：实际股数超过风险或金字塔上限",IF(AND(B575&gt;1,G575&gt;SUMIFS($G$2:$G$1001,$A$2:$A$1001,A575,$B$2:$B$1001,B575-1)),"违规：加仓股数须逐次不增加",IF(Q575&gt;F575,"违规：止损风险超过本次预算","通过")))))))))))))))</f>
        <v/>
      </c>
    </row>
    <row r="576" ht="17" spans="1:18">
      <c r="A576" s="13"/>
      <c r="B576" s="14"/>
      <c r="C576" s="15"/>
      <c r="D576" s="16"/>
      <c r="E576" s="16"/>
      <c r="F576" s="16"/>
      <c r="G576" s="14"/>
      <c r="H576" s="17" t="str">
        <f t="shared" si="64"/>
        <v/>
      </c>
      <c r="I576" s="18" t="str">
        <f>IF(OR(A576="",B576=""),"",IFERROR(LOOKUP(2,1/(单次交易!$A$2:$A$201=A576),单次交易!$H$2:$H$201),0)+SUMIFS($G$2:$G$1001,$A$2:$A$1001,A576,$B$2:$B$1001,"&lt;"&amp;B576))</f>
        <v/>
      </c>
      <c r="J576" s="17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17" t="str">
        <f t="shared" si="65"/>
        <v/>
      </c>
      <c r="L576" s="18" t="str">
        <f t="shared" si="66"/>
        <v/>
      </c>
      <c r="M576" s="18" t="str">
        <f t="shared" si="67"/>
        <v/>
      </c>
      <c r="N576" s="18" t="str">
        <f t="shared" si="68"/>
        <v/>
      </c>
      <c r="O576" s="18" t="str">
        <f t="shared" si="69"/>
        <v/>
      </c>
      <c r="P576" s="17" t="str">
        <f t="shared" si="70"/>
        <v/>
      </c>
      <c r="Q576" s="17" t="str">
        <f t="shared" si="71"/>
        <v/>
      </c>
      <c r="R576" s="19" t="str">
        <f ca="1">IF(A576="","",IF(COUNTIF(_TradeIds,A576)=0,"违规：交易编号不存在",IF(OR(B576="",B576&lt;1,B576&gt;5,B576&lt;&gt;INT(B576)),"违规：加仓序号须为1到5的整数",IF(COUNTIFS($A$2:$A$1001,A576,$B$2:$B$1001,B576)&gt;1,"违规：同一交易的加仓序号重复",IF(OR(D576="",E576="",F576=""),"计划不完整：请填写加仓价、新止损价和风险预算",IF(OR(D576&lt;=0,E576&lt;=0,F576&lt;=0,D576&lt;=E576),"违规：加仓价必须高于新止损价，金额须大于0",IF(AND(B576&gt;1,COUNTIFS($A$2:$A$1001,A576,$B$2:$B$1001,B576-1,$G$2:$G$1001,"&gt;0")=0),"违规：须先完成上一次加仓",IF(AND(B576&gt;1,E576&lt;SUMIFS($E$2:$E$1001,$A$2:$A$1001,A576,$B$2:$B$1001,B576-1)),"违规：新止损价不得低于上一次",IF(AND(B576&gt;1,F576&gt;SUMIFS($F$2:$F$1001,$A$2:$A$1001,A576,$B$2:$B$1001,B576-1)),"违规：风险预算须逐次不增加",IF(OR(_LockStatus="已锁仓",_LockStatus="解锁信息不完整"),"违规：锁仓期间禁止加仓",IF(G576="","计划可执行：建议股数见N列",IF(OR(G576&lt;=0,G576&lt;&gt;INT(G576),MOD(G576,100)&lt;&gt;0),"违规：实际股数须为100股整数倍",IF(G576&gt;N576,"违规：实际股数超过风险或金字塔上限",IF(AND(B576&gt;1,G576&gt;SUMIFS($G$2:$G$1001,$A$2:$A$1001,A576,$B$2:$B$1001,B576-1)),"违规：加仓股数须逐次不增加",IF(Q576&gt;F576,"违规：止损风险超过本次预算","通过")))))))))))))))</f>
        <v/>
      </c>
    </row>
    <row r="577" ht="17" spans="1:18">
      <c r="A577" s="13"/>
      <c r="B577" s="14"/>
      <c r="C577" s="15"/>
      <c r="D577" s="16"/>
      <c r="E577" s="16"/>
      <c r="F577" s="16"/>
      <c r="G577" s="14"/>
      <c r="H577" s="17" t="str">
        <f t="shared" si="64"/>
        <v/>
      </c>
      <c r="I577" s="18" t="str">
        <f>IF(OR(A577="",B577=""),"",IFERROR(LOOKUP(2,1/(单次交易!$A$2:$A$201=A577),单次交易!$H$2:$H$201),0)+SUMIFS($G$2:$G$1001,$A$2:$A$1001,A577,$B$2:$B$1001,"&lt;"&amp;B577))</f>
        <v/>
      </c>
      <c r="J577" s="17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17" t="str">
        <f t="shared" si="65"/>
        <v/>
      </c>
      <c r="L577" s="18" t="str">
        <f t="shared" si="66"/>
        <v/>
      </c>
      <c r="M577" s="18" t="str">
        <f t="shared" si="67"/>
        <v/>
      </c>
      <c r="N577" s="18" t="str">
        <f t="shared" si="68"/>
        <v/>
      </c>
      <c r="O577" s="18" t="str">
        <f t="shared" si="69"/>
        <v/>
      </c>
      <c r="P577" s="17" t="str">
        <f t="shared" si="70"/>
        <v/>
      </c>
      <c r="Q577" s="17" t="str">
        <f t="shared" si="71"/>
        <v/>
      </c>
      <c r="R577" s="19" t="str">
        <f ca="1">IF(A577="","",IF(COUNTIF(_TradeIds,A577)=0,"违规：交易编号不存在",IF(OR(B577="",B577&lt;1,B577&gt;5,B577&lt;&gt;INT(B577)),"违规：加仓序号须为1到5的整数",IF(COUNTIFS($A$2:$A$1001,A577,$B$2:$B$1001,B577)&gt;1,"违规：同一交易的加仓序号重复",IF(OR(D577="",E577="",F577=""),"计划不完整：请填写加仓价、新止损价和风险预算",IF(OR(D577&lt;=0,E577&lt;=0,F577&lt;=0,D577&lt;=E577),"违规：加仓价必须高于新止损价，金额须大于0",IF(AND(B577&gt;1,COUNTIFS($A$2:$A$1001,A577,$B$2:$B$1001,B577-1,$G$2:$G$1001,"&gt;0")=0),"违规：须先完成上一次加仓",IF(AND(B577&gt;1,E577&lt;SUMIFS($E$2:$E$1001,$A$2:$A$1001,A577,$B$2:$B$1001,B577-1)),"违规：新止损价不得低于上一次",IF(AND(B577&gt;1,F577&gt;SUMIFS($F$2:$F$1001,$A$2:$A$1001,A577,$B$2:$B$1001,B577-1)),"违规：风险预算须逐次不增加",IF(OR(_LockStatus="已锁仓",_LockStatus="解锁信息不完整"),"违规：锁仓期间禁止加仓",IF(G577="","计划可执行：建议股数见N列",IF(OR(G577&lt;=0,G577&lt;&gt;INT(G577),MOD(G577,100)&lt;&gt;0),"违规：实际股数须为100股整数倍",IF(G577&gt;N577,"违规：实际股数超过风险或金字塔上限",IF(AND(B577&gt;1,G577&gt;SUMIFS($G$2:$G$1001,$A$2:$A$1001,A577,$B$2:$B$1001,B577-1)),"违规：加仓股数须逐次不增加",IF(Q577&gt;F577,"违规：止损风险超过本次预算","通过")))))))))))))))</f>
        <v/>
      </c>
    </row>
    <row r="578" ht="17" spans="1:18">
      <c r="A578" s="13"/>
      <c r="B578" s="14"/>
      <c r="C578" s="15"/>
      <c r="D578" s="16"/>
      <c r="E578" s="16"/>
      <c r="F578" s="16"/>
      <c r="G578" s="14"/>
      <c r="H578" s="17" t="str">
        <f t="shared" ref="H578:H641" si="72">IF(OR(A578="",D578="",G578=""),"",D578*G578)</f>
        <v/>
      </c>
      <c r="I578" s="18" t="str">
        <f>IF(OR(A578="",B578=""),"",IFERROR(LOOKUP(2,1/(单次交易!$A$2:$A$201=A578),单次交易!$H$2:$H$201),0)+SUMIFS($G$2:$G$1001,$A$2:$A$1001,A578,$B$2:$B$1001,"&lt;"&amp;B578))</f>
        <v/>
      </c>
      <c r="J578" s="17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17" t="str">
        <f t="shared" ref="K578:K641" si="73">IF(OR(E578="",I578="",J578=""),"",MAX(E578*I578-J578,0))</f>
        <v/>
      </c>
      <c r="L578" s="18" t="str">
        <f t="shared" ref="L578:L641" si="74">IF(OR(D578="",E578="",F578="",D578&lt;=E578),"",FLOOR((F578+K578)/(D578-E578),100))</f>
        <v/>
      </c>
      <c r="M578" s="18" t="str">
        <f t="shared" ref="M578:M641" si="75">IF(OR(A578="",B578="",L578=""),"",IF(B578=1,L578,IFERROR(SUMIFS($G$2:$G$1001,$A$2:$A$1001,A578,$B$2:$B$1001,B578-1),0)))</f>
        <v/>
      </c>
      <c r="N578" s="18" t="str">
        <f t="shared" ref="N578:N641" si="76">IF(OR(L578="",M578=""),"",MIN(L578,M578))</f>
        <v/>
      </c>
      <c r="O578" s="18" t="str">
        <f t="shared" ref="O578:O641" si="77">IF(OR(I578="",G578=""),"",I578+G578)</f>
        <v/>
      </c>
      <c r="P578" s="17" t="str">
        <f t="shared" ref="P578:P641" si="78">IF(OR(O578="",O578=0),"",(J578+H578)/O578)</f>
        <v/>
      </c>
      <c r="Q578" s="17" t="str">
        <f t="shared" ref="Q578:Q641" si="79">IF(OR(O578="",E578=""),"",MAX(J578+H578-E578*O578,0))</f>
        <v/>
      </c>
      <c r="R578" s="19" t="str">
        <f ca="1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ht="17" spans="1:18">
      <c r="A579" s="13"/>
      <c r="B579" s="14"/>
      <c r="C579" s="15"/>
      <c r="D579" s="16"/>
      <c r="E579" s="16"/>
      <c r="F579" s="16"/>
      <c r="G579" s="14"/>
      <c r="H579" s="17" t="str">
        <f t="shared" si="72"/>
        <v/>
      </c>
      <c r="I579" s="18" t="str">
        <f>IF(OR(A579="",B579=""),"",IFERROR(LOOKUP(2,1/(单次交易!$A$2:$A$201=A579),单次交易!$H$2:$H$201),0)+SUMIFS($G$2:$G$1001,$A$2:$A$1001,A579,$B$2:$B$1001,"&lt;"&amp;B579))</f>
        <v/>
      </c>
      <c r="J579" s="17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17" t="str">
        <f t="shared" si="73"/>
        <v/>
      </c>
      <c r="L579" s="18" t="str">
        <f t="shared" si="74"/>
        <v/>
      </c>
      <c r="M579" s="18" t="str">
        <f t="shared" si="75"/>
        <v/>
      </c>
      <c r="N579" s="18" t="str">
        <f t="shared" si="76"/>
        <v/>
      </c>
      <c r="O579" s="18" t="str">
        <f t="shared" si="77"/>
        <v/>
      </c>
      <c r="P579" s="17" t="str">
        <f t="shared" si="78"/>
        <v/>
      </c>
      <c r="Q579" s="17" t="str">
        <f t="shared" si="79"/>
        <v/>
      </c>
      <c r="R579" s="19" t="str">
        <f ca="1">IF(A579="","",IF(COUNTIF(_TradeIds,A579)=0,"违规：交易编号不存在",IF(OR(B579="",B579&lt;1,B579&gt;5,B579&lt;&gt;INT(B579)),"违规：加仓序号须为1到5的整数",IF(COUNTIFS($A$2:$A$1001,A579,$B$2:$B$1001,B579)&gt;1,"违规：同一交易的加仓序号重复",IF(OR(D579="",E579="",F579=""),"计划不完整：请填写加仓价、新止损价和风险预算",IF(OR(D579&lt;=0,E579&lt;=0,F579&lt;=0,D579&lt;=E579),"违规：加仓价必须高于新止损价，金额须大于0",IF(AND(B579&gt;1,COUNTIFS($A$2:$A$1001,A579,$B$2:$B$1001,B579-1,$G$2:$G$1001,"&gt;0")=0),"违规：须先完成上一次加仓",IF(AND(B579&gt;1,E579&lt;SUMIFS($E$2:$E$1001,$A$2:$A$1001,A579,$B$2:$B$1001,B579-1)),"违规：新止损价不得低于上一次",IF(AND(B579&gt;1,F579&gt;SUMIFS($F$2:$F$1001,$A$2:$A$1001,A579,$B$2:$B$1001,B579-1)),"违规：风险预算须逐次不增加",IF(OR(_LockStatus="已锁仓",_LockStatus="解锁信息不完整"),"违规：锁仓期间禁止加仓",IF(G579="","计划可执行：建议股数见N列",IF(OR(G579&lt;=0,G579&lt;&gt;INT(G579),MOD(G579,100)&lt;&gt;0),"违规：实际股数须为100股整数倍",IF(G579&gt;N579,"违规：实际股数超过风险或金字塔上限",IF(AND(B579&gt;1,G579&gt;SUMIFS($G$2:$G$1001,$A$2:$A$1001,A579,$B$2:$B$1001,B579-1)),"违规：加仓股数须逐次不增加",IF(Q579&gt;F579,"违规：止损风险超过本次预算","通过")))))))))))))))</f>
        <v/>
      </c>
    </row>
    <row r="580" ht="17" spans="1:18">
      <c r="A580" s="13"/>
      <c r="B580" s="14"/>
      <c r="C580" s="15"/>
      <c r="D580" s="16"/>
      <c r="E580" s="16"/>
      <c r="F580" s="16"/>
      <c r="G580" s="14"/>
      <c r="H580" s="17" t="str">
        <f t="shared" si="72"/>
        <v/>
      </c>
      <c r="I580" s="18" t="str">
        <f>IF(OR(A580="",B580=""),"",IFERROR(LOOKUP(2,1/(单次交易!$A$2:$A$201=A580),单次交易!$H$2:$H$201),0)+SUMIFS($G$2:$G$1001,$A$2:$A$1001,A580,$B$2:$B$1001,"&lt;"&amp;B580))</f>
        <v/>
      </c>
      <c r="J580" s="17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17" t="str">
        <f t="shared" si="73"/>
        <v/>
      </c>
      <c r="L580" s="18" t="str">
        <f t="shared" si="74"/>
        <v/>
      </c>
      <c r="M580" s="18" t="str">
        <f t="shared" si="75"/>
        <v/>
      </c>
      <c r="N580" s="18" t="str">
        <f t="shared" si="76"/>
        <v/>
      </c>
      <c r="O580" s="18" t="str">
        <f t="shared" si="77"/>
        <v/>
      </c>
      <c r="P580" s="17" t="str">
        <f t="shared" si="78"/>
        <v/>
      </c>
      <c r="Q580" s="17" t="str">
        <f t="shared" si="79"/>
        <v/>
      </c>
      <c r="R580" s="19" t="str">
        <f ca="1">IF(A580="","",IF(COUNTIF(_TradeIds,A580)=0,"违规：交易编号不存在",IF(OR(B580="",B580&lt;1,B580&gt;5,B580&lt;&gt;INT(B580)),"违规：加仓序号须为1到5的整数",IF(COUNTIFS($A$2:$A$1001,A580,$B$2:$B$1001,B580)&gt;1,"违规：同一交易的加仓序号重复",IF(OR(D580="",E580="",F580=""),"计划不完整：请填写加仓价、新止损价和风险预算",IF(OR(D580&lt;=0,E580&lt;=0,F580&lt;=0,D580&lt;=E580),"违规：加仓价必须高于新止损价，金额须大于0",IF(AND(B580&gt;1,COUNTIFS($A$2:$A$1001,A580,$B$2:$B$1001,B580-1,$G$2:$G$1001,"&gt;0")=0),"违规：须先完成上一次加仓",IF(AND(B580&gt;1,E580&lt;SUMIFS($E$2:$E$1001,$A$2:$A$1001,A580,$B$2:$B$1001,B580-1)),"违规：新止损价不得低于上一次",IF(AND(B580&gt;1,F580&gt;SUMIFS($F$2:$F$1001,$A$2:$A$1001,A580,$B$2:$B$1001,B580-1)),"违规：风险预算须逐次不增加",IF(OR(_LockStatus="已锁仓",_LockStatus="解锁信息不完整"),"违规：锁仓期间禁止加仓",IF(G580="","计划可执行：建议股数见N列",IF(OR(G580&lt;=0,G580&lt;&gt;INT(G580),MOD(G580,100)&lt;&gt;0),"违规：实际股数须为100股整数倍",IF(G580&gt;N580,"违规：实际股数超过风险或金字塔上限",IF(AND(B580&gt;1,G580&gt;SUMIFS($G$2:$G$1001,$A$2:$A$1001,A580,$B$2:$B$1001,B580-1)),"违规：加仓股数须逐次不增加",IF(Q580&gt;F580,"违规：止损风险超过本次预算","通过")))))))))))))))</f>
        <v/>
      </c>
    </row>
    <row r="581" ht="17" spans="1:18">
      <c r="A581" s="13"/>
      <c r="B581" s="14"/>
      <c r="C581" s="15"/>
      <c r="D581" s="16"/>
      <c r="E581" s="16"/>
      <c r="F581" s="16"/>
      <c r="G581" s="14"/>
      <c r="H581" s="17" t="str">
        <f t="shared" si="72"/>
        <v/>
      </c>
      <c r="I581" s="18" t="str">
        <f>IF(OR(A581="",B581=""),"",IFERROR(LOOKUP(2,1/(单次交易!$A$2:$A$201=A581),单次交易!$H$2:$H$201),0)+SUMIFS($G$2:$G$1001,$A$2:$A$1001,A581,$B$2:$B$1001,"&lt;"&amp;B581))</f>
        <v/>
      </c>
      <c r="J581" s="17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17" t="str">
        <f t="shared" si="73"/>
        <v/>
      </c>
      <c r="L581" s="18" t="str">
        <f t="shared" si="74"/>
        <v/>
      </c>
      <c r="M581" s="18" t="str">
        <f t="shared" si="75"/>
        <v/>
      </c>
      <c r="N581" s="18" t="str">
        <f t="shared" si="76"/>
        <v/>
      </c>
      <c r="O581" s="18" t="str">
        <f t="shared" si="77"/>
        <v/>
      </c>
      <c r="P581" s="17" t="str">
        <f t="shared" si="78"/>
        <v/>
      </c>
      <c r="Q581" s="17" t="str">
        <f t="shared" si="79"/>
        <v/>
      </c>
      <c r="R581" s="19" t="str">
        <f ca="1">IF(A581="","",IF(COUNTIF(_TradeIds,A581)=0,"违规：交易编号不存在",IF(OR(B581="",B581&lt;1,B581&gt;5,B581&lt;&gt;INT(B581)),"违规：加仓序号须为1到5的整数",IF(COUNTIFS($A$2:$A$1001,A581,$B$2:$B$1001,B581)&gt;1,"违规：同一交易的加仓序号重复",IF(OR(D581="",E581="",F581=""),"计划不完整：请填写加仓价、新止损价和风险预算",IF(OR(D581&lt;=0,E581&lt;=0,F581&lt;=0,D581&lt;=E581),"违规：加仓价必须高于新止损价，金额须大于0",IF(AND(B581&gt;1,COUNTIFS($A$2:$A$1001,A581,$B$2:$B$1001,B581-1,$G$2:$G$1001,"&gt;0")=0),"违规：须先完成上一次加仓",IF(AND(B581&gt;1,E581&lt;SUMIFS($E$2:$E$1001,$A$2:$A$1001,A581,$B$2:$B$1001,B581-1)),"违规：新止损价不得低于上一次",IF(AND(B581&gt;1,F581&gt;SUMIFS($F$2:$F$1001,$A$2:$A$1001,A581,$B$2:$B$1001,B581-1)),"违规：风险预算须逐次不增加",IF(OR(_LockStatus="已锁仓",_LockStatus="解锁信息不完整"),"违规：锁仓期间禁止加仓",IF(G581="","计划可执行：建议股数见N列",IF(OR(G581&lt;=0,G581&lt;&gt;INT(G581),MOD(G581,100)&lt;&gt;0),"违规：实际股数须为100股整数倍",IF(G581&gt;N581,"违规：实际股数超过风险或金字塔上限",IF(AND(B581&gt;1,G581&gt;SUMIFS($G$2:$G$1001,$A$2:$A$1001,A581,$B$2:$B$1001,B581-1)),"违规：加仓股数须逐次不增加",IF(Q581&gt;F581,"违规：止损风险超过本次预算","通过")))))))))))))))</f>
        <v/>
      </c>
    </row>
    <row r="582" ht="17" spans="1:18">
      <c r="A582" s="13"/>
      <c r="B582" s="14"/>
      <c r="C582" s="15"/>
      <c r="D582" s="16"/>
      <c r="E582" s="16"/>
      <c r="F582" s="16"/>
      <c r="G582" s="14"/>
      <c r="H582" s="17" t="str">
        <f t="shared" si="72"/>
        <v/>
      </c>
      <c r="I582" s="18" t="str">
        <f>IF(OR(A582="",B582=""),"",IFERROR(LOOKUP(2,1/(单次交易!$A$2:$A$201=A582),单次交易!$H$2:$H$201),0)+SUMIFS($G$2:$G$1001,$A$2:$A$1001,A582,$B$2:$B$1001,"&lt;"&amp;B582))</f>
        <v/>
      </c>
      <c r="J582" s="17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17" t="str">
        <f t="shared" si="73"/>
        <v/>
      </c>
      <c r="L582" s="18" t="str">
        <f t="shared" si="74"/>
        <v/>
      </c>
      <c r="M582" s="18" t="str">
        <f t="shared" si="75"/>
        <v/>
      </c>
      <c r="N582" s="18" t="str">
        <f t="shared" si="76"/>
        <v/>
      </c>
      <c r="O582" s="18" t="str">
        <f t="shared" si="77"/>
        <v/>
      </c>
      <c r="P582" s="17" t="str">
        <f t="shared" si="78"/>
        <v/>
      </c>
      <c r="Q582" s="17" t="str">
        <f t="shared" si="79"/>
        <v/>
      </c>
      <c r="R582" s="19" t="str">
        <f ca="1">IF(A582="","",IF(COUNTIF(_TradeIds,A582)=0,"违规：交易编号不存在",IF(OR(B582="",B582&lt;1,B582&gt;5,B582&lt;&gt;INT(B582)),"违规：加仓序号须为1到5的整数",IF(COUNTIFS($A$2:$A$1001,A582,$B$2:$B$1001,B582)&gt;1,"违规：同一交易的加仓序号重复",IF(OR(D582="",E582="",F582=""),"计划不完整：请填写加仓价、新止损价和风险预算",IF(OR(D582&lt;=0,E582&lt;=0,F582&lt;=0,D582&lt;=E582),"违规：加仓价必须高于新止损价，金额须大于0",IF(AND(B582&gt;1,COUNTIFS($A$2:$A$1001,A582,$B$2:$B$1001,B582-1,$G$2:$G$1001,"&gt;0")=0),"违规：须先完成上一次加仓",IF(AND(B582&gt;1,E582&lt;SUMIFS($E$2:$E$1001,$A$2:$A$1001,A582,$B$2:$B$1001,B582-1)),"违规：新止损价不得低于上一次",IF(AND(B582&gt;1,F582&gt;SUMIFS($F$2:$F$1001,$A$2:$A$1001,A582,$B$2:$B$1001,B582-1)),"违规：风险预算须逐次不增加",IF(OR(_LockStatus="已锁仓",_LockStatus="解锁信息不完整"),"违规：锁仓期间禁止加仓",IF(G582="","计划可执行：建议股数见N列",IF(OR(G582&lt;=0,G582&lt;&gt;INT(G582),MOD(G582,100)&lt;&gt;0),"违规：实际股数须为100股整数倍",IF(G582&gt;N582,"违规：实际股数超过风险或金字塔上限",IF(AND(B582&gt;1,G582&gt;SUMIFS($G$2:$G$1001,$A$2:$A$1001,A582,$B$2:$B$1001,B582-1)),"违规：加仓股数须逐次不增加",IF(Q582&gt;F582,"违规：止损风险超过本次预算","通过")))))))))))))))</f>
        <v/>
      </c>
    </row>
    <row r="583" ht="17" spans="1:18">
      <c r="A583" s="13"/>
      <c r="B583" s="14"/>
      <c r="C583" s="15"/>
      <c r="D583" s="16"/>
      <c r="E583" s="16"/>
      <c r="F583" s="16"/>
      <c r="G583" s="14"/>
      <c r="H583" s="17" t="str">
        <f t="shared" si="72"/>
        <v/>
      </c>
      <c r="I583" s="18" t="str">
        <f>IF(OR(A583="",B583=""),"",IFERROR(LOOKUP(2,1/(单次交易!$A$2:$A$201=A583),单次交易!$H$2:$H$201),0)+SUMIFS($G$2:$G$1001,$A$2:$A$1001,A583,$B$2:$B$1001,"&lt;"&amp;B583))</f>
        <v/>
      </c>
      <c r="J583" s="17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17" t="str">
        <f t="shared" si="73"/>
        <v/>
      </c>
      <c r="L583" s="18" t="str">
        <f t="shared" si="74"/>
        <v/>
      </c>
      <c r="M583" s="18" t="str">
        <f t="shared" si="75"/>
        <v/>
      </c>
      <c r="N583" s="18" t="str">
        <f t="shared" si="76"/>
        <v/>
      </c>
      <c r="O583" s="18" t="str">
        <f t="shared" si="77"/>
        <v/>
      </c>
      <c r="P583" s="17" t="str">
        <f t="shared" si="78"/>
        <v/>
      </c>
      <c r="Q583" s="17" t="str">
        <f t="shared" si="79"/>
        <v/>
      </c>
      <c r="R583" s="19" t="str">
        <f ca="1">IF(A583="","",IF(COUNTIF(_TradeIds,A583)=0,"违规：交易编号不存在",IF(OR(B583="",B583&lt;1,B583&gt;5,B583&lt;&gt;INT(B583)),"违规：加仓序号须为1到5的整数",IF(COUNTIFS($A$2:$A$1001,A583,$B$2:$B$1001,B583)&gt;1,"违规：同一交易的加仓序号重复",IF(OR(D583="",E583="",F583=""),"计划不完整：请填写加仓价、新止损价和风险预算",IF(OR(D583&lt;=0,E583&lt;=0,F583&lt;=0,D583&lt;=E583),"违规：加仓价必须高于新止损价，金额须大于0",IF(AND(B583&gt;1,COUNTIFS($A$2:$A$1001,A583,$B$2:$B$1001,B583-1,$G$2:$G$1001,"&gt;0")=0),"违规：须先完成上一次加仓",IF(AND(B583&gt;1,E583&lt;SUMIFS($E$2:$E$1001,$A$2:$A$1001,A583,$B$2:$B$1001,B583-1)),"违规：新止损价不得低于上一次",IF(AND(B583&gt;1,F583&gt;SUMIFS($F$2:$F$1001,$A$2:$A$1001,A583,$B$2:$B$1001,B583-1)),"违规：风险预算须逐次不增加",IF(OR(_LockStatus="已锁仓",_LockStatus="解锁信息不完整"),"违规：锁仓期间禁止加仓",IF(G583="","计划可执行：建议股数见N列",IF(OR(G583&lt;=0,G583&lt;&gt;INT(G583),MOD(G583,100)&lt;&gt;0),"违规：实际股数须为100股整数倍",IF(G583&gt;N583,"违规：实际股数超过风险或金字塔上限",IF(AND(B583&gt;1,G583&gt;SUMIFS($G$2:$G$1001,$A$2:$A$1001,A583,$B$2:$B$1001,B583-1)),"违规：加仓股数须逐次不增加",IF(Q583&gt;F583,"违规：止损风险超过本次预算","通过")))))))))))))))</f>
        <v/>
      </c>
    </row>
    <row r="584" ht="17" spans="1:18">
      <c r="A584" s="13"/>
      <c r="B584" s="14"/>
      <c r="C584" s="15"/>
      <c r="D584" s="16"/>
      <c r="E584" s="16"/>
      <c r="F584" s="16"/>
      <c r="G584" s="14"/>
      <c r="H584" s="17" t="str">
        <f t="shared" si="72"/>
        <v/>
      </c>
      <c r="I584" s="18" t="str">
        <f>IF(OR(A584="",B584=""),"",IFERROR(LOOKUP(2,1/(单次交易!$A$2:$A$201=A584),单次交易!$H$2:$H$201),0)+SUMIFS($G$2:$G$1001,$A$2:$A$1001,A584,$B$2:$B$1001,"&lt;"&amp;B584))</f>
        <v/>
      </c>
      <c r="J584" s="17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17" t="str">
        <f t="shared" si="73"/>
        <v/>
      </c>
      <c r="L584" s="18" t="str">
        <f t="shared" si="74"/>
        <v/>
      </c>
      <c r="M584" s="18" t="str">
        <f t="shared" si="75"/>
        <v/>
      </c>
      <c r="N584" s="18" t="str">
        <f t="shared" si="76"/>
        <v/>
      </c>
      <c r="O584" s="18" t="str">
        <f t="shared" si="77"/>
        <v/>
      </c>
      <c r="P584" s="17" t="str">
        <f t="shared" si="78"/>
        <v/>
      </c>
      <c r="Q584" s="17" t="str">
        <f t="shared" si="79"/>
        <v/>
      </c>
      <c r="R584" s="19" t="str">
        <f ca="1">IF(A584="","",IF(COUNTIF(_TradeIds,A584)=0,"违规：交易编号不存在",IF(OR(B584="",B584&lt;1,B584&gt;5,B584&lt;&gt;INT(B584)),"违规：加仓序号须为1到5的整数",IF(COUNTIFS($A$2:$A$1001,A584,$B$2:$B$1001,B584)&gt;1,"违规：同一交易的加仓序号重复",IF(OR(D584="",E584="",F584=""),"计划不完整：请填写加仓价、新止损价和风险预算",IF(OR(D584&lt;=0,E584&lt;=0,F584&lt;=0,D584&lt;=E584),"违规：加仓价必须高于新止损价，金额须大于0",IF(AND(B584&gt;1,COUNTIFS($A$2:$A$1001,A584,$B$2:$B$1001,B584-1,$G$2:$G$1001,"&gt;0")=0),"违规：须先完成上一次加仓",IF(AND(B584&gt;1,E584&lt;SUMIFS($E$2:$E$1001,$A$2:$A$1001,A584,$B$2:$B$1001,B584-1)),"违规：新止损价不得低于上一次",IF(AND(B584&gt;1,F584&gt;SUMIFS($F$2:$F$1001,$A$2:$A$1001,A584,$B$2:$B$1001,B584-1)),"违规：风险预算须逐次不增加",IF(OR(_LockStatus="已锁仓",_LockStatus="解锁信息不完整"),"违规：锁仓期间禁止加仓",IF(G584="","计划可执行：建议股数见N列",IF(OR(G584&lt;=0,G584&lt;&gt;INT(G584),MOD(G584,100)&lt;&gt;0),"违规：实际股数须为100股整数倍",IF(G584&gt;N584,"违规：实际股数超过风险或金字塔上限",IF(AND(B584&gt;1,G584&gt;SUMIFS($G$2:$G$1001,$A$2:$A$1001,A584,$B$2:$B$1001,B584-1)),"违规：加仓股数须逐次不增加",IF(Q584&gt;F584,"违规：止损风险超过本次预算","通过")))))))))))))))</f>
        <v/>
      </c>
    </row>
    <row r="585" ht="17" spans="1:18">
      <c r="A585" s="13"/>
      <c r="B585" s="14"/>
      <c r="C585" s="15"/>
      <c r="D585" s="16"/>
      <c r="E585" s="16"/>
      <c r="F585" s="16"/>
      <c r="G585" s="14"/>
      <c r="H585" s="17" t="str">
        <f t="shared" si="72"/>
        <v/>
      </c>
      <c r="I585" s="18" t="str">
        <f>IF(OR(A585="",B585=""),"",IFERROR(LOOKUP(2,1/(单次交易!$A$2:$A$201=A585),单次交易!$H$2:$H$201),0)+SUMIFS($G$2:$G$1001,$A$2:$A$1001,A585,$B$2:$B$1001,"&lt;"&amp;B585))</f>
        <v/>
      </c>
      <c r="J585" s="17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17" t="str">
        <f t="shared" si="73"/>
        <v/>
      </c>
      <c r="L585" s="18" t="str">
        <f t="shared" si="74"/>
        <v/>
      </c>
      <c r="M585" s="18" t="str">
        <f t="shared" si="75"/>
        <v/>
      </c>
      <c r="N585" s="18" t="str">
        <f t="shared" si="76"/>
        <v/>
      </c>
      <c r="O585" s="18" t="str">
        <f t="shared" si="77"/>
        <v/>
      </c>
      <c r="P585" s="17" t="str">
        <f t="shared" si="78"/>
        <v/>
      </c>
      <c r="Q585" s="17" t="str">
        <f t="shared" si="79"/>
        <v/>
      </c>
      <c r="R585" s="19" t="str">
        <f ca="1">IF(A585="","",IF(COUNTIF(_TradeIds,A585)=0,"违规：交易编号不存在",IF(OR(B585="",B585&lt;1,B585&gt;5,B585&lt;&gt;INT(B585)),"违规：加仓序号须为1到5的整数",IF(COUNTIFS($A$2:$A$1001,A585,$B$2:$B$1001,B585)&gt;1,"违规：同一交易的加仓序号重复",IF(OR(D585="",E585="",F585=""),"计划不完整：请填写加仓价、新止损价和风险预算",IF(OR(D585&lt;=0,E585&lt;=0,F585&lt;=0,D585&lt;=E585),"违规：加仓价必须高于新止损价，金额须大于0",IF(AND(B585&gt;1,COUNTIFS($A$2:$A$1001,A585,$B$2:$B$1001,B585-1,$G$2:$G$1001,"&gt;0")=0),"违规：须先完成上一次加仓",IF(AND(B585&gt;1,E585&lt;SUMIFS($E$2:$E$1001,$A$2:$A$1001,A585,$B$2:$B$1001,B585-1)),"违规：新止损价不得低于上一次",IF(AND(B585&gt;1,F585&gt;SUMIFS($F$2:$F$1001,$A$2:$A$1001,A585,$B$2:$B$1001,B585-1)),"违规：风险预算须逐次不增加",IF(OR(_LockStatus="已锁仓",_LockStatus="解锁信息不完整"),"违规：锁仓期间禁止加仓",IF(G585="","计划可执行：建议股数见N列",IF(OR(G585&lt;=0,G585&lt;&gt;INT(G585),MOD(G585,100)&lt;&gt;0),"违规：实际股数须为100股整数倍",IF(G585&gt;N585,"违规：实际股数超过风险或金字塔上限",IF(AND(B585&gt;1,G585&gt;SUMIFS($G$2:$G$1001,$A$2:$A$1001,A585,$B$2:$B$1001,B585-1)),"违规：加仓股数须逐次不增加",IF(Q585&gt;F585,"违规：止损风险超过本次预算","通过")))))))))))))))</f>
        <v/>
      </c>
    </row>
    <row r="586" ht="17" spans="1:18">
      <c r="A586" s="13"/>
      <c r="B586" s="14"/>
      <c r="C586" s="15"/>
      <c r="D586" s="16"/>
      <c r="E586" s="16"/>
      <c r="F586" s="16"/>
      <c r="G586" s="14"/>
      <c r="H586" s="17" t="str">
        <f t="shared" si="72"/>
        <v/>
      </c>
      <c r="I586" s="18" t="str">
        <f>IF(OR(A586="",B586=""),"",IFERROR(LOOKUP(2,1/(单次交易!$A$2:$A$201=A586),单次交易!$H$2:$H$201),0)+SUMIFS($G$2:$G$1001,$A$2:$A$1001,A586,$B$2:$B$1001,"&lt;"&amp;B586))</f>
        <v/>
      </c>
      <c r="J586" s="17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17" t="str">
        <f t="shared" si="73"/>
        <v/>
      </c>
      <c r="L586" s="18" t="str">
        <f t="shared" si="74"/>
        <v/>
      </c>
      <c r="M586" s="18" t="str">
        <f t="shared" si="75"/>
        <v/>
      </c>
      <c r="N586" s="18" t="str">
        <f t="shared" si="76"/>
        <v/>
      </c>
      <c r="O586" s="18" t="str">
        <f t="shared" si="77"/>
        <v/>
      </c>
      <c r="P586" s="17" t="str">
        <f t="shared" si="78"/>
        <v/>
      </c>
      <c r="Q586" s="17" t="str">
        <f t="shared" si="79"/>
        <v/>
      </c>
      <c r="R586" s="19" t="str">
        <f ca="1">IF(A586="","",IF(COUNTIF(_TradeIds,A586)=0,"违规：交易编号不存在",IF(OR(B586="",B586&lt;1,B586&gt;5,B586&lt;&gt;INT(B586)),"违规：加仓序号须为1到5的整数",IF(COUNTIFS($A$2:$A$1001,A586,$B$2:$B$1001,B586)&gt;1,"违规：同一交易的加仓序号重复",IF(OR(D586="",E586="",F586=""),"计划不完整：请填写加仓价、新止损价和风险预算",IF(OR(D586&lt;=0,E586&lt;=0,F586&lt;=0,D586&lt;=E586),"违规：加仓价必须高于新止损价，金额须大于0",IF(AND(B586&gt;1,COUNTIFS($A$2:$A$1001,A586,$B$2:$B$1001,B586-1,$G$2:$G$1001,"&gt;0")=0),"违规：须先完成上一次加仓",IF(AND(B586&gt;1,E586&lt;SUMIFS($E$2:$E$1001,$A$2:$A$1001,A586,$B$2:$B$1001,B586-1)),"违规：新止损价不得低于上一次",IF(AND(B586&gt;1,F586&gt;SUMIFS($F$2:$F$1001,$A$2:$A$1001,A586,$B$2:$B$1001,B586-1)),"违规：风险预算须逐次不增加",IF(OR(_LockStatus="已锁仓",_LockStatus="解锁信息不完整"),"违规：锁仓期间禁止加仓",IF(G586="","计划可执行：建议股数见N列",IF(OR(G586&lt;=0,G586&lt;&gt;INT(G586),MOD(G586,100)&lt;&gt;0),"违规：实际股数须为100股整数倍",IF(G586&gt;N586,"违规：实际股数超过风险或金字塔上限",IF(AND(B586&gt;1,G586&gt;SUMIFS($G$2:$G$1001,$A$2:$A$1001,A586,$B$2:$B$1001,B586-1)),"违规：加仓股数须逐次不增加",IF(Q586&gt;F586,"违规：止损风险超过本次预算","通过")))))))))))))))</f>
        <v/>
      </c>
    </row>
    <row r="587" ht="17" spans="1:18">
      <c r="A587" s="13"/>
      <c r="B587" s="14"/>
      <c r="C587" s="15"/>
      <c r="D587" s="16"/>
      <c r="E587" s="16"/>
      <c r="F587" s="16"/>
      <c r="G587" s="14"/>
      <c r="H587" s="17" t="str">
        <f t="shared" si="72"/>
        <v/>
      </c>
      <c r="I587" s="18" t="str">
        <f>IF(OR(A587="",B587=""),"",IFERROR(LOOKUP(2,1/(单次交易!$A$2:$A$201=A587),单次交易!$H$2:$H$201),0)+SUMIFS($G$2:$G$1001,$A$2:$A$1001,A587,$B$2:$B$1001,"&lt;"&amp;B587))</f>
        <v/>
      </c>
      <c r="J587" s="17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17" t="str">
        <f t="shared" si="73"/>
        <v/>
      </c>
      <c r="L587" s="18" t="str">
        <f t="shared" si="74"/>
        <v/>
      </c>
      <c r="M587" s="18" t="str">
        <f t="shared" si="75"/>
        <v/>
      </c>
      <c r="N587" s="18" t="str">
        <f t="shared" si="76"/>
        <v/>
      </c>
      <c r="O587" s="18" t="str">
        <f t="shared" si="77"/>
        <v/>
      </c>
      <c r="P587" s="17" t="str">
        <f t="shared" si="78"/>
        <v/>
      </c>
      <c r="Q587" s="17" t="str">
        <f t="shared" si="79"/>
        <v/>
      </c>
      <c r="R587" s="19" t="str">
        <f ca="1">IF(A587="","",IF(COUNTIF(_TradeIds,A587)=0,"违规：交易编号不存在",IF(OR(B587="",B587&lt;1,B587&gt;5,B587&lt;&gt;INT(B587)),"违规：加仓序号须为1到5的整数",IF(COUNTIFS($A$2:$A$1001,A587,$B$2:$B$1001,B587)&gt;1,"违规：同一交易的加仓序号重复",IF(OR(D587="",E587="",F587=""),"计划不完整：请填写加仓价、新止损价和风险预算",IF(OR(D587&lt;=0,E587&lt;=0,F587&lt;=0,D587&lt;=E587),"违规：加仓价必须高于新止损价，金额须大于0",IF(AND(B587&gt;1,COUNTIFS($A$2:$A$1001,A587,$B$2:$B$1001,B587-1,$G$2:$G$1001,"&gt;0")=0),"违规：须先完成上一次加仓",IF(AND(B587&gt;1,E587&lt;SUMIFS($E$2:$E$1001,$A$2:$A$1001,A587,$B$2:$B$1001,B587-1)),"违规：新止损价不得低于上一次",IF(AND(B587&gt;1,F587&gt;SUMIFS($F$2:$F$1001,$A$2:$A$1001,A587,$B$2:$B$1001,B587-1)),"违规：风险预算须逐次不增加",IF(OR(_LockStatus="已锁仓",_LockStatus="解锁信息不完整"),"违规：锁仓期间禁止加仓",IF(G587="","计划可执行：建议股数见N列",IF(OR(G587&lt;=0,G587&lt;&gt;INT(G587),MOD(G587,100)&lt;&gt;0),"违规：实际股数须为100股整数倍",IF(G587&gt;N587,"违规：实际股数超过风险或金字塔上限",IF(AND(B587&gt;1,G587&gt;SUMIFS($G$2:$G$1001,$A$2:$A$1001,A587,$B$2:$B$1001,B587-1)),"违规：加仓股数须逐次不增加",IF(Q587&gt;F587,"违规：止损风险超过本次预算","通过")))))))))))))))</f>
        <v/>
      </c>
    </row>
    <row r="588" ht="17" spans="1:18">
      <c r="A588" s="13"/>
      <c r="B588" s="14"/>
      <c r="C588" s="15"/>
      <c r="D588" s="16"/>
      <c r="E588" s="16"/>
      <c r="F588" s="16"/>
      <c r="G588" s="14"/>
      <c r="H588" s="17" t="str">
        <f t="shared" si="72"/>
        <v/>
      </c>
      <c r="I588" s="18" t="str">
        <f>IF(OR(A588="",B588=""),"",IFERROR(LOOKUP(2,1/(单次交易!$A$2:$A$201=A588),单次交易!$H$2:$H$201),0)+SUMIFS($G$2:$G$1001,$A$2:$A$1001,A588,$B$2:$B$1001,"&lt;"&amp;B588))</f>
        <v/>
      </c>
      <c r="J588" s="17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17" t="str">
        <f t="shared" si="73"/>
        <v/>
      </c>
      <c r="L588" s="18" t="str">
        <f t="shared" si="74"/>
        <v/>
      </c>
      <c r="M588" s="18" t="str">
        <f t="shared" si="75"/>
        <v/>
      </c>
      <c r="N588" s="18" t="str">
        <f t="shared" si="76"/>
        <v/>
      </c>
      <c r="O588" s="18" t="str">
        <f t="shared" si="77"/>
        <v/>
      </c>
      <c r="P588" s="17" t="str">
        <f t="shared" si="78"/>
        <v/>
      </c>
      <c r="Q588" s="17" t="str">
        <f t="shared" si="79"/>
        <v/>
      </c>
      <c r="R588" s="19" t="str">
        <f ca="1">IF(A588="","",IF(COUNTIF(_TradeIds,A588)=0,"违规：交易编号不存在",IF(OR(B588="",B588&lt;1,B588&gt;5,B588&lt;&gt;INT(B588)),"违规：加仓序号须为1到5的整数",IF(COUNTIFS($A$2:$A$1001,A588,$B$2:$B$1001,B588)&gt;1,"违规：同一交易的加仓序号重复",IF(OR(D588="",E588="",F588=""),"计划不完整：请填写加仓价、新止损价和风险预算",IF(OR(D588&lt;=0,E588&lt;=0,F588&lt;=0,D588&lt;=E588),"违规：加仓价必须高于新止损价，金额须大于0",IF(AND(B588&gt;1,COUNTIFS($A$2:$A$1001,A588,$B$2:$B$1001,B588-1,$G$2:$G$1001,"&gt;0")=0),"违规：须先完成上一次加仓",IF(AND(B588&gt;1,E588&lt;SUMIFS($E$2:$E$1001,$A$2:$A$1001,A588,$B$2:$B$1001,B588-1)),"违规：新止损价不得低于上一次",IF(AND(B588&gt;1,F588&gt;SUMIFS($F$2:$F$1001,$A$2:$A$1001,A588,$B$2:$B$1001,B588-1)),"违规：风险预算须逐次不增加",IF(OR(_LockStatus="已锁仓",_LockStatus="解锁信息不完整"),"违规：锁仓期间禁止加仓",IF(G588="","计划可执行：建议股数见N列",IF(OR(G588&lt;=0,G588&lt;&gt;INT(G588),MOD(G588,100)&lt;&gt;0),"违规：实际股数须为100股整数倍",IF(G588&gt;N588,"违规：实际股数超过风险或金字塔上限",IF(AND(B588&gt;1,G588&gt;SUMIFS($G$2:$G$1001,$A$2:$A$1001,A588,$B$2:$B$1001,B588-1)),"违规：加仓股数须逐次不增加",IF(Q588&gt;F588,"违规：止损风险超过本次预算","通过")))))))))))))))</f>
        <v/>
      </c>
    </row>
    <row r="589" ht="17" spans="1:18">
      <c r="A589" s="13"/>
      <c r="B589" s="14"/>
      <c r="C589" s="15"/>
      <c r="D589" s="16"/>
      <c r="E589" s="16"/>
      <c r="F589" s="16"/>
      <c r="G589" s="14"/>
      <c r="H589" s="17" t="str">
        <f t="shared" si="72"/>
        <v/>
      </c>
      <c r="I589" s="18" t="str">
        <f>IF(OR(A589="",B589=""),"",IFERROR(LOOKUP(2,1/(单次交易!$A$2:$A$201=A589),单次交易!$H$2:$H$201),0)+SUMIFS($G$2:$G$1001,$A$2:$A$1001,A589,$B$2:$B$1001,"&lt;"&amp;B589))</f>
        <v/>
      </c>
      <c r="J589" s="17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17" t="str">
        <f t="shared" si="73"/>
        <v/>
      </c>
      <c r="L589" s="18" t="str">
        <f t="shared" si="74"/>
        <v/>
      </c>
      <c r="M589" s="18" t="str">
        <f t="shared" si="75"/>
        <v/>
      </c>
      <c r="N589" s="18" t="str">
        <f t="shared" si="76"/>
        <v/>
      </c>
      <c r="O589" s="18" t="str">
        <f t="shared" si="77"/>
        <v/>
      </c>
      <c r="P589" s="17" t="str">
        <f t="shared" si="78"/>
        <v/>
      </c>
      <c r="Q589" s="17" t="str">
        <f t="shared" si="79"/>
        <v/>
      </c>
      <c r="R589" s="19" t="str">
        <f ca="1">IF(A589="","",IF(COUNTIF(_TradeIds,A589)=0,"违规：交易编号不存在",IF(OR(B589="",B589&lt;1,B589&gt;5,B589&lt;&gt;INT(B589)),"违规：加仓序号须为1到5的整数",IF(COUNTIFS($A$2:$A$1001,A589,$B$2:$B$1001,B589)&gt;1,"违规：同一交易的加仓序号重复",IF(OR(D589="",E589="",F589=""),"计划不完整：请填写加仓价、新止损价和风险预算",IF(OR(D589&lt;=0,E589&lt;=0,F589&lt;=0,D589&lt;=E589),"违规：加仓价必须高于新止损价，金额须大于0",IF(AND(B589&gt;1,COUNTIFS($A$2:$A$1001,A589,$B$2:$B$1001,B589-1,$G$2:$G$1001,"&gt;0")=0),"违规：须先完成上一次加仓",IF(AND(B589&gt;1,E589&lt;SUMIFS($E$2:$E$1001,$A$2:$A$1001,A589,$B$2:$B$1001,B589-1)),"违规：新止损价不得低于上一次",IF(AND(B589&gt;1,F589&gt;SUMIFS($F$2:$F$1001,$A$2:$A$1001,A589,$B$2:$B$1001,B589-1)),"违规：风险预算须逐次不增加",IF(OR(_LockStatus="已锁仓",_LockStatus="解锁信息不完整"),"违规：锁仓期间禁止加仓",IF(G589="","计划可执行：建议股数见N列",IF(OR(G589&lt;=0,G589&lt;&gt;INT(G589),MOD(G589,100)&lt;&gt;0),"违规：实际股数须为100股整数倍",IF(G589&gt;N589,"违规：实际股数超过风险或金字塔上限",IF(AND(B589&gt;1,G589&gt;SUMIFS($G$2:$G$1001,$A$2:$A$1001,A589,$B$2:$B$1001,B589-1)),"违规：加仓股数须逐次不增加",IF(Q589&gt;F589,"违规：止损风险超过本次预算","通过")))))))))))))))</f>
        <v/>
      </c>
    </row>
    <row r="590" ht="17" spans="1:18">
      <c r="A590" s="13"/>
      <c r="B590" s="14"/>
      <c r="C590" s="15"/>
      <c r="D590" s="16"/>
      <c r="E590" s="16"/>
      <c r="F590" s="16"/>
      <c r="G590" s="14"/>
      <c r="H590" s="17" t="str">
        <f t="shared" si="72"/>
        <v/>
      </c>
      <c r="I590" s="18" t="str">
        <f>IF(OR(A590="",B590=""),"",IFERROR(LOOKUP(2,1/(单次交易!$A$2:$A$201=A590),单次交易!$H$2:$H$201),0)+SUMIFS($G$2:$G$1001,$A$2:$A$1001,A590,$B$2:$B$1001,"&lt;"&amp;B590))</f>
        <v/>
      </c>
      <c r="J590" s="17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17" t="str">
        <f t="shared" si="73"/>
        <v/>
      </c>
      <c r="L590" s="18" t="str">
        <f t="shared" si="74"/>
        <v/>
      </c>
      <c r="M590" s="18" t="str">
        <f t="shared" si="75"/>
        <v/>
      </c>
      <c r="N590" s="18" t="str">
        <f t="shared" si="76"/>
        <v/>
      </c>
      <c r="O590" s="18" t="str">
        <f t="shared" si="77"/>
        <v/>
      </c>
      <c r="P590" s="17" t="str">
        <f t="shared" si="78"/>
        <v/>
      </c>
      <c r="Q590" s="17" t="str">
        <f t="shared" si="79"/>
        <v/>
      </c>
      <c r="R590" s="19" t="str">
        <f ca="1">IF(A590="","",IF(COUNTIF(_TradeIds,A590)=0,"违规：交易编号不存在",IF(OR(B590="",B590&lt;1,B590&gt;5,B590&lt;&gt;INT(B590)),"违规：加仓序号须为1到5的整数",IF(COUNTIFS($A$2:$A$1001,A590,$B$2:$B$1001,B590)&gt;1,"违规：同一交易的加仓序号重复",IF(OR(D590="",E590="",F590=""),"计划不完整：请填写加仓价、新止损价和风险预算",IF(OR(D590&lt;=0,E590&lt;=0,F590&lt;=0,D590&lt;=E590),"违规：加仓价必须高于新止损价，金额须大于0",IF(AND(B590&gt;1,COUNTIFS($A$2:$A$1001,A590,$B$2:$B$1001,B590-1,$G$2:$G$1001,"&gt;0")=0),"违规：须先完成上一次加仓",IF(AND(B590&gt;1,E590&lt;SUMIFS($E$2:$E$1001,$A$2:$A$1001,A590,$B$2:$B$1001,B590-1)),"违规：新止损价不得低于上一次",IF(AND(B590&gt;1,F590&gt;SUMIFS($F$2:$F$1001,$A$2:$A$1001,A590,$B$2:$B$1001,B590-1)),"违规：风险预算须逐次不增加",IF(OR(_LockStatus="已锁仓",_LockStatus="解锁信息不完整"),"违规：锁仓期间禁止加仓",IF(G590="","计划可执行：建议股数见N列",IF(OR(G590&lt;=0,G590&lt;&gt;INT(G590),MOD(G590,100)&lt;&gt;0),"违规：实际股数须为100股整数倍",IF(G590&gt;N590,"违规：实际股数超过风险或金字塔上限",IF(AND(B590&gt;1,G590&gt;SUMIFS($G$2:$G$1001,$A$2:$A$1001,A590,$B$2:$B$1001,B590-1)),"违规：加仓股数须逐次不增加",IF(Q590&gt;F590,"违规：止损风险超过本次预算","通过")))))))))))))))</f>
        <v/>
      </c>
    </row>
    <row r="591" ht="17" spans="1:18">
      <c r="A591" s="13"/>
      <c r="B591" s="14"/>
      <c r="C591" s="15"/>
      <c r="D591" s="16"/>
      <c r="E591" s="16"/>
      <c r="F591" s="16"/>
      <c r="G591" s="14"/>
      <c r="H591" s="17" t="str">
        <f t="shared" si="72"/>
        <v/>
      </c>
      <c r="I591" s="18" t="str">
        <f>IF(OR(A591="",B591=""),"",IFERROR(LOOKUP(2,1/(单次交易!$A$2:$A$201=A591),单次交易!$H$2:$H$201),0)+SUMIFS($G$2:$G$1001,$A$2:$A$1001,A591,$B$2:$B$1001,"&lt;"&amp;B591))</f>
        <v/>
      </c>
      <c r="J591" s="17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17" t="str">
        <f t="shared" si="73"/>
        <v/>
      </c>
      <c r="L591" s="18" t="str">
        <f t="shared" si="74"/>
        <v/>
      </c>
      <c r="M591" s="18" t="str">
        <f t="shared" si="75"/>
        <v/>
      </c>
      <c r="N591" s="18" t="str">
        <f t="shared" si="76"/>
        <v/>
      </c>
      <c r="O591" s="18" t="str">
        <f t="shared" si="77"/>
        <v/>
      </c>
      <c r="P591" s="17" t="str">
        <f t="shared" si="78"/>
        <v/>
      </c>
      <c r="Q591" s="17" t="str">
        <f t="shared" si="79"/>
        <v/>
      </c>
      <c r="R591" s="19" t="str">
        <f ca="1">IF(A591="","",IF(COUNTIF(_TradeIds,A591)=0,"违规：交易编号不存在",IF(OR(B591="",B591&lt;1,B591&gt;5,B591&lt;&gt;INT(B591)),"违规：加仓序号须为1到5的整数",IF(COUNTIFS($A$2:$A$1001,A591,$B$2:$B$1001,B591)&gt;1,"违规：同一交易的加仓序号重复",IF(OR(D591="",E591="",F591=""),"计划不完整：请填写加仓价、新止损价和风险预算",IF(OR(D591&lt;=0,E591&lt;=0,F591&lt;=0,D591&lt;=E591),"违规：加仓价必须高于新止损价，金额须大于0",IF(AND(B591&gt;1,COUNTIFS($A$2:$A$1001,A591,$B$2:$B$1001,B591-1,$G$2:$G$1001,"&gt;0")=0),"违规：须先完成上一次加仓",IF(AND(B591&gt;1,E591&lt;SUMIFS($E$2:$E$1001,$A$2:$A$1001,A591,$B$2:$B$1001,B591-1)),"违规：新止损价不得低于上一次",IF(AND(B591&gt;1,F591&gt;SUMIFS($F$2:$F$1001,$A$2:$A$1001,A591,$B$2:$B$1001,B591-1)),"违规：风险预算须逐次不增加",IF(OR(_LockStatus="已锁仓",_LockStatus="解锁信息不完整"),"违规：锁仓期间禁止加仓",IF(G591="","计划可执行：建议股数见N列",IF(OR(G591&lt;=0,G591&lt;&gt;INT(G591),MOD(G591,100)&lt;&gt;0),"违规：实际股数须为100股整数倍",IF(G591&gt;N591,"违规：实际股数超过风险或金字塔上限",IF(AND(B591&gt;1,G591&gt;SUMIFS($G$2:$G$1001,$A$2:$A$1001,A591,$B$2:$B$1001,B591-1)),"违规：加仓股数须逐次不增加",IF(Q591&gt;F591,"违规：止损风险超过本次预算","通过")))))))))))))))</f>
        <v/>
      </c>
    </row>
    <row r="592" ht="17" spans="1:18">
      <c r="A592" s="13"/>
      <c r="B592" s="14"/>
      <c r="C592" s="15"/>
      <c r="D592" s="16"/>
      <c r="E592" s="16"/>
      <c r="F592" s="16"/>
      <c r="G592" s="14"/>
      <c r="H592" s="17" t="str">
        <f t="shared" si="72"/>
        <v/>
      </c>
      <c r="I592" s="18" t="str">
        <f>IF(OR(A592="",B592=""),"",IFERROR(LOOKUP(2,1/(单次交易!$A$2:$A$201=A592),单次交易!$H$2:$H$201),0)+SUMIFS($G$2:$G$1001,$A$2:$A$1001,A592,$B$2:$B$1001,"&lt;"&amp;B592))</f>
        <v/>
      </c>
      <c r="J592" s="17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17" t="str">
        <f t="shared" si="73"/>
        <v/>
      </c>
      <c r="L592" s="18" t="str">
        <f t="shared" si="74"/>
        <v/>
      </c>
      <c r="M592" s="18" t="str">
        <f t="shared" si="75"/>
        <v/>
      </c>
      <c r="N592" s="18" t="str">
        <f t="shared" si="76"/>
        <v/>
      </c>
      <c r="O592" s="18" t="str">
        <f t="shared" si="77"/>
        <v/>
      </c>
      <c r="P592" s="17" t="str">
        <f t="shared" si="78"/>
        <v/>
      </c>
      <c r="Q592" s="17" t="str">
        <f t="shared" si="79"/>
        <v/>
      </c>
      <c r="R592" s="19" t="str">
        <f ca="1">IF(A592="","",IF(COUNTIF(_TradeIds,A592)=0,"违规：交易编号不存在",IF(OR(B592="",B592&lt;1,B592&gt;5,B592&lt;&gt;INT(B592)),"违规：加仓序号须为1到5的整数",IF(COUNTIFS($A$2:$A$1001,A592,$B$2:$B$1001,B592)&gt;1,"违规：同一交易的加仓序号重复",IF(OR(D592="",E592="",F592=""),"计划不完整：请填写加仓价、新止损价和风险预算",IF(OR(D592&lt;=0,E592&lt;=0,F592&lt;=0,D592&lt;=E592),"违规：加仓价必须高于新止损价，金额须大于0",IF(AND(B592&gt;1,COUNTIFS($A$2:$A$1001,A592,$B$2:$B$1001,B592-1,$G$2:$G$1001,"&gt;0")=0),"违规：须先完成上一次加仓",IF(AND(B592&gt;1,E592&lt;SUMIFS($E$2:$E$1001,$A$2:$A$1001,A592,$B$2:$B$1001,B592-1)),"违规：新止损价不得低于上一次",IF(AND(B592&gt;1,F592&gt;SUMIFS($F$2:$F$1001,$A$2:$A$1001,A592,$B$2:$B$1001,B592-1)),"违规：风险预算须逐次不增加",IF(OR(_LockStatus="已锁仓",_LockStatus="解锁信息不完整"),"违规：锁仓期间禁止加仓",IF(G592="","计划可执行：建议股数见N列",IF(OR(G592&lt;=0,G592&lt;&gt;INT(G592),MOD(G592,100)&lt;&gt;0),"违规：实际股数须为100股整数倍",IF(G592&gt;N592,"违规：实际股数超过风险或金字塔上限",IF(AND(B592&gt;1,G592&gt;SUMIFS($G$2:$G$1001,$A$2:$A$1001,A592,$B$2:$B$1001,B592-1)),"违规：加仓股数须逐次不增加",IF(Q592&gt;F592,"违规：止损风险超过本次预算","通过")))))))))))))))</f>
        <v/>
      </c>
    </row>
    <row r="593" ht="17" spans="1:18">
      <c r="A593" s="13"/>
      <c r="B593" s="14"/>
      <c r="C593" s="15"/>
      <c r="D593" s="16"/>
      <c r="E593" s="16"/>
      <c r="F593" s="16"/>
      <c r="G593" s="14"/>
      <c r="H593" s="17" t="str">
        <f t="shared" si="72"/>
        <v/>
      </c>
      <c r="I593" s="18" t="str">
        <f>IF(OR(A593="",B593=""),"",IFERROR(LOOKUP(2,1/(单次交易!$A$2:$A$201=A593),单次交易!$H$2:$H$201),0)+SUMIFS($G$2:$G$1001,$A$2:$A$1001,A593,$B$2:$B$1001,"&lt;"&amp;B593))</f>
        <v/>
      </c>
      <c r="J593" s="17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17" t="str">
        <f t="shared" si="73"/>
        <v/>
      </c>
      <c r="L593" s="18" t="str">
        <f t="shared" si="74"/>
        <v/>
      </c>
      <c r="M593" s="18" t="str">
        <f t="shared" si="75"/>
        <v/>
      </c>
      <c r="N593" s="18" t="str">
        <f t="shared" si="76"/>
        <v/>
      </c>
      <c r="O593" s="18" t="str">
        <f t="shared" si="77"/>
        <v/>
      </c>
      <c r="P593" s="17" t="str">
        <f t="shared" si="78"/>
        <v/>
      </c>
      <c r="Q593" s="17" t="str">
        <f t="shared" si="79"/>
        <v/>
      </c>
      <c r="R593" s="19" t="str">
        <f ca="1">IF(A593="","",IF(COUNTIF(_TradeIds,A593)=0,"违规：交易编号不存在",IF(OR(B593="",B593&lt;1,B593&gt;5,B593&lt;&gt;INT(B593)),"违规：加仓序号须为1到5的整数",IF(COUNTIFS($A$2:$A$1001,A593,$B$2:$B$1001,B593)&gt;1,"违规：同一交易的加仓序号重复",IF(OR(D593="",E593="",F593=""),"计划不完整：请填写加仓价、新止损价和风险预算",IF(OR(D593&lt;=0,E593&lt;=0,F593&lt;=0,D593&lt;=E593),"违规：加仓价必须高于新止损价，金额须大于0",IF(AND(B593&gt;1,COUNTIFS($A$2:$A$1001,A593,$B$2:$B$1001,B593-1,$G$2:$G$1001,"&gt;0")=0),"违规：须先完成上一次加仓",IF(AND(B593&gt;1,E593&lt;SUMIFS($E$2:$E$1001,$A$2:$A$1001,A593,$B$2:$B$1001,B593-1)),"违规：新止损价不得低于上一次",IF(AND(B593&gt;1,F593&gt;SUMIFS($F$2:$F$1001,$A$2:$A$1001,A593,$B$2:$B$1001,B593-1)),"违规：风险预算须逐次不增加",IF(OR(_LockStatus="已锁仓",_LockStatus="解锁信息不完整"),"违规：锁仓期间禁止加仓",IF(G593="","计划可执行：建议股数见N列",IF(OR(G593&lt;=0,G593&lt;&gt;INT(G593),MOD(G593,100)&lt;&gt;0),"违规：实际股数须为100股整数倍",IF(G593&gt;N593,"违规：实际股数超过风险或金字塔上限",IF(AND(B593&gt;1,G593&gt;SUMIFS($G$2:$G$1001,$A$2:$A$1001,A593,$B$2:$B$1001,B593-1)),"违规：加仓股数须逐次不增加",IF(Q593&gt;F593,"违规：止损风险超过本次预算","通过")))))))))))))))</f>
        <v/>
      </c>
    </row>
    <row r="594" ht="17" spans="1:18">
      <c r="A594" s="13"/>
      <c r="B594" s="14"/>
      <c r="C594" s="15"/>
      <c r="D594" s="16"/>
      <c r="E594" s="16"/>
      <c r="F594" s="16"/>
      <c r="G594" s="14"/>
      <c r="H594" s="17" t="str">
        <f t="shared" si="72"/>
        <v/>
      </c>
      <c r="I594" s="18" t="str">
        <f>IF(OR(A594="",B594=""),"",IFERROR(LOOKUP(2,1/(单次交易!$A$2:$A$201=A594),单次交易!$H$2:$H$201),0)+SUMIFS($G$2:$G$1001,$A$2:$A$1001,A594,$B$2:$B$1001,"&lt;"&amp;B594))</f>
        <v/>
      </c>
      <c r="J594" s="17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17" t="str">
        <f t="shared" si="73"/>
        <v/>
      </c>
      <c r="L594" s="18" t="str">
        <f t="shared" si="74"/>
        <v/>
      </c>
      <c r="M594" s="18" t="str">
        <f t="shared" si="75"/>
        <v/>
      </c>
      <c r="N594" s="18" t="str">
        <f t="shared" si="76"/>
        <v/>
      </c>
      <c r="O594" s="18" t="str">
        <f t="shared" si="77"/>
        <v/>
      </c>
      <c r="P594" s="17" t="str">
        <f t="shared" si="78"/>
        <v/>
      </c>
      <c r="Q594" s="17" t="str">
        <f t="shared" si="79"/>
        <v/>
      </c>
      <c r="R594" s="19" t="str">
        <f ca="1">IF(A594="","",IF(COUNTIF(_TradeIds,A594)=0,"违规：交易编号不存在",IF(OR(B594="",B594&lt;1,B594&gt;5,B594&lt;&gt;INT(B594)),"违规：加仓序号须为1到5的整数",IF(COUNTIFS($A$2:$A$1001,A594,$B$2:$B$1001,B594)&gt;1,"违规：同一交易的加仓序号重复",IF(OR(D594="",E594="",F594=""),"计划不完整：请填写加仓价、新止损价和风险预算",IF(OR(D594&lt;=0,E594&lt;=0,F594&lt;=0,D594&lt;=E594),"违规：加仓价必须高于新止损价，金额须大于0",IF(AND(B594&gt;1,COUNTIFS($A$2:$A$1001,A594,$B$2:$B$1001,B594-1,$G$2:$G$1001,"&gt;0")=0),"违规：须先完成上一次加仓",IF(AND(B594&gt;1,E594&lt;SUMIFS($E$2:$E$1001,$A$2:$A$1001,A594,$B$2:$B$1001,B594-1)),"违规：新止损价不得低于上一次",IF(AND(B594&gt;1,F594&gt;SUMIFS($F$2:$F$1001,$A$2:$A$1001,A594,$B$2:$B$1001,B594-1)),"违规：风险预算须逐次不增加",IF(OR(_LockStatus="已锁仓",_LockStatus="解锁信息不完整"),"违规：锁仓期间禁止加仓",IF(G594="","计划可执行：建议股数见N列",IF(OR(G594&lt;=0,G594&lt;&gt;INT(G594),MOD(G594,100)&lt;&gt;0),"违规：实际股数须为100股整数倍",IF(G594&gt;N594,"违规：实际股数超过风险或金字塔上限",IF(AND(B594&gt;1,G594&gt;SUMIFS($G$2:$G$1001,$A$2:$A$1001,A594,$B$2:$B$1001,B594-1)),"违规：加仓股数须逐次不增加",IF(Q594&gt;F594,"违规：止损风险超过本次预算","通过")))))))))))))))</f>
        <v/>
      </c>
    </row>
    <row r="595" ht="17" spans="1:18">
      <c r="A595" s="13"/>
      <c r="B595" s="14"/>
      <c r="C595" s="15"/>
      <c r="D595" s="16"/>
      <c r="E595" s="16"/>
      <c r="F595" s="16"/>
      <c r="G595" s="14"/>
      <c r="H595" s="17" t="str">
        <f t="shared" si="72"/>
        <v/>
      </c>
      <c r="I595" s="18" t="str">
        <f>IF(OR(A595="",B595=""),"",IFERROR(LOOKUP(2,1/(单次交易!$A$2:$A$201=A595),单次交易!$H$2:$H$201),0)+SUMIFS($G$2:$G$1001,$A$2:$A$1001,A595,$B$2:$B$1001,"&lt;"&amp;B595))</f>
        <v/>
      </c>
      <c r="J595" s="17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17" t="str">
        <f t="shared" si="73"/>
        <v/>
      </c>
      <c r="L595" s="18" t="str">
        <f t="shared" si="74"/>
        <v/>
      </c>
      <c r="M595" s="18" t="str">
        <f t="shared" si="75"/>
        <v/>
      </c>
      <c r="N595" s="18" t="str">
        <f t="shared" si="76"/>
        <v/>
      </c>
      <c r="O595" s="18" t="str">
        <f t="shared" si="77"/>
        <v/>
      </c>
      <c r="P595" s="17" t="str">
        <f t="shared" si="78"/>
        <v/>
      </c>
      <c r="Q595" s="17" t="str">
        <f t="shared" si="79"/>
        <v/>
      </c>
      <c r="R595" s="19" t="str">
        <f ca="1">IF(A595="","",IF(COUNTIF(_TradeIds,A595)=0,"违规：交易编号不存在",IF(OR(B595="",B595&lt;1,B595&gt;5,B595&lt;&gt;INT(B595)),"违规：加仓序号须为1到5的整数",IF(COUNTIFS($A$2:$A$1001,A595,$B$2:$B$1001,B595)&gt;1,"违规：同一交易的加仓序号重复",IF(OR(D595="",E595="",F595=""),"计划不完整：请填写加仓价、新止损价和风险预算",IF(OR(D595&lt;=0,E595&lt;=0,F595&lt;=0,D595&lt;=E595),"违规：加仓价必须高于新止损价，金额须大于0",IF(AND(B595&gt;1,COUNTIFS($A$2:$A$1001,A595,$B$2:$B$1001,B595-1,$G$2:$G$1001,"&gt;0")=0),"违规：须先完成上一次加仓",IF(AND(B595&gt;1,E595&lt;SUMIFS($E$2:$E$1001,$A$2:$A$1001,A595,$B$2:$B$1001,B595-1)),"违规：新止损价不得低于上一次",IF(AND(B595&gt;1,F595&gt;SUMIFS($F$2:$F$1001,$A$2:$A$1001,A595,$B$2:$B$1001,B595-1)),"违规：风险预算须逐次不增加",IF(OR(_LockStatus="已锁仓",_LockStatus="解锁信息不完整"),"违规：锁仓期间禁止加仓",IF(G595="","计划可执行：建议股数见N列",IF(OR(G595&lt;=0,G595&lt;&gt;INT(G595),MOD(G595,100)&lt;&gt;0),"违规：实际股数须为100股整数倍",IF(G595&gt;N595,"违规：实际股数超过风险或金字塔上限",IF(AND(B595&gt;1,G595&gt;SUMIFS($G$2:$G$1001,$A$2:$A$1001,A595,$B$2:$B$1001,B595-1)),"违规：加仓股数须逐次不增加",IF(Q595&gt;F595,"违规：止损风险超过本次预算","通过")))))))))))))))</f>
        <v/>
      </c>
    </row>
    <row r="596" ht="17" spans="1:18">
      <c r="A596" s="13"/>
      <c r="B596" s="14"/>
      <c r="C596" s="15"/>
      <c r="D596" s="16"/>
      <c r="E596" s="16"/>
      <c r="F596" s="16"/>
      <c r="G596" s="14"/>
      <c r="H596" s="17" t="str">
        <f t="shared" si="72"/>
        <v/>
      </c>
      <c r="I596" s="18" t="str">
        <f>IF(OR(A596="",B596=""),"",IFERROR(LOOKUP(2,1/(单次交易!$A$2:$A$201=A596),单次交易!$H$2:$H$201),0)+SUMIFS($G$2:$G$1001,$A$2:$A$1001,A596,$B$2:$B$1001,"&lt;"&amp;B596))</f>
        <v/>
      </c>
      <c r="J596" s="17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17" t="str">
        <f t="shared" si="73"/>
        <v/>
      </c>
      <c r="L596" s="18" t="str">
        <f t="shared" si="74"/>
        <v/>
      </c>
      <c r="M596" s="18" t="str">
        <f t="shared" si="75"/>
        <v/>
      </c>
      <c r="N596" s="18" t="str">
        <f t="shared" si="76"/>
        <v/>
      </c>
      <c r="O596" s="18" t="str">
        <f t="shared" si="77"/>
        <v/>
      </c>
      <c r="P596" s="17" t="str">
        <f t="shared" si="78"/>
        <v/>
      </c>
      <c r="Q596" s="17" t="str">
        <f t="shared" si="79"/>
        <v/>
      </c>
      <c r="R596" s="19" t="str">
        <f ca="1">IF(A596="","",IF(COUNTIF(_TradeIds,A596)=0,"违规：交易编号不存在",IF(OR(B596="",B596&lt;1,B596&gt;5,B596&lt;&gt;INT(B596)),"违规：加仓序号须为1到5的整数",IF(COUNTIFS($A$2:$A$1001,A596,$B$2:$B$1001,B596)&gt;1,"违规：同一交易的加仓序号重复",IF(OR(D596="",E596="",F596=""),"计划不完整：请填写加仓价、新止损价和风险预算",IF(OR(D596&lt;=0,E596&lt;=0,F596&lt;=0,D596&lt;=E596),"违规：加仓价必须高于新止损价，金额须大于0",IF(AND(B596&gt;1,COUNTIFS($A$2:$A$1001,A596,$B$2:$B$1001,B596-1,$G$2:$G$1001,"&gt;0")=0),"违规：须先完成上一次加仓",IF(AND(B596&gt;1,E596&lt;SUMIFS($E$2:$E$1001,$A$2:$A$1001,A596,$B$2:$B$1001,B596-1)),"违规：新止损价不得低于上一次",IF(AND(B596&gt;1,F596&gt;SUMIFS($F$2:$F$1001,$A$2:$A$1001,A596,$B$2:$B$1001,B596-1)),"违规：风险预算须逐次不增加",IF(OR(_LockStatus="已锁仓",_LockStatus="解锁信息不完整"),"违规：锁仓期间禁止加仓",IF(G596="","计划可执行：建议股数见N列",IF(OR(G596&lt;=0,G596&lt;&gt;INT(G596),MOD(G596,100)&lt;&gt;0),"违规：实际股数须为100股整数倍",IF(G596&gt;N596,"违规：实际股数超过风险或金字塔上限",IF(AND(B596&gt;1,G596&gt;SUMIFS($G$2:$G$1001,$A$2:$A$1001,A596,$B$2:$B$1001,B596-1)),"违规：加仓股数须逐次不增加",IF(Q596&gt;F596,"违规：止损风险超过本次预算","通过")))))))))))))))</f>
        <v/>
      </c>
    </row>
    <row r="597" ht="17" spans="1:18">
      <c r="A597" s="13"/>
      <c r="B597" s="14"/>
      <c r="C597" s="15"/>
      <c r="D597" s="16"/>
      <c r="E597" s="16"/>
      <c r="F597" s="16"/>
      <c r="G597" s="14"/>
      <c r="H597" s="17" t="str">
        <f t="shared" si="72"/>
        <v/>
      </c>
      <c r="I597" s="18" t="str">
        <f>IF(OR(A597="",B597=""),"",IFERROR(LOOKUP(2,1/(单次交易!$A$2:$A$201=A597),单次交易!$H$2:$H$201),0)+SUMIFS($G$2:$G$1001,$A$2:$A$1001,A597,$B$2:$B$1001,"&lt;"&amp;B597))</f>
        <v/>
      </c>
      <c r="J597" s="17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17" t="str">
        <f t="shared" si="73"/>
        <v/>
      </c>
      <c r="L597" s="18" t="str">
        <f t="shared" si="74"/>
        <v/>
      </c>
      <c r="M597" s="18" t="str">
        <f t="shared" si="75"/>
        <v/>
      </c>
      <c r="N597" s="18" t="str">
        <f t="shared" si="76"/>
        <v/>
      </c>
      <c r="O597" s="18" t="str">
        <f t="shared" si="77"/>
        <v/>
      </c>
      <c r="P597" s="17" t="str">
        <f t="shared" si="78"/>
        <v/>
      </c>
      <c r="Q597" s="17" t="str">
        <f t="shared" si="79"/>
        <v/>
      </c>
      <c r="R597" s="19" t="str">
        <f ca="1">IF(A597="","",IF(COUNTIF(_TradeIds,A597)=0,"违规：交易编号不存在",IF(OR(B597="",B597&lt;1,B597&gt;5,B597&lt;&gt;INT(B597)),"违规：加仓序号须为1到5的整数",IF(COUNTIFS($A$2:$A$1001,A597,$B$2:$B$1001,B597)&gt;1,"违规：同一交易的加仓序号重复",IF(OR(D597="",E597="",F597=""),"计划不完整：请填写加仓价、新止损价和风险预算",IF(OR(D597&lt;=0,E597&lt;=0,F597&lt;=0,D597&lt;=E597),"违规：加仓价必须高于新止损价，金额须大于0",IF(AND(B597&gt;1,COUNTIFS($A$2:$A$1001,A597,$B$2:$B$1001,B597-1,$G$2:$G$1001,"&gt;0")=0),"违规：须先完成上一次加仓",IF(AND(B597&gt;1,E597&lt;SUMIFS($E$2:$E$1001,$A$2:$A$1001,A597,$B$2:$B$1001,B597-1)),"违规：新止损价不得低于上一次",IF(AND(B597&gt;1,F597&gt;SUMIFS($F$2:$F$1001,$A$2:$A$1001,A597,$B$2:$B$1001,B597-1)),"违规：风险预算须逐次不增加",IF(OR(_LockStatus="已锁仓",_LockStatus="解锁信息不完整"),"违规：锁仓期间禁止加仓",IF(G597="","计划可执行：建议股数见N列",IF(OR(G597&lt;=0,G597&lt;&gt;INT(G597),MOD(G597,100)&lt;&gt;0),"违规：实际股数须为100股整数倍",IF(G597&gt;N597,"违规：实际股数超过风险或金字塔上限",IF(AND(B597&gt;1,G597&gt;SUMIFS($G$2:$G$1001,$A$2:$A$1001,A597,$B$2:$B$1001,B597-1)),"违规：加仓股数须逐次不增加",IF(Q597&gt;F597,"违规：止损风险超过本次预算","通过")))))))))))))))</f>
        <v/>
      </c>
    </row>
    <row r="598" ht="17" spans="1:18">
      <c r="A598" s="13"/>
      <c r="B598" s="14"/>
      <c r="C598" s="15"/>
      <c r="D598" s="16"/>
      <c r="E598" s="16"/>
      <c r="F598" s="16"/>
      <c r="G598" s="14"/>
      <c r="H598" s="17" t="str">
        <f t="shared" si="72"/>
        <v/>
      </c>
      <c r="I598" s="18" t="str">
        <f>IF(OR(A598="",B598=""),"",IFERROR(LOOKUP(2,1/(单次交易!$A$2:$A$201=A598),单次交易!$H$2:$H$201),0)+SUMIFS($G$2:$G$1001,$A$2:$A$1001,A598,$B$2:$B$1001,"&lt;"&amp;B598))</f>
        <v/>
      </c>
      <c r="J598" s="17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17" t="str">
        <f t="shared" si="73"/>
        <v/>
      </c>
      <c r="L598" s="18" t="str">
        <f t="shared" si="74"/>
        <v/>
      </c>
      <c r="M598" s="18" t="str">
        <f t="shared" si="75"/>
        <v/>
      </c>
      <c r="N598" s="18" t="str">
        <f t="shared" si="76"/>
        <v/>
      </c>
      <c r="O598" s="18" t="str">
        <f t="shared" si="77"/>
        <v/>
      </c>
      <c r="P598" s="17" t="str">
        <f t="shared" si="78"/>
        <v/>
      </c>
      <c r="Q598" s="17" t="str">
        <f t="shared" si="79"/>
        <v/>
      </c>
      <c r="R598" s="19" t="str">
        <f ca="1">IF(A598="","",IF(COUNTIF(_TradeIds,A598)=0,"违规：交易编号不存在",IF(OR(B598="",B598&lt;1,B598&gt;5,B598&lt;&gt;INT(B598)),"违规：加仓序号须为1到5的整数",IF(COUNTIFS($A$2:$A$1001,A598,$B$2:$B$1001,B598)&gt;1,"违规：同一交易的加仓序号重复",IF(OR(D598="",E598="",F598=""),"计划不完整：请填写加仓价、新止损价和风险预算",IF(OR(D598&lt;=0,E598&lt;=0,F598&lt;=0,D598&lt;=E598),"违规：加仓价必须高于新止损价，金额须大于0",IF(AND(B598&gt;1,COUNTIFS($A$2:$A$1001,A598,$B$2:$B$1001,B598-1,$G$2:$G$1001,"&gt;0")=0),"违规：须先完成上一次加仓",IF(AND(B598&gt;1,E598&lt;SUMIFS($E$2:$E$1001,$A$2:$A$1001,A598,$B$2:$B$1001,B598-1)),"违规：新止损价不得低于上一次",IF(AND(B598&gt;1,F598&gt;SUMIFS($F$2:$F$1001,$A$2:$A$1001,A598,$B$2:$B$1001,B598-1)),"违规：风险预算须逐次不增加",IF(OR(_LockStatus="已锁仓",_LockStatus="解锁信息不完整"),"违规：锁仓期间禁止加仓",IF(G598="","计划可执行：建议股数见N列",IF(OR(G598&lt;=0,G598&lt;&gt;INT(G598),MOD(G598,100)&lt;&gt;0),"违规：实际股数须为100股整数倍",IF(G598&gt;N598,"违规：实际股数超过风险或金字塔上限",IF(AND(B598&gt;1,G598&gt;SUMIFS($G$2:$G$1001,$A$2:$A$1001,A598,$B$2:$B$1001,B598-1)),"违规：加仓股数须逐次不增加",IF(Q598&gt;F598,"违规：止损风险超过本次预算","通过")))))))))))))))</f>
        <v/>
      </c>
    </row>
    <row r="599" ht="17" spans="1:18">
      <c r="A599" s="13"/>
      <c r="B599" s="14"/>
      <c r="C599" s="15"/>
      <c r="D599" s="16"/>
      <c r="E599" s="16"/>
      <c r="F599" s="16"/>
      <c r="G599" s="14"/>
      <c r="H599" s="17" t="str">
        <f t="shared" si="72"/>
        <v/>
      </c>
      <c r="I599" s="18" t="str">
        <f>IF(OR(A599="",B599=""),"",IFERROR(LOOKUP(2,1/(单次交易!$A$2:$A$201=A599),单次交易!$H$2:$H$201),0)+SUMIFS($G$2:$G$1001,$A$2:$A$1001,A599,$B$2:$B$1001,"&lt;"&amp;B599))</f>
        <v/>
      </c>
      <c r="J599" s="17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17" t="str">
        <f t="shared" si="73"/>
        <v/>
      </c>
      <c r="L599" s="18" t="str">
        <f t="shared" si="74"/>
        <v/>
      </c>
      <c r="M599" s="18" t="str">
        <f t="shared" si="75"/>
        <v/>
      </c>
      <c r="N599" s="18" t="str">
        <f t="shared" si="76"/>
        <v/>
      </c>
      <c r="O599" s="18" t="str">
        <f t="shared" si="77"/>
        <v/>
      </c>
      <c r="P599" s="17" t="str">
        <f t="shared" si="78"/>
        <v/>
      </c>
      <c r="Q599" s="17" t="str">
        <f t="shared" si="79"/>
        <v/>
      </c>
      <c r="R599" s="19" t="str">
        <f ca="1">IF(A599="","",IF(COUNTIF(_TradeIds,A599)=0,"违规：交易编号不存在",IF(OR(B599="",B599&lt;1,B599&gt;5,B599&lt;&gt;INT(B599)),"违规：加仓序号须为1到5的整数",IF(COUNTIFS($A$2:$A$1001,A599,$B$2:$B$1001,B599)&gt;1,"违规：同一交易的加仓序号重复",IF(OR(D599="",E599="",F599=""),"计划不完整：请填写加仓价、新止损价和风险预算",IF(OR(D599&lt;=0,E599&lt;=0,F599&lt;=0,D599&lt;=E599),"违规：加仓价必须高于新止损价，金额须大于0",IF(AND(B599&gt;1,COUNTIFS($A$2:$A$1001,A599,$B$2:$B$1001,B599-1,$G$2:$G$1001,"&gt;0")=0),"违规：须先完成上一次加仓",IF(AND(B599&gt;1,E599&lt;SUMIFS($E$2:$E$1001,$A$2:$A$1001,A599,$B$2:$B$1001,B599-1)),"违规：新止损价不得低于上一次",IF(AND(B599&gt;1,F599&gt;SUMIFS($F$2:$F$1001,$A$2:$A$1001,A599,$B$2:$B$1001,B599-1)),"违规：风险预算须逐次不增加",IF(OR(_LockStatus="已锁仓",_LockStatus="解锁信息不完整"),"违规：锁仓期间禁止加仓",IF(G599="","计划可执行：建议股数见N列",IF(OR(G599&lt;=0,G599&lt;&gt;INT(G599),MOD(G599,100)&lt;&gt;0),"违规：实际股数须为100股整数倍",IF(G599&gt;N599,"违规：实际股数超过风险或金字塔上限",IF(AND(B599&gt;1,G599&gt;SUMIFS($G$2:$G$1001,$A$2:$A$1001,A599,$B$2:$B$1001,B599-1)),"违规：加仓股数须逐次不增加",IF(Q599&gt;F599,"违规：止损风险超过本次预算","通过")))))))))))))))</f>
        <v/>
      </c>
    </row>
    <row r="600" ht="17" spans="1:18">
      <c r="A600" s="13"/>
      <c r="B600" s="14"/>
      <c r="C600" s="15"/>
      <c r="D600" s="16"/>
      <c r="E600" s="16"/>
      <c r="F600" s="16"/>
      <c r="G600" s="14"/>
      <c r="H600" s="17" t="str">
        <f t="shared" si="72"/>
        <v/>
      </c>
      <c r="I600" s="18" t="str">
        <f>IF(OR(A600="",B600=""),"",IFERROR(LOOKUP(2,1/(单次交易!$A$2:$A$201=A600),单次交易!$H$2:$H$201),0)+SUMIFS($G$2:$G$1001,$A$2:$A$1001,A600,$B$2:$B$1001,"&lt;"&amp;B600))</f>
        <v/>
      </c>
      <c r="J600" s="17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17" t="str">
        <f t="shared" si="73"/>
        <v/>
      </c>
      <c r="L600" s="18" t="str">
        <f t="shared" si="74"/>
        <v/>
      </c>
      <c r="M600" s="18" t="str">
        <f t="shared" si="75"/>
        <v/>
      </c>
      <c r="N600" s="18" t="str">
        <f t="shared" si="76"/>
        <v/>
      </c>
      <c r="O600" s="18" t="str">
        <f t="shared" si="77"/>
        <v/>
      </c>
      <c r="P600" s="17" t="str">
        <f t="shared" si="78"/>
        <v/>
      </c>
      <c r="Q600" s="17" t="str">
        <f t="shared" si="79"/>
        <v/>
      </c>
      <c r="R600" s="19" t="str">
        <f ca="1">IF(A600="","",IF(COUNTIF(_TradeIds,A600)=0,"违规：交易编号不存在",IF(OR(B600="",B600&lt;1,B600&gt;5,B600&lt;&gt;INT(B600)),"违规：加仓序号须为1到5的整数",IF(COUNTIFS($A$2:$A$1001,A600,$B$2:$B$1001,B600)&gt;1,"违规：同一交易的加仓序号重复",IF(OR(D600="",E600="",F600=""),"计划不完整：请填写加仓价、新止损价和风险预算",IF(OR(D600&lt;=0,E600&lt;=0,F600&lt;=0,D600&lt;=E600),"违规：加仓价必须高于新止损价，金额须大于0",IF(AND(B600&gt;1,COUNTIFS($A$2:$A$1001,A600,$B$2:$B$1001,B600-1,$G$2:$G$1001,"&gt;0")=0),"违规：须先完成上一次加仓",IF(AND(B600&gt;1,E600&lt;SUMIFS($E$2:$E$1001,$A$2:$A$1001,A600,$B$2:$B$1001,B600-1)),"违规：新止损价不得低于上一次",IF(AND(B600&gt;1,F600&gt;SUMIFS($F$2:$F$1001,$A$2:$A$1001,A600,$B$2:$B$1001,B600-1)),"违规：风险预算须逐次不增加",IF(OR(_LockStatus="已锁仓",_LockStatus="解锁信息不完整"),"违规：锁仓期间禁止加仓",IF(G600="","计划可执行：建议股数见N列",IF(OR(G600&lt;=0,G600&lt;&gt;INT(G600),MOD(G600,100)&lt;&gt;0),"违规：实际股数须为100股整数倍",IF(G600&gt;N600,"违规：实际股数超过风险或金字塔上限",IF(AND(B600&gt;1,G600&gt;SUMIFS($G$2:$G$1001,$A$2:$A$1001,A600,$B$2:$B$1001,B600-1)),"违规：加仓股数须逐次不增加",IF(Q600&gt;F600,"违规：止损风险超过本次预算","通过")))))))))))))))</f>
        <v/>
      </c>
    </row>
    <row r="601" ht="17" spans="1:18">
      <c r="A601" s="13"/>
      <c r="B601" s="14"/>
      <c r="C601" s="15"/>
      <c r="D601" s="16"/>
      <c r="E601" s="16"/>
      <c r="F601" s="16"/>
      <c r="G601" s="14"/>
      <c r="H601" s="17" t="str">
        <f t="shared" si="72"/>
        <v/>
      </c>
      <c r="I601" s="18" t="str">
        <f>IF(OR(A601="",B601=""),"",IFERROR(LOOKUP(2,1/(单次交易!$A$2:$A$201=A601),单次交易!$H$2:$H$201),0)+SUMIFS($G$2:$G$1001,$A$2:$A$1001,A601,$B$2:$B$1001,"&lt;"&amp;B601))</f>
        <v/>
      </c>
      <c r="J601" s="17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17" t="str">
        <f t="shared" si="73"/>
        <v/>
      </c>
      <c r="L601" s="18" t="str">
        <f t="shared" si="74"/>
        <v/>
      </c>
      <c r="M601" s="18" t="str">
        <f t="shared" si="75"/>
        <v/>
      </c>
      <c r="N601" s="18" t="str">
        <f t="shared" si="76"/>
        <v/>
      </c>
      <c r="O601" s="18" t="str">
        <f t="shared" si="77"/>
        <v/>
      </c>
      <c r="P601" s="17" t="str">
        <f t="shared" si="78"/>
        <v/>
      </c>
      <c r="Q601" s="17" t="str">
        <f t="shared" si="79"/>
        <v/>
      </c>
      <c r="R601" s="19" t="str">
        <f ca="1">IF(A601="","",IF(COUNTIF(_TradeIds,A601)=0,"违规：交易编号不存在",IF(OR(B601="",B601&lt;1,B601&gt;5,B601&lt;&gt;INT(B601)),"违规：加仓序号须为1到5的整数",IF(COUNTIFS($A$2:$A$1001,A601,$B$2:$B$1001,B601)&gt;1,"违规：同一交易的加仓序号重复",IF(OR(D601="",E601="",F601=""),"计划不完整：请填写加仓价、新止损价和风险预算",IF(OR(D601&lt;=0,E601&lt;=0,F601&lt;=0,D601&lt;=E601),"违规：加仓价必须高于新止损价，金额须大于0",IF(AND(B601&gt;1,COUNTIFS($A$2:$A$1001,A601,$B$2:$B$1001,B601-1,$G$2:$G$1001,"&gt;0")=0),"违规：须先完成上一次加仓",IF(AND(B601&gt;1,E601&lt;SUMIFS($E$2:$E$1001,$A$2:$A$1001,A601,$B$2:$B$1001,B601-1)),"违规：新止损价不得低于上一次",IF(AND(B601&gt;1,F601&gt;SUMIFS($F$2:$F$1001,$A$2:$A$1001,A601,$B$2:$B$1001,B601-1)),"违规：风险预算须逐次不增加",IF(OR(_LockStatus="已锁仓",_LockStatus="解锁信息不完整"),"违规：锁仓期间禁止加仓",IF(G601="","计划可执行：建议股数见N列",IF(OR(G601&lt;=0,G601&lt;&gt;INT(G601),MOD(G601,100)&lt;&gt;0),"违规：实际股数须为100股整数倍",IF(G601&gt;N601,"违规：实际股数超过风险或金字塔上限",IF(AND(B601&gt;1,G601&gt;SUMIFS($G$2:$G$1001,$A$2:$A$1001,A601,$B$2:$B$1001,B601-1)),"违规：加仓股数须逐次不增加",IF(Q601&gt;F601,"违规：止损风险超过本次预算","通过")))))))))))))))</f>
        <v/>
      </c>
    </row>
    <row r="602" ht="17" spans="1:18">
      <c r="A602" s="13"/>
      <c r="B602" s="14"/>
      <c r="C602" s="15"/>
      <c r="D602" s="16"/>
      <c r="E602" s="16"/>
      <c r="F602" s="16"/>
      <c r="G602" s="14"/>
      <c r="H602" s="17" t="str">
        <f t="shared" si="72"/>
        <v/>
      </c>
      <c r="I602" s="18" t="str">
        <f>IF(OR(A602="",B602=""),"",IFERROR(LOOKUP(2,1/(单次交易!$A$2:$A$201=A602),单次交易!$H$2:$H$201),0)+SUMIFS($G$2:$G$1001,$A$2:$A$1001,A602,$B$2:$B$1001,"&lt;"&amp;B602))</f>
        <v/>
      </c>
      <c r="J602" s="17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17" t="str">
        <f t="shared" si="73"/>
        <v/>
      </c>
      <c r="L602" s="18" t="str">
        <f t="shared" si="74"/>
        <v/>
      </c>
      <c r="M602" s="18" t="str">
        <f t="shared" si="75"/>
        <v/>
      </c>
      <c r="N602" s="18" t="str">
        <f t="shared" si="76"/>
        <v/>
      </c>
      <c r="O602" s="18" t="str">
        <f t="shared" si="77"/>
        <v/>
      </c>
      <c r="P602" s="17" t="str">
        <f t="shared" si="78"/>
        <v/>
      </c>
      <c r="Q602" s="17" t="str">
        <f t="shared" si="79"/>
        <v/>
      </c>
      <c r="R602" s="19" t="str">
        <f ca="1">IF(A602="","",IF(COUNTIF(_TradeIds,A602)=0,"违规：交易编号不存在",IF(OR(B602="",B602&lt;1,B602&gt;5,B602&lt;&gt;INT(B602)),"违规：加仓序号须为1到5的整数",IF(COUNTIFS($A$2:$A$1001,A602,$B$2:$B$1001,B602)&gt;1,"违规：同一交易的加仓序号重复",IF(OR(D602="",E602="",F602=""),"计划不完整：请填写加仓价、新止损价和风险预算",IF(OR(D602&lt;=0,E602&lt;=0,F602&lt;=0,D602&lt;=E602),"违规：加仓价必须高于新止损价，金额须大于0",IF(AND(B602&gt;1,COUNTIFS($A$2:$A$1001,A602,$B$2:$B$1001,B602-1,$G$2:$G$1001,"&gt;0")=0),"违规：须先完成上一次加仓",IF(AND(B602&gt;1,E602&lt;SUMIFS($E$2:$E$1001,$A$2:$A$1001,A602,$B$2:$B$1001,B602-1)),"违规：新止损价不得低于上一次",IF(AND(B602&gt;1,F602&gt;SUMIFS($F$2:$F$1001,$A$2:$A$1001,A602,$B$2:$B$1001,B602-1)),"违规：风险预算须逐次不增加",IF(OR(_LockStatus="已锁仓",_LockStatus="解锁信息不完整"),"违规：锁仓期间禁止加仓",IF(G602="","计划可执行：建议股数见N列",IF(OR(G602&lt;=0,G602&lt;&gt;INT(G602),MOD(G602,100)&lt;&gt;0),"违规：实际股数须为100股整数倍",IF(G602&gt;N602,"违规：实际股数超过风险或金字塔上限",IF(AND(B602&gt;1,G602&gt;SUMIFS($G$2:$G$1001,$A$2:$A$1001,A602,$B$2:$B$1001,B602-1)),"违规：加仓股数须逐次不增加",IF(Q602&gt;F602,"违规：止损风险超过本次预算","通过")))))))))))))))</f>
        <v/>
      </c>
    </row>
    <row r="603" ht="17" spans="1:18">
      <c r="A603" s="13"/>
      <c r="B603" s="14"/>
      <c r="C603" s="15"/>
      <c r="D603" s="16"/>
      <c r="E603" s="16"/>
      <c r="F603" s="16"/>
      <c r="G603" s="14"/>
      <c r="H603" s="17" t="str">
        <f t="shared" si="72"/>
        <v/>
      </c>
      <c r="I603" s="18" t="str">
        <f>IF(OR(A603="",B603=""),"",IFERROR(LOOKUP(2,1/(单次交易!$A$2:$A$201=A603),单次交易!$H$2:$H$201),0)+SUMIFS($G$2:$G$1001,$A$2:$A$1001,A603,$B$2:$B$1001,"&lt;"&amp;B603))</f>
        <v/>
      </c>
      <c r="J603" s="17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17" t="str">
        <f t="shared" si="73"/>
        <v/>
      </c>
      <c r="L603" s="18" t="str">
        <f t="shared" si="74"/>
        <v/>
      </c>
      <c r="M603" s="18" t="str">
        <f t="shared" si="75"/>
        <v/>
      </c>
      <c r="N603" s="18" t="str">
        <f t="shared" si="76"/>
        <v/>
      </c>
      <c r="O603" s="18" t="str">
        <f t="shared" si="77"/>
        <v/>
      </c>
      <c r="P603" s="17" t="str">
        <f t="shared" si="78"/>
        <v/>
      </c>
      <c r="Q603" s="17" t="str">
        <f t="shared" si="79"/>
        <v/>
      </c>
      <c r="R603" s="19" t="str">
        <f ca="1">IF(A603="","",IF(COUNTIF(_TradeIds,A603)=0,"违规：交易编号不存在",IF(OR(B603="",B603&lt;1,B603&gt;5,B603&lt;&gt;INT(B603)),"违规：加仓序号须为1到5的整数",IF(COUNTIFS($A$2:$A$1001,A603,$B$2:$B$1001,B603)&gt;1,"违规：同一交易的加仓序号重复",IF(OR(D603="",E603="",F603=""),"计划不完整：请填写加仓价、新止损价和风险预算",IF(OR(D603&lt;=0,E603&lt;=0,F603&lt;=0,D603&lt;=E603),"违规：加仓价必须高于新止损价，金额须大于0",IF(AND(B603&gt;1,COUNTIFS($A$2:$A$1001,A603,$B$2:$B$1001,B603-1,$G$2:$G$1001,"&gt;0")=0),"违规：须先完成上一次加仓",IF(AND(B603&gt;1,E603&lt;SUMIFS($E$2:$E$1001,$A$2:$A$1001,A603,$B$2:$B$1001,B603-1)),"违规：新止损价不得低于上一次",IF(AND(B603&gt;1,F603&gt;SUMIFS($F$2:$F$1001,$A$2:$A$1001,A603,$B$2:$B$1001,B603-1)),"违规：风险预算须逐次不增加",IF(OR(_LockStatus="已锁仓",_LockStatus="解锁信息不完整"),"违规：锁仓期间禁止加仓",IF(G603="","计划可执行：建议股数见N列",IF(OR(G603&lt;=0,G603&lt;&gt;INT(G603),MOD(G603,100)&lt;&gt;0),"违规：实际股数须为100股整数倍",IF(G603&gt;N603,"违规：实际股数超过风险或金字塔上限",IF(AND(B603&gt;1,G603&gt;SUMIFS($G$2:$G$1001,$A$2:$A$1001,A603,$B$2:$B$1001,B603-1)),"违规：加仓股数须逐次不增加",IF(Q603&gt;F603,"违规：止损风险超过本次预算","通过")))))))))))))))</f>
        <v/>
      </c>
    </row>
    <row r="604" ht="17" spans="1:18">
      <c r="A604" s="13"/>
      <c r="B604" s="14"/>
      <c r="C604" s="15"/>
      <c r="D604" s="16"/>
      <c r="E604" s="16"/>
      <c r="F604" s="16"/>
      <c r="G604" s="14"/>
      <c r="H604" s="17" t="str">
        <f t="shared" si="72"/>
        <v/>
      </c>
      <c r="I604" s="18" t="str">
        <f>IF(OR(A604="",B604=""),"",IFERROR(LOOKUP(2,1/(单次交易!$A$2:$A$201=A604),单次交易!$H$2:$H$201),0)+SUMIFS($G$2:$G$1001,$A$2:$A$1001,A604,$B$2:$B$1001,"&lt;"&amp;B604))</f>
        <v/>
      </c>
      <c r="J604" s="17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17" t="str">
        <f t="shared" si="73"/>
        <v/>
      </c>
      <c r="L604" s="18" t="str">
        <f t="shared" si="74"/>
        <v/>
      </c>
      <c r="M604" s="18" t="str">
        <f t="shared" si="75"/>
        <v/>
      </c>
      <c r="N604" s="18" t="str">
        <f t="shared" si="76"/>
        <v/>
      </c>
      <c r="O604" s="18" t="str">
        <f t="shared" si="77"/>
        <v/>
      </c>
      <c r="P604" s="17" t="str">
        <f t="shared" si="78"/>
        <v/>
      </c>
      <c r="Q604" s="17" t="str">
        <f t="shared" si="79"/>
        <v/>
      </c>
      <c r="R604" s="19" t="str">
        <f ca="1">IF(A604="","",IF(COUNTIF(_TradeIds,A604)=0,"违规：交易编号不存在",IF(OR(B604="",B604&lt;1,B604&gt;5,B604&lt;&gt;INT(B604)),"违规：加仓序号须为1到5的整数",IF(COUNTIFS($A$2:$A$1001,A604,$B$2:$B$1001,B604)&gt;1,"违规：同一交易的加仓序号重复",IF(OR(D604="",E604="",F604=""),"计划不完整：请填写加仓价、新止损价和风险预算",IF(OR(D604&lt;=0,E604&lt;=0,F604&lt;=0,D604&lt;=E604),"违规：加仓价必须高于新止损价，金额须大于0",IF(AND(B604&gt;1,COUNTIFS($A$2:$A$1001,A604,$B$2:$B$1001,B604-1,$G$2:$G$1001,"&gt;0")=0),"违规：须先完成上一次加仓",IF(AND(B604&gt;1,E604&lt;SUMIFS($E$2:$E$1001,$A$2:$A$1001,A604,$B$2:$B$1001,B604-1)),"违规：新止损价不得低于上一次",IF(AND(B604&gt;1,F604&gt;SUMIFS($F$2:$F$1001,$A$2:$A$1001,A604,$B$2:$B$1001,B604-1)),"违规：风险预算须逐次不增加",IF(OR(_LockStatus="已锁仓",_LockStatus="解锁信息不完整"),"违规：锁仓期间禁止加仓",IF(G604="","计划可执行：建议股数见N列",IF(OR(G604&lt;=0,G604&lt;&gt;INT(G604),MOD(G604,100)&lt;&gt;0),"违规：实际股数须为100股整数倍",IF(G604&gt;N604,"违规：实际股数超过风险或金字塔上限",IF(AND(B604&gt;1,G604&gt;SUMIFS($G$2:$G$1001,$A$2:$A$1001,A604,$B$2:$B$1001,B604-1)),"违规：加仓股数须逐次不增加",IF(Q604&gt;F604,"违规：止损风险超过本次预算","通过")))))))))))))))</f>
        <v/>
      </c>
    </row>
    <row r="605" ht="17" spans="1:18">
      <c r="A605" s="13"/>
      <c r="B605" s="14"/>
      <c r="C605" s="15"/>
      <c r="D605" s="16"/>
      <c r="E605" s="16"/>
      <c r="F605" s="16"/>
      <c r="G605" s="14"/>
      <c r="H605" s="17" t="str">
        <f t="shared" si="72"/>
        <v/>
      </c>
      <c r="I605" s="18" t="str">
        <f>IF(OR(A605="",B605=""),"",IFERROR(LOOKUP(2,1/(单次交易!$A$2:$A$201=A605),单次交易!$H$2:$H$201),0)+SUMIFS($G$2:$G$1001,$A$2:$A$1001,A605,$B$2:$B$1001,"&lt;"&amp;B605))</f>
        <v/>
      </c>
      <c r="J605" s="17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17" t="str">
        <f t="shared" si="73"/>
        <v/>
      </c>
      <c r="L605" s="18" t="str">
        <f t="shared" si="74"/>
        <v/>
      </c>
      <c r="M605" s="18" t="str">
        <f t="shared" si="75"/>
        <v/>
      </c>
      <c r="N605" s="18" t="str">
        <f t="shared" si="76"/>
        <v/>
      </c>
      <c r="O605" s="18" t="str">
        <f t="shared" si="77"/>
        <v/>
      </c>
      <c r="P605" s="17" t="str">
        <f t="shared" si="78"/>
        <v/>
      </c>
      <c r="Q605" s="17" t="str">
        <f t="shared" si="79"/>
        <v/>
      </c>
      <c r="R605" s="19" t="str">
        <f ca="1">IF(A605="","",IF(COUNTIF(_TradeIds,A605)=0,"违规：交易编号不存在",IF(OR(B605="",B605&lt;1,B605&gt;5,B605&lt;&gt;INT(B605)),"违规：加仓序号须为1到5的整数",IF(COUNTIFS($A$2:$A$1001,A605,$B$2:$B$1001,B605)&gt;1,"违规：同一交易的加仓序号重复",IF(OR(D605="",E605="",F605=""),"计划不完整：请填写加仓价、新止损价和风险预算",IF(OR(D605&lt;=0,E605&lt;=0,F605&lt;=0,D605&lt;=E605),"违规：加仓价必须高于新止损价，金额须大于0",IF(AND(B605&gt;1,COUNTIFS($A$2:$A$1001,A605,$B$2:$B$1001,B605-1,$G$2:$G$1001,"&gt;0")=0),"违规：须先完成上一次加仓",IF(AND(B605&gt;1,E605&lt;SUMIFS($E$2:$E$1001,$A$2:$A$1001,A605,$B$2:$B$1001,B605-1)),"违规：新止损价不得低于上一次",IF(AND(B605&gt;1,F605&gt;SUMIFS($F$2:$F$1001,$A$2:$A$1001,A605,$B$2:$B$1001,B605-1)),"违规：风险预算须逐次不增加",IF(OR(_LockStatus="已锁仓",_LockStatus="解锁信息不完整"),"违规：锁仓期间禁止加仓",IF(G605="","计划可执行：建议股数见N列",IF(OR(G605&lt;=0,G605&lt;&gt;INT(G605),MOD(G605,100)&lt;&gt;0),"违规：实际股数须为100股整数倍",IF(G605&gt;N605,"违规：实际股数超过风险或金字塔上限",IF(AND(B605&gt;1,G605&gt;SUMIFS($G$2:$G$1001,$A$2:$A$1001,A605,$B$2:$B$1001,B605-1)),"违规：加仓股数须逐次不增加",IF(Q605&gt;F605,"违规：止损风险超过本次预算","通过")))))))))))))))</f>
        <v/>
      </c>
    </row>
    <row r="606" ht="17" spans="1:18">
      <c r="A606" s="13"/>
      <c r="B606" s="14"/>
      <c r="C606" s="15"/>
      <c r="D606" s="16"/>
      <c r="E606" s="16"/>
      <c r="F606" s="16"/>
      <c r="G606" s="14"/>
      <c r="H606" s="17" t="str">
        <f t="shared" si="72"/>
        <v/>
      </c>
      <c r="I606" s="18" t="str">
        <f>IF(OR(A606="",B606=""),"",IFERROR(LOOKUP(2,1/(单次交易!$A$2:$A$201=A606),单次交易!$H$2:$H$201),0)+SUMIFS($G$2:$G$1001,$A$2:$A$1001,A606,$B$2:$B$1001,"&lt;"&amp;B606))</f>
        <v/>
      </c>
      <c r="J606" s="17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17" t="str">
        <f t="shared" si="73"/>
        <v/>
      </c>
      <c r="L606" s="18" t="str">
        <f t="shared" si="74"/>
        <v/>
      </c>
      <c r="M606" s="18" t="str">
        <f t="shared" si="75"/>
        <v/>
      </c>
      <c r="N606" s="18" t="str">
        <f t="shared" si="76"/>
        <v/>
      </c>
      <c r="O606" s="18" t="str">
        <f t="shared" si="77"/>
        <v/>
      </c>
      <c r="P606" s="17" t="str">
        <f t="shared" si="78"/>
        <v/>
      </c>
      <c r="Q606" s="17" t="str">
        <f t="shared" si="79"/>
        <v/>
      </c>
      <c r="R606" s="19" t="str">
        <f ca="1">IF(A606="","",IF(COUNTIF(_TradeIds,A606)=0,"违规：交易编号不存在",IF(OR(B606="",B606&lt;1,B606&gt;5,B606&lt;&gt;INT(B606)),"违规：加仓序号须为1到5的整数",IF(COUNTIFS($A$2:$A$1001,A606,$B$2:$B$1001,B606)&gt;1,"违规：同一交易的加仓序号重复",IF(OR(D606="",E606="",F606=""),"计划不完整：请填写加仓价、新止损价和风险预算",IF(OR(D606&lt;=0,E606&lt;=0,F606&lt;=0,D606&lt;=E606),"违规：加仓价必须高于新止损价，金额须大于0",IF(AND(B606&gt;1,COUNTIFS($A$2:$A$1001,A606,$B$2:$B$1001,B606-1,$G$2:$G$1001,"&gt;0")=0),"违规：须先完成上一次加仓",IF(AND(B606&gt;1,E606&lt;SUMIFS($E$2:$E$1001,$A$2:$A$1001,A606,$B$2:$B$1001,B606-1)),"违规：新止损价不得低于上一次",IF(AND(B606&gt;1,F606&gt;SUMIFS($F$2:$F$1001,$A$2:$A$1001,A606,$B$2:$B$1001,B606-1)),"违规：风险预算须逐次不增加",IF(OR(_LockStatus="已锁仓",_LockStatus="解锁信息不完整"),"违规：锁仓期间禁止加仓",IF(G606="","计划可执行：建议股数见N列",IF(OR(G606&lt;=0,G606&lt;&gt;INT(G606),MOD(G606,100)&lt;&gt;0),"违规：实际股数须为100股整数倍",IF(G606&gt;N606,"违规：实际股数超过风险或金字塔上限",IF(AND(B606&gt;1,G606&gt;SUMIFS($G$2:$G$1001,$A$2:$A$1001,A606,$B$2:$B$1001,B606-1)),"违规：加仓股数须逐次不增加",IF(Q606&gt;F606,"违规：止损风险超过本次预算","通过")))))))))))))))</f>
        <v/>
      </c>
    </row>
    <row r="607" ht="17" spans="1:18">
      <c r="A607" s="13"/>
      <c r="B607" s="14"/>
      <c r="C607" s="15"/>
      <c r="D607" s="16"/>
      <c r="E607" s="16"/>
      <c r="F607" s="16"/>
      <c r="G607" s="14"/>
      <c r="H607" s="17" t="str">
        <f t="shared" si="72"/>
        <v/>
      </c>
      <c r="I607" s="18" t="str">
        <f>IF(OR(A607="",B607=""),"",IFERROR(LOOKUP(2,1/(单次交易!$A$2:$A$201=A607),单次交易!$H$2:$H$201),0)+SUMIFS($G$2:$G$1001,$A$2:$A$1001,A607,$B$2:$B$1001,"&lt;"&amp;B607))</f>
        <v/>
      </c>
      <c r="J607" s="17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17" t="str">
        <f t="shared" si="73"/>
        <v/>
      </c>
      <c r="L607" s="18" t="str">
        <f t="shared" si="74"/>
        <v/>
      </c>
      <c r="M607" s="18" t="str">
        <f t="shared" si="75"/>
        <v/>
      </c>
      <c r="N607" s="18" t="str">
        <f t="shared" si="76"/>
        <v/>
      </c>
      <c r="O607" s="18" t="str">
        <f t="shared" si="77"/>
        <v/>
      </c>
      <c r="P607" s="17" t="str">
        <f t="shared" si="78"/>
        <v/>
      </c>
      <c r="Q607" s="17" t="str">
        <f t="shared" si="79"/>
        <v/>
      </c>
      <c r="R607" s="19" t="str">
        <f ca="1">IF(A607="","",IF(COUNTIF(_TradeIds,A607)=0,"违规：交易编号不存在",IF(OR(B607="",B607&lt;1,B607&gt;5,B607&lt;&gt;INT(B607)),"违规：加仓序号须为1到5的整数",IF(COUNTIFS($A$2:$A$1001,A607,$B$2:$B$1001,B607)&gt;1,"违规：同一交易的加仓序号重复",IF(OR(D607="",E607="",F607=""),"计划不完整：请填写加仓价、新止损价和风险预算",IF(OR(D607&lt;=0,E607&lt;=0,F607&lt;=0,D607&lt;=E607),"违规：加仓价必须高于新止损价，金额须大于0",IF(AND(B607&gt;1,COUNTIFS($A$2:$A$1001,A607,$B$2:$B$1001,B607-1,$G$2:$G$1001,"&gt;0")=0),"违规：须先完成上一次加仓",IF(AND(B607&gt;1,E607&lt;SUMIFS($E$2:$E$1001,$A$2:$A$1001,A607,$B$2:$B$1001,B607-1)),"违规：新止损价不得低于上一次",IF(AND(B607&gt;1,F607&gt;SUMIFS($F$2:$F$1001,$A$2:$A$1001,A607,$B$2:$B$1001,B607-1)),"违规：风险预算须逐次不增加",IF(OR(_LockStatus="已锁仓",_LockStatus="解锁信息不完整"),"违规：锁仓期间禁止加仓",IF(G607="","计划可执行：建议股数见N列",IF(OR(G607&lt;=0,G607&lt;&gt;INT(G607),MOD(G607,100)&lt;&gt;0),"违规：实际股数须为100股整数倍",IF(G607&gt;N607,"违规：实际股数超过风险或金字塔上限",IF(AND(B607&gt;1,G607&gt;SUMIFS($G$2:$G$1001,$A$2:$A$1001,A607,$B$2:$B$1001,B607-1)),"违规：加仓股数须逐次不增加",IF(Q607&gt;F607,"违规：止损风险超过本次预算","通过")))))))))))))))</f>
        <v/>
      </c>
    </row>
    <row r="608" ht="17" spans="1:18">
      <c r="A608" s="13"/>
      <c r="B608" s="14"/>
      <c r="C608" s="15"/>
      <c r="D608" s="16"/>
      <c r="E608" s="16"/>
      <c r="F608" s="16"/>
      <c r="G608" s="14"/>
      <c r="H608" s="17" t="str">
        <f t="shared" si="72"/>
        <v/>
      </c>
      <c r="I608" s="18" t="str">
        <f>IF(OR(A608="",B608=""),"",IFERROR(LOOKUP(2,1/(单次交易!$A$2:$A$201=A608),单次交易!$H$2:$H$201),0)+SUMIFS($G$2:$G$1001,$A$2:$A$1001,A608,$B$2:$B$1001,"&lt;"&amp;B608))</f>
        <v/>
      </c>
      <c r="J608" s="17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17" t="str">
        <f t="shared" si="73"/>
        <v/>
      </c>
      <c r="L608" s="18" t="str">
        <f t="shared" si="74"/>
        <v/>
      </c>
      <c r="M608" s="18" t="str">
        <f t="shared" si="75"/>
        <v/>
      </c>
      <c r="N608" s="18" t="str">
        <f t="shared" si="76"/>
        <v/>
      </c>
      <c r="O608" s="18" t="str">
        <f t="shared" si="77"/>
        <v/>
      </c>
      <c r="P608" s="17" t="str">
        <f t="shared" si="78"/>
        <v/>
      </c>
      <c r="Q608" s="17" t="str">
        <f t="shared" si="79"/>
        <v/>
      </c>
      <c r="R608" s="19" t="str">
        <f ca="1">IF(A608="","",IF(COUNTIF(_TradeIds,A608)=0,"违规：交易编号不存在",IF(OR(B608="",B608&lt;1,B608&gt;5,B608&lt;&gt;INT(B608)),"违规：加仓序号须为1到5的整数",IF(COUNTIFS($A$2:$A$1001,A608,$B$2:$B$1001,B608)&gt;1,"违规：同一交易的加仓序号重复",IF(OR(D608="",E608="",F608=""),"计划不完整：请填写加仓价、新止损价和风险预算",IF(OR(D608&lt;=0,E608&lt;=0,F608&lt;=0,D608&lt;=E608),"违规：加仓价必须高于新止损价，金额须大于0",IF(AND(B608&gt;1,COUNTIFS($A$2:$A$1001,A608,$B$2:$B$1001,B608-1,$G$2:$G$1001,"&gt;0")=0),"违规：须先完成上一次加仓",IF(AND(B608&gt;1,E608&lt;SUMIFS($E$2:$E$1001,$A$2:$A$1001,A608,$B$2:$B$1001,B608-1)),"违规：新止损价不得低于上一次",IF(AND(B608&gt;1,F608&gt;SUMIFS($F$2:$F$1001,$A$2:$A$1001,A608,$B$2:$B$1001,B608-1)),"违规：风险预算须逐次不增加",IF(OR(_LockStatus="已锁仓",_LockStatus="解锁信息不完整"),"违规：锁仓期间禁止加仓",IF(G608="","计划可执行：建议股数见N列",IF(OR(G608&lt;=0,G608&lt;&gt;INT(G608),MOD(G608,100)&lt;&gt;0),"违规：实际股数须为100股整数倍",IF(G608&gt;N608,"违规：实际股数超过风险或金字塔上限",IF(AND(B608&gt;1,G608&gt;SUMIFS($G$2:$G$1001,$A$2:$A$1001,A608,$B$2:$B$1001,B608-1)),"违规：加仓股数须逐次不增加",IF(Q608&gt;F608,"违规：止损风险超过本次预算","通过")))))))))))))))</f>
        <v/>
      </c>
    </row>
    <row r="609" ht="17" spans="1:18">
      <c r="A609" s="13"/>
      <c r="B609" s="14"/>
      <c r="C609" s="15"/>
      <c r="D609" s="16"/>
      <c r="E609" s="16"/>
      <c r="F609" s="16"/>
      <c r="G609" s="14"/>
      <c r="H609" s="17" t="str">
        <f t="shared" si="72"/>
        <v/>
      </c>
      <c r="I609" s="18" t="str">
        <f>IF(OR(A609="",B609=""),"",IFERROR(LOOKUP(2,1/(单次交易!$A$2:$A$201=A609),单次交易!$H$2:$H$201),0)+SUMIFS($G$2:$G$1001,$A$2:$A$1001,A609,$B$2:$B$1001,"&lt;"&amp;B609))</f>
        <v/>
      </c>
      <c r="J609" s="17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17" t="str">
        <f t="shared" si="73"/>
        <v/>
      </c>
      <c r="L609" s="18" t="str">
        <f t="shared" si="74"/>
        <v/>
      </c>
      <c r="M609" s="18" t="str">
        <f t="shared" si="75"/>
        <v/>
      </c>
      <c r="N609" s="18" t="str">
        <f t="shared" si="76"/>
        <v/>
      </c>
      <c r="O609" s="18" t="str">
        <f t="shared" si="77"/>
        <v/>
      </c>
      <c r="P609" s="17" t="str">
        <f t="shared" si="78"/>
        <v/>
      </c>
      <c r="Q609" s="17" t="str">
        <f t="shared" si="79"/>
        <v/>
      </c>
      <c r="R609" s="19" t="str">
        <f ca="1">IF(A609="","",IF(COUNTIF(_TradeIds,A609)=0,"违规：交易编号不存在",IF(OR(B609="",B609&lt;1,B609&gt;5,B609&lt;&gt;INT(B609)),"违规：加仓序号须为1到5的整数",IF(COUNTIFS($A$2:$A$1001,A609,$B$2:$B$1001,B609)&gt;1,"违规：同一交易的加仓序号重复",IF(OR(D609="",E609="",F609=""),"计划不完整：请填写加仓价、新止损价和风险预算",IF(OR(D609&lt;=0,E609&lt;=0,F609&lt;=0,D609&lt;=E609),"违规：加仓价必须高于新止损价，金额须大于0",IF(AND(B609&gt;1,COUNTIFS($A$2:$A$1001,A609,$B$2:$B$1001,B609-1,$G$2:$G$1001,"&gt;0")=0),"违规：须先完成上一次加仓",IF(AND(B609&gt;1,E609&lt;SUMIFS($E$2:$E$1001,$A$2:$A$1001,A609,$B$2:$B$1001,B609-1)),"违规：新止损价不得低于上一次",IF(AND(B609&gt;1,F609&gt;SUMIFS($F$2:$F$1001,$A$2:$A$1001,A609,$B$2:$B$1001,B609-1)),"违规：风险预算须逐次不增加",IF(OR(_LockStatus="已锁仓",_LockStatus="解锁信息不完整"),"违规：锁仓期间禁止加仓",IF(G609="","计划可执行：建议股数见N列",IF(OR(G609&lt;=0,G609&lt;&gt;INT(G609),MOD(G609,100)&lt;&gt;0),"违规：实际股数须为100股整数倍",IF(G609&gt;N609,"违规：实际股数超过风险或金字塔上限",IF(AND(B609&gt;1,G609&gt;SUMIFS($G$2:$G$1001,$A$2:$A$1001,A609,$B$2:$B$1001,B609-1)),"违规：加仓股数须逐次不增加",IF(Q609&gt;F609,"违规：止损风险超过本次预算","通过")))))))))))))))</f>
        <v/>
      </c>
    </row>
    <row r="610" ht="17" spans="1:18">
      <c r="A610" s="13"/>
      <c r="B610" s="14"/>
      <c r="C610" s="15"/>
      <c r="D610" s="16"/>
      <c r="E610" s="16"/>
      <c r="F610" s="16"/>
      <c r="G610" s="14"/>
      <c r="H610" s="17" t="str">
        <f t="shared" si="72"/>
        <v/>
      </c>
      <c r="I610" s="18" t="str">
        <f>IF(OR(A610="",B610=""),"",IFERROR(LOOKUP(2,1/(单次交易!$A$2:$A$201=A610),单次交易!$H$2:$H$201),0)+SUMIFS($G$2:$G$1001,$A$2:$A$1001,A610,$B$2:$B$1001,"&lt;"&amp;B610))</f>
        <v/>
      </c>
      <c r="J610" s="17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17" t="str">
        <f t="shared" si="73"/>
        <v/>
      </c>
      <c r="L610" s="18" t="str">
        <f t="shared" si="74"/>
        <v/>
      </c>
      <c r="M610" s="18" t="str">
        <f t="shared" si="75"/>
        <v/>
      </c>
      <c r="N610" s="18" t="str">
        <f t="shared" si="76"/>
        <v/>
      </c>
      <c r="O610" s="18" t="str">
        <f t="shared" si="77"/>
        <v/>
      </c>
      <c r="P610" s="17" t="str">
        <f t="shared" si="78"/>
        <v/>
      </c>
      <c r="Q610" s="17" t="str">
        <f t="shared" si="79"/>
        <v/>
      </c>
      <c r="R610" s="19" t="str">
        <f ca="1">IF(A610="","",IF(COUNTIF(_TradeIds,A610)=0,"违规：交易编号不存在",IF(OR(B610="",B610&lt;1,B610&gt;5,B610&lt;&gt;INT(B610)),"违规：加仓序号须为1到5的整数",IF(COUNTIFS($A$2:$A$1001,A610,$B$2:$B$1001,B610)&gt;1,"违规：同一交易的加仓序号重复",IF(OR(D610="",E610="",F610=""),"计划不完整：请填写加仓价、新止损价和风险预算",IF(OR(D610&lt;=0,E610&lt;=0,F610&lt;=0,D610&lt;=E610),"违规：加仓价必须高于新止损价，金额须大于0",IF(AND(B610&gt;1,COUNTIFS($A$2:$A$1001,A610,$B$2:$B$1001,B610-1,$G$2:$G$1001,"&gt;0")=0),"违规：须先完成上一次加仓",IF(AND(B610&gt;1,E610&lt;SUMIFS($E$2:$E$1001,$A$2:$A$1001,A610,$B$2:$B$1001,B610-1)),"违规：新止损价不得低于上一次",IF(AND(B610&gt;1,F610&gt;SUMIFS($F$2:$F$1001,$A$2:$A$1001,A610,$B$2:$B$1001,B610-1)),"违规：风险预算须逐次不增加",IF(OR(_LockStatus="已锁仓",_LockStatus="解锁信息不完整"),"违规：锁仓期间禁止加仓",IF(G610="","计划可执行：建议股数见N列",IF(OR(G610&lt;=0,G610&lt;&gt;INT(G610),MOD(G610,100)&lt;&gt;0),"违规：实际股数须为100股整数倍",IF(G610&gt;N610,"违规：实际股数超过风险或金字塔上限",IF(AND(B610&gt;1,G610&gt;SUMIFS($G$2:$G$1001,$A$2:$A$1001,A610,$B$2:$B$1001,B610-1)),"违规：加仓股数须逐次不增加",IF(Q610&gt;F610,"违规：止损风险超过本次预算","通过")))))))))))))))</f>
        <v/>
      </c>
    </row>
    <row r="611" ht="17" spans="1:18">
      <c r="A611" s="13"/>
      <c r="B611" s="14"/>
      <c r="C611" s="15"/>
      <c r="D611" s="16"/>
      <c r="E611" s="16"/>
      <c r="F611" s="16"/>
      <c r="G611" s="14"/>
      <c r="H611" s="17" t="str">
        <f t="shared" si="72"/>
        <v/>
      </c>
      <c r="I611" s="18" t="str">
        <f>IF(OR(A611="",B611=""),"",IFERROR(LOOKUP(2,1/(单次交易!$A$2:$A$201=A611),单次交易!$H$2:$H$201),0)+SUMIFS($G$2:$G$1001,$A$2:$A$1001,A611,$B$2:$B$1001,"&lt;"&amp;B611))</f>
        <v/>
      </c>
      <c r="J611" s="17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17" t="str">
        <f t="shared" si="73"/>
        <v/>
      </c>
      <c r="L611" s="18" t="str">
        <f t="shared" si="74"/>
        <v/>
      </c>
      <c r="M611" s="18" t="str">
        <f t="shared" si="75"/>
        <v/>
      </c>
      <c r="N611" s="18" t="str">
        <f t="shared" si="76"/>
        <v/>
      </c>
      <c r="O611" s="18" t="str">
        <f t="shared" si="77"/>
        <v/>
      </c>
      <c r="P611" s="17" t="str">
        <f t="shared" si="78"/>
        <v/>
      </c>
      <c r="Q611" s="17" t="str">
        <f t="shared" si="79"/>
        <v/>
      </c>
      <c r="R611" s="19" t="str">
        <f ca="1">IF(A611="","",IF(COUNTIF(_TradeIds,A611)=0,"违规：交易编号不存在",IF(OR(B611="",B611&lt;1,B611&gt;5,B611&lt;&gt;INT(B611)),"违规：加仓序号须为1到5的整数",IF(COUNTIFS($A$2:$A$1001,A611,$B$2:$B$1001,B611)&gt;1,"违规：同一交易的加仓序号重复",IF(OR(D611="",E611="",F611=""),"计划不完整：请填写加仓价、新止损价和风险预算",IF(OR(D611&lt;=0,E611&lt;=0,F611&lt;=0,D611&lt;=E611),"违规：加仓价必须高于新止损价，金额须大于0",IF(AND(B611&gt;1,COUNTIFS($A$2:$A$1001,A611,$B$2:$B$1001,B611-1,$G$2:$G$1001,"&gt;0")=0),"违规：须先完成上一次加仓",IF(AND(B611&gt;1,E611&lt;SUMIFS($E$2:$E$1001,$A$2:$A$1001,A611,$B$2:$B$1001,B611-1)),"违规：新止损价不得低于上一次",IF(AND(B611&gt;1,F611&gt;SUMIFS($F$2:$F$1001,$A$2:$A$1001,A611,$B$2:$B$1001,B611-1)),"违规：风险预算须逐次不增加",IF(OR(_LockStatus="已锁仓",_LockStatus="解锁信息不完整"),"违规：锁仓期间禁止加仓",IF(G611="","计划可执行：建议股数见N列",IF(OR(G611&lt;=0,G611&lt;&gt;INT(G611),MOD(G611,100)&lt;&gt;0),"违规：实际股数须为100股整数倍",IF(G611&gt;N611,"违规：实际股数超过风险或金字塔上限",IF(AND(B611&gt;1,G611&gt;SUMIFS($G$2:$G$1001,$A$2:$A$1001,A611,$B$2:$B$1001,B611-1)),"违规：加仓股数须逐次不增加",IF(Q611&gt;F611,"违规：止损风险超过本次预算","通过")))))))))))))))</f>
        <v/>
      </c>
    </row>
    <row r="612" ht="17" spans="1:18">
      <c r="A612" s="13"/>
      <c r="B612" s="14"/>
      <c r="C612" s="15"/>
      <c r="D612" s="16"/>
      <c r="E612" s="16"/>
      <c r="F612" s="16"/>
      <c r="G612" s="14"/>
      <c r="H612" s="17" t="str">
        <f t="shared" si="72"/>
        <v/>
      </c>
      <c r="I612" s="18" t="str">
        <f>IF(OR(A612="",B612=""),"",IFERROR(LOOKUP(2,1/(单次交易!$A$2:$A$201=A612),单次交易!$H$2:$H$201),0)+SUMIFS($G$2:$G$1001,$A$2:$A$1001,A612,$B$2:$B$1001,"&lt;"&amp;B612))</f>
        <v/>
      </c>
      <c r="J612" s="17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17" t="str">
        <f t="shared" si="73"/>
        <v/>
      </c>
      <c r="L612" s="18" t="str">
        <f t="shared" si="74"/>
        <v/>
      </c>
      <c r="M612" s="18" t="str">
        <f t="shared" si="75"/>
        <v/>
      </c>
      <c r="N612" s="18" t="str">
        <f t="shared" si="76"/>
        <v/>
      </c>
      <c r="O612" s="18" t="str">
        <f t="shared" si="77"/>
        <v/>
      </c>
      <c r="P612" s="17" t="str">
        <f t="shared" si="78"/>
        <v/>
      </c>
      <c r="Q612" s="17" t="str">
        <f t="shared" si="79"/>
        <v/>
      </c>
      <c r="R612" s="19" t="str">
        <f ca="1">IF(A612="","",IF(COUNTIF(_TradeIds,A612)=0,"违规：交易编号不存在",IF(OR(B612="",B612&lt;1,B612&gt;5,B612&lt;&gt;INT(B612)),"违规：加仓序号须为1到5的整数",IF(COUNTIFS($A$2:$A$1001,A612,$B$2:$B$1001,B612)&gt;1,"违规：同一交易的加仓序号重复",IF(OR(D612="",E612="",F612=""),"计划不完整：请填写加仓价、新止损价和风险预算",IF(OR(D612&lt;=0,E612&lt;=0,F612&lt;=0,D612&lt;=E612),"违规：加仓价必须高于新止损价，金额须大于0",IF(AND(B612&gt;1,COUNTIFS($A$2:$A$1001,A612,$B$2:$B$1001,B612-1,$G$2:$G$1001,"&gt;0")=0),"违规：须先完成上一次加仓",IF(AND(B612&gt;1,E612&lt;SUMIFS($E$2:$E$1001,$A$2:$A$1001,A612,$B$2:$B$1001,B612-1)),"违规：新止损价不得低于上一次",IF(AND(B612&gt;1,F612&gt;SUMIFS($F$2:$F$1001,$A$2:$A$1001,A612,$B$2:$B$1001,B612-1)),"违规：风险预算须逐次不增加",IF(OR(_LockStatus="已锁仓",_LockStatus="解锁信息不完整"),"违规：锁仓期间禁止加仓",IF(G612="","计划可执行：建议股数见N列",IF(OR(G612&lt;=0,G612&lt;&gt;INT(G612),MOD(G612,100)&lt;&gt;0),"违规：实际股数须为100股整数倍",IF(G612&gt;N612,"违规：实际股数超过风险或金字塔上限",IF(AND(B612&gt;1,G612&gt;SUMIFS($G$2:$G$1001,$A$2:$A$1001,A612,$B$2:$B$1001,B612-1)),"违规：加仓股数须逐次不增加",IF(Q612&gt;F612,"违规：止损风险超过本次预算","通过")))))))))))))))</f>
        <v/>
      </c>
    </row>
    <row r="613" ht="17" spans="1:18">
      <c r="A613" s="13"/>
      <c r="B613" s="14"/>
      <c r="C613" s="15"/>
      <c r="D613" s="16"/>
      <c r="E613" s="16"/>
      <c r="F613" s="16"/>
      <c r="G613" s="14"/>
      <c r="H613" s="17" t="str">
        <f t="shared" si="72"/>
        <v/>
      </c>
      <c r="I613" s="18" t="str">
        <f>IF(OR(A613="",B613=""),"",IFERROR(LOOKUP(2,1/(单次交易!$A$2:$A$201=A613),单次交易!$H$2:$H$201),0)+SUMIFS($G$2:$G$1001,$A$2:$A$1001,A613,$B$2:$B$1001,"&lt;"&amp;B613))</f>
        <v/>
      </c>
      <c r="J613" s="17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17" t="str">
        <f t="shared" si="73"/>
        <v/>
      </c>
      <c r="L613" s="18" t="str">
        <f t="shared" si="74"/>
        <v/>
      </c>
      <c r="M613" s="18" t="str">
        <f t="shared" si="75"/>
        <v/>
      </c>
      <c r="N613" s="18" t="str">
        <f t="shared" si="76"/>
        <v/>
      </c>
      <c r="O613" s="18" t="str">
        <f t="shared" si="77"/>
        <v/>
      </c>
      <c r="P613" s="17" t="str">
        <f t="shared" si="78"/>
        <v/>
      </c>
      <c r="Q613" s="17" t="str">
        <f t="shared" si="79"/>
        <v/>
      </c>
      <c r="R613" s="19" t="str">
        <f ca="1">IF(A613="","",IF(COUNTIF(_TradeIds,A613)=0,"违规：交易编号不存在",IF(OR(B613="",B613&lt;1,B613&gt;5,B613&lt;&gt;INT(B613)),"违规：加仓序号须为1到5的整数",IF(COUNTIFS($A$2:$A$1001,A613,$B$2:$B$1001,B613)&gt;1,"违规：同一交易的加仓序号重复",IF(OR(D613="",E613="",F613=""),"计划不完整：请填写加仓价、新止损价和风险预算",IF(OR(D613&lt;=0,E613&lt;=0,F613&lt;=0,D613&lt;=E613),"违规：加仓价必须高于新止损价，金额须大于0",IF(AND(B613&gt;1,COUNTIFS($A$2:$A$1001,A613,$B$2:$B$1001,B613-1,$G$2:$G$1001,"&gt;0")=0),"违规：须先完成上一次加仓",IF(AND(B613&gt;1,E613&lt;SUMIFS($E$2:$E$1001,$A$2:$A$1001,A613,$B$2:$B$1001,B613-1)),"违规：新止损价不得低于上一次",IF(AND(B613&gt;1,F613&gt;SUMIFS($F$2:$F$1001,$A$2:$A$1001,A613,$B$2:$B$1001,B613-1)),"违规：风险预算须逐次不增加",IF(OR(_LockStatus="已锁仓",_LockStatus="解锁信息不完整"),"违规：锁仓期间禁止加仓",IF(G613="","计划可执行：建议股数见N列",IF(OR(G613&lt;=0,G613&lt;&gt;INT(G613),MOD(G613,100)&lt;&gt;0),"违规：实际股数须为100股整数倍",IF(G613&gt;N613,"违规：实际股数超过风险或金字塔上限",IF(AND(B613&gt;1,G613&gt;SUMIFS($G$2:$G$1001,$A$2:$A$1001,A613,$B$2:$B$1001,B613-1)),"违规：加仓股数须逐次不增加",IF(Q613&gt;F613,"违规：止损风险超过本次预算","通过")))))))))))))))</f>
        <v/>
      </c>
    </row>
    <row r="614" ht="17" spans="1:18">
      <c r="A614" s="13"/>
      <c r="B614" s="14"/>
      <c r="C614" s="15"/>
      <c r="D614" s="16"/>
      <c r="E614" s="16"/>
      <c r="F614" s="16"/>
      <c r="G614" s="14"/>
      <c r="H614" s="17" t="str">
        <f t="shared" si="72"/>
        <v/>
      </c>
      <c r="I614" s="18" t="str">
        <f>IF(OR(A614="",B614=""),"",IFERROR(LOOKUP(2,1/(单次交易!$A$2:$A$201=A614),单次交易!$H$2:$H$201),0)+SUMIFS($G$2:$G$1001,$A$2:$A$1001,A614,$B$2:$B$1001,"&lt;"&amp;B614))</f>
        <v/>
      </c>
      <c r="J614" s="17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17" t="str">
        <f t="shared" si="73"/>
        <v/>
      </c>
      <c r="L614" s="18" t="str">
        <f t="shared" si="74"/>
        <v/>
      </c>
      <c r="M614" s="18" t="str">
        <f t="shared" si="75"/>
        <v/>
      </c>
      <c r="N614" s="18" t="str">
        <f t="shared" si="76"/>
        <v/>
      </c>
      <c r="O614" s="18" t="str">
        <f t="shared" si="77"/>
        <v/>
      </c>
      <c r="P614" s="17" t="str">
        <f t="shared" si="78"/>
        <v/>
      </c>
      <c r="Q614" s="17" t="str">
        <f t="shared" si="79"/>
        <v/>
      </c>
      <c r="R614" s="19" t="str">
        <f ca="1">IF(A614="","",IF(COUNTIF(_TradeIds,A614)=0,"违规：交易编号不存在",IF(OR(B614="",B614&lt;1,B614&gt;5,B614&lt;&gt;INT(B614)),"违规：加仓序号须为1到5的整数",IF(COUNTIFS($A$2:$A$1001,A614,$B$2:$B$1001,B614)&gt;1,"违规：同一交易的加仓序号重复",IF(OR(D614="",E614="",F614=""),"计划不完整：请填写加仓价、新止损价和风险预算",IF(OR(D614&lt;=0,E614&lt;=0,F614&lt;=0,D614&lt;=E614),"违规：加仓价必须高于新止损价，金额须大于0",IF(AND(B614&gt;1,COUNTIFS($A$2:$A$1001,A614,$B$2:$B$1001,B614-1,$G$2:$G$1001,"&gt;0")=0),"违规：须先完成上一次加仓",IF(AND(B614&gt;1,E614&lt;SUMIFS($E$2:$E$1001,$A$2:$A$1001,A614,$B$2:$B$1001,B614-1)),"违规：新止损价不得低于上一次",IF(AND(B614&gt;1,F614&gt;SUMIFS($F$2:$F$1001,$A$2:$A$1001,A614,$B$2:$B$1001,B614-1)),"违规：风险预算须逐次不增加",IF(OR(_LockStatus="已锁仓",_LockStatus="解锁信息不完整"),"违规：锁仓期间禁止加仓",IF(G614="","计划可执行：建议股数见N列",IF(OR(G614&lt;=0,G614&lt;&gt;INT(G614),MOD(G614,100)&lt;&gt;0),"违规：实际股数须为100股整数倍",IF(G614&gt;N614,"违规：实际股数超过风险或金字塔上限",IF(AND(B614&gt;1,G614&gt;SUMIFS($G$2:$G$1001,$A$2:$A$1001,A614,$B$2:$B$1001,B614-1)),"违规：加仓股数须逐次不增加",IF(Q614&gt;F614,"违规：止损风险超过本次预算","通过")))))))))))))))</f>
        <v/>
      </c>
    </row>
    <row r="615" ht="17" spans="1:18">
      <c r="A615" s="13"/>
      <c r="B615" s="14"/>
      <c r="C615" s="15"/>
      <c r="D615" s="16"/>
      <c r="E615" s="16"/>
      <c r="F615" s="16"/>
      <c r="G615" s="14"/>
      <c r="H615" s="17" t="str">
        <f t="shared" si="72"/>
        <v/>
      </c>
      <c r="I615" s="18" t="str">
        <f>IF(OR(A615="",B615=""),"",IFERROR(LOOKUP(2,1/(单次交易!$A$2:$A$201=A615),单次交易!$H$2:$H$201),0)+SUMIFS($G$2:$G$1001,$A$2:$A$1001,A615,$B$2:$B$1001,"&lt;"&amp;B615))</f>
        <v/>
      </c>
      <c r="J615" s="17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17" t="str">
        <f t="shared" si="73"/>
        <v/>
      </c>
      <c r="L615" s="18" t="str">
        <f t="shared" si="74"/>
        <v/>
      </c>
      <c r="M615" s="18" t="str">
        <f t="shared" si="75"/>
        <v/>
      </c>
      <c r="N615" s="18" t="str">
        <f t="shared" si="76"/>
        <v/>
      </c>
      <c r="O615" s="18" t="str">
        <f t="shared" si="77"/>
        <v/>
      </c>
      <c r="P615" s="17" t="str">
        <f t="shared" si="78"/>
        <v/>
      </c>
      <c r="Q615" s="17" t="str">
        <f t="shared" si="79"/>
        <v/>
      </c>
      <c r="R615" s="19" t="str">
        <f ca="1">IF(A615="","",IF(COUNTIF(_TradeIds,A615)=0,"违规：交易编号不存在",IF(OR(B615="",B615&lt;1,B615&gt;5,B615&lt;&gt;INT(B615)),"违规：加仓序号须为1到5的整数",IF(COUNTIFS($A$2:$A$1001,A615,$B$2:$B$1001,B615)&gt;1,"违规：同一交易的加仓序号重复",IF(OR(D615="",E615="",F615=""),"计划不完整：请填写加仓价、新止损价和风险预算",IF(OR(D615&lt;=0,E615&lt;=0,F615&lt;=0,D615&lt;=E615),"违规：加仓价必须高于新止损价，金额须大于0",IF(AND(B615&gt;1,COUNTIFS($A$2:$A$1001,A615,$B$2:$B$1001,B615-1,$G$2:$G$1001,"&gt;0")=0),"违规：须先完成上一次加仓",IF(AND(B615&gt;1,E615&lt;SUMIFS($E$2:$E$1001,$A$2:$A$1001,A615,$B$2:$B$1001,B615-1)),"违规：新止损价不得低于上一次",IF(AND(B615&gt;1,F615&gt;SUMIFS($F$2:$F$1001,$A$2:$A$1001,A615,$B$2:$B$1001,B615-1)),"违规：风险预算须逐次不增加",IF(OR(_LockStatus="已锁仓",_LockStatus="解锁信息不完整"),"违规：锁仓期间禁止加仓",IF(G615="","计划可执行：建议股数见N列",IF(OR(G615&lt;=0,G615&lt;&gt;INT(G615),MOD(G615,100)&lt;&gt;0),"违规：实际股数须为100股整数倍",IF(G615&gt;N615,"违规：实际股数超过风险或金字塔上限",IF(AND(B615&gt;1,G615&gt;SUMIFS($G$2:$G$1001,$A$2:$A$1001,A615,$B$2:$B$1001,B615-1)),"违规：加仓股数须逐次不增加",IF(Q615&gt;F615,"违规：止损风险超过本次预算","通过")))))))))))))))</f>
        <v/>
      </c>
    </row>
    <row r="616" ht="17" spans="1:18">
      <c r="A616" s="13"/>
      <c r="B616" s="14"/>
      <c r="C616" s="15"/>
      <c r="D616" s="16"/>
      <c r="E616" s="16"/>
      <c r="F616" s="16"/>
      <c r="G616" s="14"/>
      <c r="H616" s="17" t="str">
        <f t="shared" si="72"/>
        <v/>
      </c>
      <c r="I616" s="18" t="str">
        <f>IF(OR(A616="",B616=""),"",IFERROR(LOOKUP(2,1/(单次交易!$A$2:$A$201=A616),单次交易!$H$2:$H$201),0)+SUMIFS($G$2:$G$1001,$A$2:$A$1001,A616,$B$2:$B$1001,"&lt;"&amp;B616))</f>
        <v/>
      </c>
      <c r="J616" s="17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17" t="str">
        <f t="shared" si="73"/>
        <v/>
      </c>
      <c r="L616" s="18" t="str">
        <f t="shared" si="74"/>
        <v/>
      </c>
      <c r="M616" s="18" t="str">
        <f t="shared" si="75"/>
        <v/>
      </c>
      <c r="N616" s="18" t="str">
        <f t="shared" si="76"/>
        <v/>
      </c>
      <c r="O616" s="18" t="str">
        <f t="shared" si="77"/>
        <v/>
      </c>
      <c r="P616" s="17" t="str">
        <f t="shared" si="78"/>
        <v/>
      </c>
      <c r="Q616" s="17" t="str">
        <f t="shared" si="79"/>
        <v/>
      </c>
      <c r="R616" s="19" t="str">
        <f ca="1">IF(A616="","",IF(COUNTIF(_TradeIds,A616)=0,"违规：交易编号不存在",IF(OR(B616="",B616&lt;1,B616&gt;5,B616&lt;&gt;INT(B616)),"违规：加仓序号须为1到5的整数",IF(COUNTIFS($A$2:$A$1001,A616,$B$2:$B$1001,B616)&gt;1,"违规：同一交易的加仓序号重复",IF(OR(D616="",E616="",F616=""),"计划不完整：请填写加仓价、新止损价和风险预算",IF(OR(D616&lt;=0,E616&lt;=0,F616&lt;=0,D616&lt;=E616),"违规：加仓价必须高于新止损价，金额须大于0",IF(AND(B616&gt;1,COUNTIFS($A$2:$A$1001,A616,$B$2:$B$1001,B616-1,$G$2:$G$1001,"&gt;0")=0),"违规：须先完成上一次加仓",IF(AND(B616&gt;1,E616&lt;SUMIFS($E$2:$E$1001,$A$2:$A$1001,A616,$B$2:$B$1001,B616-1)),"违规：新止损价不得低于上一次",IF(AND(B616&gt;1,F616&gt;SUMIFS($F$2:$F$1001,$A$2:$A$1001,A616,$B$2:$B$1001,B616-1)),"违规：风险预算须逐次不增加",IF(OR(_LockStatus="已锁仓",_LockStatus="解锁信息不完整"),"违规：锁仓期间禁止加仓",IF(G616="","计划可执行：建议股数见N列",IF(OR(G616&lt;=0,G616&lt;&gt;INT(G616),MOD(G616,100)&lt;&gt;0),"违规：实际股数须为100股整数倍",IF(G616&gt;N616,"违规：实际股数超过风险或金字塔上限",IF(AND(B616&gt;1,G616&gt;SUMIFS($G$2:$G$1001,$A$2:$A$1001,A616,$B$2:$B$1001,B616-1)),"违规：加仓股数须逐次不增加",IF(Q616&gt;F616,"违规：止损风险超过本次预算","通过")))))))))))))))</f>
        <v/>
      </c>
    </row>
    <row r="617" ht="17" spans="1:18">
      <c r="A617" s="13"/>
      <c r="B617" s="14"/>
      <c r="C617" s="15"/>
      <c r="D617" s="16"/>
      <c r="E617" s="16"/>
      <c r="F617" s="16"/>
      <c r="G617" s="14"/>
      <c r="H617" s="17" t="str">
        <f t="shared" si="72"/>
        <v/>
      </c>
      <c r="I617" s="18" t="str">
        <f>IF(OR(A617="",B617=""),"",IFERROR(LOOKUP(2,1/(单次交易!$A$2:$A$201=A617),单次交易!$H$2:$H$201),0)+SUMIFS($G$2:$G$1001,$A$2:$A$1001,A617,$B$2:$B$1001,"&lt;"&amp;B617))</f>
        <v/>
      </c>
      <c r="J617" s="17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17" t="str">
        <f t="shared" si="73"/>
        <v/>
      </c>
      <c r="L617" s="18" t="str">
        <f t="shared" si="74"/>
        <v/>
      </c>
      <c r="M617" s="18" t="str">
        <f t="shared" si="75"/>
        <v/>
      </c>
      <c r="N617" s="18" t="str">
        <f t="shared" si="76"/>
        <v/>
      </c>
      <c r="O617" s="18" t="str">
        <f t="shared" si="77"/>
        <v/>
      </c>
      <c r="P617" s="17" t="str">
        <f t="shared" si="78"/>
        <v/>
      </c>
      <c r="Q617" s="17" t="str">
        <f t="shared" si="79"/>
        <v/>
      </c>
      <c r="R617" s="19" t="str">
        <f ca="1">IF(A617="","",IF(COUNTIF(_TradeIds,A617)=0,"违规：交易编号不存在",IF(OR(B617="",B617&lt;1,B617&gt;5,B617&lt;&gt;INT(B617)),"违规：加仓序号须为1到5的整数",IF(COUNTIFS($A$2:$A$1001,A617,$B$2:$B$1001,B617)&gt;1,"违规：同一交易的加仓序号重复",IF(OR(D617="",E617="",F617=""),"计划不完整：请填写加仓价、新止损价和风险预算",IF(OR(D617&lt;=0,E617&lt;=0,F617&lt;=0,D617&lt;=E617),"违规：加仓价必须高于新止损价，金额须大于0",IF(AND(B617&gt;1,COUNTIFS($A$2:$A$1001,A617,$B$2:$B$1001,B617-1,$G$2:$G$1001,"&gt;0")=0),"违规：须先完成上一次加仓",IF(AND(B617&gt;1,E617&lt;SUMIFS($E$2:$E$1001,$A$2:$A$1001,A617,$B$2:$B$1001,B617-1)),"违规：新止损价不得低于上一次",IF(AND(B617&gt;1,F617&gt;SUMIFS($F$2:$F$1001,$A$2:$A$1001,A617,$B$2:$B$1001,B617-1)),"违规：风险预算须逐次不增加",IF(OR(_LockStatus="已锁仓",_LockStatus="解锁信息不完整"),"违规：锁仓期间禁止加仓",IF(G617="","计划可执行：建议股数见N列",IF(OR(G617&lt;=0,G617&lt;&gt;INT(G617),MOD(G617,100)&lt;&gt;0),"违规：实际股数须为100股整数倍",IF(G617&gt;N617,"违规：实际股数超过风险或金字塔上限",IF(AND(B617&gt;1,G617&gt;SUMIFS($G$2:$G$1001,$A$2:$A$1001,A617,$B$2:$B$1001,B617-1)),"违规：加仓股数须逐次不增加",IF(Q617&gt;F617,"违规：止损风险超过本次预算","通过")))))))))))))))</f>
        <v/>
      </c>
    </row>
    <row r="618" ht="17" spans="1:18">
      <c r="A618" s="13"/>
      <c r="B618" s="14"/>
      <c r="C618" s="15"/>
      <c r="D618" s="16"/>
      <c r="E618" s="16"/>
      <c r="F618" s="16"/>
      <c r="G618" s="14"/>
      <c r="H618" s="17" t="str">
        <f t="shared" si="72"/>
        <v/>
      </c>
      <c r="I618" s="18" t="str">
        <f>IF(OR(A618="",B618=""),"",IFERROR(LOOKUP(2,1/(单次交易!$A$2:$A$201=A618),单次交易!$H$2:$H$201),0)+SUMIFS($G$2:$G$1001,$A$2:$A$1001,A618,$B$2:$B$1001,"&lt;"&amp;B618))</f>
        <v/>
      </c>
      <c r="J618" s="17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17" t="str">
        <f t="shared" si="73"/>
        <v/>
      </c>
      <c r="L618" s="18" t="str">
        <f t="shared" si="74"/>
        <v/>
      </c>
      <c r="M618" s="18" t="str">
        <f t="shared" si="75"/>
        <v/>
      </c>
      <c r="N618" s="18" t="str">
        <f t="shared" si="76"/>
        <v/>
      </c>
      <c r="O618" s="18" t="str">
        <f t="shared" si="77"/>
        <v/>
      </c>
      <c r="P618" s="17" t="str">
        <f t="shared" si="78"/>
        <v/>
      </c>
      <c r="Q618" s="17" t="str">
        <f t="shared" si="79"/>
        <v/>
      </c>
      <c r="R618" s="19" t="str">
        <f ca="1">IF(A618="","",IF(COUNTIF(_TradeIds,A618)=0,"违规：交易编号不存在",IF(OR(B618="",B618&lt;1,B618&gt;5,B618&lt;&gt;INT(B618)),"违规：加仓序号须为1到5的整数",IF(COUNTIFS($A$2:$A$1001,A618,$B$2:$B$1001,B618)&gt;1,"违规：同一交易的加仓序号重复",IF(OR(D618="",E618="",F618=""),"计划不完整：请填写加仓价、新止损价和风险预算",IF(OR(D618&lt;=0,E618&lt;=0,F618&lt;=0,D618&lt;=E618),"违规：加仓价必须高于新止损价，金额须大于0",IF(AND(B618&gt;1,COUNTIFS($A$2:$A$1001,A618,$B$2:$B$1001,B618-1,$G$2:$G$1001,"&gt;0")=0),"违规：须先完成上一次加仓",IF(AND(B618&gt;1,E618&lt;SUMIFS($E$2:$E$1001,$A$2:$A$1001,A618,$B$2:$B$1001,B618-1)),"违规：新止损价不得低于上一次",IF(AND(B618&gt;1,F618&gt;SUMIFS($F$2:$F$1001,$A$2:$A$1001,A618,$B$2:$B$1001,B618-1)),"违规：风险预算须逐次不增加",IF(OR(_LockStatus="已锁仓",_LockStatus="解锁信息不完整"),"违规：锁仓期间禁止加仓",IF(G618="","计划可执行：建议股数见N列",IF(OR(G618&lt;=0,G618&lt;&gt;INT(G618),MOD(G618,100)&lt;&gt;0),"违规：实际股数须为100股整数倍",IF(G618&gt;N618,"违规：实际股数超过风险或金字塔上限",IF(AND(B618&gt;1,G618&gt;SUMIFS($G$2:$G$1001,$A$2:$A$1001,A618,$B$2:$B$1001,B618-1)),"违规：加仓股数须逐次不增加",IF(Q618&gt;F618,"违规：止损风险超过本次预算","通过")))))))))))))))</f>
        <v/>
      </c>
    </row>
    <row r="619" ht="17" spans="1:18">
      <c r="A619" s="13"/>
      <c r="B619" s="14"/>
      <c r="C619" s="15"/>
      <c r="D619" s="16"/>
      <c r="E619" s="16"/>
      <c r="F619" s="16"/>
      <c r="G619" s="14"/>
      <c r="H619" s="17" t="str">
        <f t="shared" si="72"/>
        <v/>
      </c>
      <c r="I619" s="18" t="str">
        <f>IF(OR(A619="",B619=""),"",IFERROR(LOOKUP(2,1/(单次交易!$A$2:$A$201=A619),单次交易!$H$2:$H$201),0)+SUMIFS($G$2:$G$1001,$A$2:$A$1001,A619,$B$2:$B$1001,"&lt;"&amp;B619))</f>
        <v/>
      </c>
      <c r="J619" s="17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17" t="str">
        <f t="shared" si="73"/>
        <v/>
      </c>
      <c r="L619" s="18" t="str">
        <f t="shared" si="74"/>
        <v/>
      </c>
      <c r="M619" s="18" t="str">
        <f t="shared" si="75"/>
        <v/>
      </c>
      <c r="N619" s="18" t="str">
        <f t="shared" si="76"/>
        <v/>
      </c>
      <c r="O619" s="18" t="str">
        <f t="shared" si="77"/>
        <v/>
      </c>
      <c r="P619" s="17" t="str">
        <f t="shared" si="78"/>
        <v/>
      </c>
      <c r="Q619" s="17" t="str">
        <f t="shared" si="79"/>
        <v/>
      </c>
      <c r="R619" s="19" t="str">
        <f ca="1">IF(A619="","",IF(COUNTIF(_TradeIds,A619)=0,"违规：交易编号不存在",IF(OR(B619="",B619&lt;1,B619&gt;5,B619&lt;&gt;INT(B619)),"违规：加仓序号须为1到5的整数",IF(COUNTIFS($A$2:$A$1001,A619,$B$2:$B$1001,B619)&gt;1,"违规：同一交易的加仓序号重复",IF(OR(D619="",E619="",F619=""),"计划不完整：请填写加仓价、新止损价和风险预算",IF(OR(D619&lt;=0,E619&lt;=0,F619&lt;=0,D619&lt;=E619),"违规：加仓价必须高于新止损价，金额须大于0",IF(AND(B619&gt;1,COUNTIFS($A$2:$A$1001,A619,$B$2:$B$1001,B619-1,$G$2:$G$1001,"&gt;0")=0),"违规：须先完成上一次加仓",IF(AND(B619&gt;1,E619&lt;SUMIFS($E$2:$E$1001,$A$2:$A$1001,A619,$B$2:$B$1001,B619-1)),"违规：新止损价不得低于上一次",IF(AND(B619&gt;1,F619&gt;SUMIFS($F$2:$F$1001,$A$2:$A$1001,A619,$B$2:$B$1001,B619-1)),"违规：风险预算须逐次不增加",IF(OR(_LockStatus="已锁仓",_LockStatus="解锁信息不完整"),"违规：锁仓期间禁止加仓",IF(G619="","计划可执行：建议股数见N列",IF(OR(G619&lt;=0,G619&lt;&gt;INT(G619),MOD(G619,100)&lt;&gt;0),"违规：实际股数须为100股整数倍",IF(G619&gt;N619,"违规：实际股数超过风险或金字塔上限",IF(AND(B619&gt;1,G619&gt;SUMIFS($G$2:$G$1001,$A$2:$A$1001,A619,$B$2:$B$1001,B619-1)),"违规：加仓股数须逐次不增加",IF(Q619&gt;F619,"违规：止损风险超过本次预算","通过")))))))))))))))</f>
        <v/>
      </c>
    </row>
    <row r="620" ht="17" spans="1:18">
      <c r="A620" s="13"/>
      <c r="B620" s="14"/>
      <c r="C620" s="15"/>
      <c r="D620" s="16"/>
      <c r="E620" s="16"/>
      <c r="F620" s="16"/>
      <c r="G620" s="14"/>
      <c r="H620" s="17" t="str">
        <f t="shared" si="72"/>
        <v/>
      </c>
      <c r="I620" s="18" t="str">
        <f>IF(OR(A620="",B620=""),"",IFERROR(LOOKUP(2,1/(单次交易!$A$2:$A$201=A620),单次交易!$H$2:$H$201),0)+SUMIFS($G$2:$G$1001,$A$2:$A$1001,A620,$B$2:$B$1001,"&lt;"&amp;B620))</f>
        <v/>
      </c>
      <c r="J620" s="17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17" t="str">
        <f t="shared" si="73"/>
        <v/>
      </c>
      <c r="L620" s="18" t="str">
        <f t="shared" si="74"/>
        <v/>
      </c>
      <c r="M620" s="18" t="str">
        <f t="shared" si="75"/>
        <v/>
      </c>
      <c r="N620" s="18" t="str">
        <f t="shared" si="76"/>
        <v/>
      </c>
      <c r="O620" s="18" t="str">
        <f t="shared" si="77"/>
        <v/>
      </c>
      <c r="P620" s="17" t="str">
        <f t="shared" si="78"/>
        <v/>
      </c>
      <c r="Q620" s="17" t="str">
        <f t="shared" si="79"/>
        <v/>
      </c>
      <c r="R620" s="19" t="str">
        <f ca="1">IF(A620="","",IF(COUNTIF(_TradeIds,A620)=0,"违规：交易编号不存在",IF(OR(B620="",B620&lt;1,B620&gt;5,B620&lt;&gt;INT(B620)),"违规：加仓序号须为1到5的整数",IF(COUNTIFS($A$2:$A$1001,A620,$B$2:$B$1001,B620)&gt;1,"违规：同一交易的加仓序号重复",IF(OR(D620="",E620="",F620=""),"计划不完整：请填写加仓价、新止损价和风险预算",IF(OR(D620&lt;=0,E620&lt;=0,F620&lt;=0,D620&lt;=E620),"违规：加仓价必须高于新止损价，金额须大于0",IF(AND(B620&gt;1,COUNTIFS($A$2:$A$1001,A620,$B$2:$B$1001,B620-1,$G$2:$G$1001,"&gt;0")=0),"违规：须先完成上一次加仓",IF(AND(B620&gt;1,E620&lt;SUMIFS($E$2:$E$1001,$A$2:$A$1001,A620,$B$2:$B$1001,B620-1)),"违规：新止损价不得低于上一次",IF(AND(B620&gt;1,F620&gt;SUMIFS($F$2:$F$1001,$A$2:$A$1001,A620,$B$2:$B$1001,B620-1)),"违规：风险预算须逐次不增加",IF(OR(_LockStatus="已锁仓",_LockStatus="解锁信息不完整"),"违规：锁仓期间禁止加仓",IF(G620="","计划可执行：建议股数见N列",IF(OR(G620&lt;=0,G620&lt;&gt;INT(G620),MOD(G620,100)&lt;&gt;0),"违规：实际股数须为100股整数倍",IF(G620&gt;N620,"违规：实际股数超过风险或金字塔上限",IF(AND(B620&gt;1,G620&gt;SUMIFS($G$2:$G$1001,$A$2:$A$1001,A620,$B$2:$B$1001,B620-1)),"违规：加仓股数须逐次不增加",IF(Q620&gt;F620,"违规：止损风险超过本次预算","通过")))))))))))))))</f>
        <v/>
      </c>
    </row>
    <row r="621" ht="17" spans="1:18">
      <c r="A621" s="13"/>
      <c r="B621" s="14"/>
      <c r="C621" s="15"/>
      <c r="D621" s="16"/>
      <c r="E621" s="16"/>
      <c r="F621" s="16"/>
      <c r="G621" s="14"/>
      <c r="H621" s="17" t="str">
        <f t="shared" si="72"/>
        <v/>
      </c>
      <c r="I621" s="18" t="str">
        <f>IF(OR(A621="",B621=""),"",IFERROR(LOOKUP(2,1/(单次交易!$A$2:$A$201=A621),单次交易!$H$2:$H$201),0)+SUMIFS($G$2:$G$1001,$A$2:$A$1001,A621,$B$2:$B$1001,"&lt;"&amp;B621))</f>
        <v/>
      </c>
      <c r="J621" s="17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17" t="str">
        <f t="shared" si="73"/>
        <v/>
      </c>
      <c r="L621" s="18" t="str">
        <f t="shared" si="74"/>
        <v/>
      </c>
      <c r="M621" s="18" t="str">
        <f t="shared" si="75"/>
        <v/>
      </c>
      <c r="N621" s="18" t="str">
        <f t="shared" si="76"/>
        <v/>
      </c>
      <c r="O621" s="18" t="str">
        <f t="shared" si="77"/>
        <v/>
      </c>
      <c r="P621" s="17" t="str">
        <f t="shared" si="78"/>
        <v/>
      </c>
      <c r="Q621" s="17" t="str">
        <f t="shared" si="79"/>
        <v/>
      </c>
      <c r="R621" s="19" t="str">
        <f ca="1">IF(A621="","",IF(COUNTIF(_TradeIds,A621)=0,"违规：交易编号不存在",IF(OR(B621="",B621&lt;1,B621&gt;5,B621&lt;&gt;INT(B621)),"违规：加仓序号须为1到5的整数",IF(COUNTIFS($A$2:$A$1001,A621,$B$2:$B$1001,B621)&gt;1,"违规：同一交易的加仓序号重复",IF(OR(D621="",E621="",F621=""),"计划不完整：请填写加仓价、新止损价和风险预算",IF(OR(D621&lt;=0,E621&lt;=0,F621&lt;=0,D621&lt;=E621),"违规：加仓价必须高于新止损价，金额须大于0",IF(AND(B621&gt;1,COUNTIFS($A$2:$A$1001,A621,$B$2:$B$1001,B621-1,$G$2:$G$1001,"&gt;0")=0),"违规：须先完成上一次加仓",IF(AND(B621&gt;1,E621&lt;SUMIFS($E$2:$E$1001,$A$2:$A$1001,A621,$B$2:$B$1001,B621-1)),"违规：新止损价不得低于上一次",IF(AND(B621&gt;1,F621&gt;SUMIFS($F$2:$F$1001,$A$2:$A$1001,A621,$B$2:$B$1001,B621-1)),"违规：风险预算须逐次不增加",IF(OR(_LockStatus="已锁仓",_LockStatus="解锁信息不完整"),"违规：锁仓期间禁止加仓",IF(G621="","计划可执行：建议股数见N列",IF(OR(G621&lt;=0,G621&lt;&gt;INT(G621),MOD(G621,100)&lt;&gt;0),"违规：实际股数须为100股整数倍",IF(G621&gt;N621,"违规：实际股数超过风险或金字塔上限",IF(AND(B621&gt;1,G621&gt;SUMIFS($G$2:$G$1001,$A$2:$A$1001,A621,$B$2:$B$1001,B621-1)),"违规：加仓股数须逐次不增加",IF(Q621&gt;F621,"违规：止损风险超过本次预算","通过")))))))))))))))</f>
        <v/>
      </c>
    </row>
    <row r="622" ht="17" spans="1:18">
      <c r="A622" s="13"/>
      <c r="B622" s="14"/>
      <c r="C622" s="15"/>
      <c r="D622" s="16"/>
      <c r="E622" s="16"/>
      <c r="F622" s="16"/>
      <c r="G622" s="14"/>
      <c r="H622" s="17" t="str">
        <f t="shared" si="72"/>
        <v/>
      </c>
      <c r="I622" s="18" t="str">
        <f>IF(OR(A622="",B622=""),"",IFERROR(LOOKUP(2,1/(单次交易!$A$2:$A$201=A622),单次交易!$H$2:$H$201),0)+SUMIFS($G$2:$G$1001,$A$2:$A$1001,A622,$B$2:$B$1001,"&lt;"&amp;B622))</f>
        <v/>
      </c>
      <c r="J622" s="17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17" t="str">
        <f t="shared" si="73"/>
        <v/>
      </c>
      <c r="L622" s="18" t="str">
        <f t="shared" si="74"/>
        <v/>
      </c>
      <c r="M622" s="18" t="str">
        <f t="shared" si="75"/>
        <v/>
      </c>
      <c r="N622" s="18" t="str">
        <f t="shared" si="76"/>
        <v/>
      </c>
      <c r="O622" s="18" t="str">
        <f t="shared" si="77"/>
        <v/>
      </c>
      <c r="P622" s="17" t="str">
        <f t="shared" si="78"/>
        <v/>
      </c>
      <c r="Q622" s="17" t="str">
        <f t="shared" si="79"/>
        <v/>
      </c>
      <c r="R622" s="19" t="str">
        <f ca="1">IF(A622="","",IF(COUNTIF(_TradeIds,A622)=0,"违规：交易编号不存在",IF(OR(B622="",B622&lt;1,B622&gt;5,B622&lt;&gt;INT(B622)),"违规：加仓序号须为1到5的整数",IF(COUNTIFS($A$2:$A$1001,A622,$B$2:$B$1001,B622)&gt;1,"违规：同一交易的加仓序号重复",IF(OR(D622="",E622="",F622=""),"计划不完整：请填写加仓价、新止损价和风险预算",IF(OR(D622&lt;=0,E622&lt;=0,F622&lt;=0,D622&lt;=E622),"违规：加仓价必须高于新止损价，金额须大于0",IF(AND(B622&gt;1,COUNTIFS($A$2:$A$1001,A622,$B$2:$B$1001,B622-1,$G$2:$G$1001,"&gt;0")=0),"违规：须先完成上一次加仓",IF(AND(B622&gt;1,E622&lt;SUMIFS($E$2:$E$1001,$A$2:$A$1001,A622,$B$2:$B$1001,B622-1)),"违规：新止损价不得低于上一次",IF(AND(B622&gt;1,F622&gt;SUMIFS($F$2:$F$1001,$A$2:$A$1001,A622,$B$2:$B$1001,B622-1)),"违规：风险预算须逐次不增加",IF(OR(_LockStatus="已锁仓",_LockStatus="解锁信息不完整"),"违规：锁仓期间禁止加仓",IF(G622="","计划可执行：建议股数见N列",IF(OR(G622&lt;=0,G622&lt;&gt;INT(G622),MOD(G622,100)&lt;&gt;0),"违规：实际股数须为100股整数倍",IF(G622&gt;N622,"违规：实际股数超过风险或金字塔上限",IF(AND(B622&gt;1,G622&gt;SUMIFS($G$2:$G$1001,$A$2:$A$1001,A622,$B$2:$B$1001,B622-1)),"违规：加仓股数须逐次不增加",IF(Q622&gt;F622,"违规：止损风险超过本次预算","通过")))))))))))))))</f>
        <v/>
      </c>
    </row>
    <row r="623" ht="17" spans="1:18">
      <c r="A623" s="13"/>
      <c r="B623" s="14"/>
      <c r="C623" s="15"/>
      <c r="D623" s="16"/>
      <c r="E623" s="16"/>
      <c r="F623" s="16"/>
      <c r="G623" s="14"/>
      <c r="H623" s="17" t="str">
        <f t="shared" si="72"/>
        <v/>
      </c>
      <c r="I623" s="18" t="str">
        <f>IF(OR(A623="",B623=""),"",IFERROR(LOOKUP(2,1/(单次交易!$A$2:$A$201=A623),单次交易!$H$2:$H$201),0)+SUMIFS($G$2:$G$1001,$A$2:$A$1001,A623,$B$2:$B$1001,"&lt;"&amp;B623))</f>
        <v/>
      </c>
      <c r="J623" s="17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17" t="str">
        <f t="shared" si="73"/>
        <v/>
      </c>
      <c r="L623" s="18" t="str">
        <f t="shared" si="74"/>
        <v/>
      </c>
      <c r="M623" s="18" t="str">
        <f t="shared" si="75"/>
        <v/>
      </c>
      <c r="N623" s="18" t="str">
        <f t="shared" si="76"/>
        <v/>
      </c>
      <c r="O623" s="18" t="str">
        <f t="shared" si="77"/>
        <v/>
      </c>
      <c r="P623" s="17" t="str">
        <f t="shared" si="78"/>
        <v/>
      </c>
      <c r="Q623" s="17" t="str">
        <f t="shared" si="79"/>
        <v/>
      </c>
      <c r="R623" s="19" t="str">
        <f ca="1">IF(A623="","",IF(COUNTIF(_TradeIds,A623)=0,"违规：交易编号不存在",IF(OR(B623="",B623&lt;1,B623&gt;5,B623&lt;&gt;INT(B623)),"违规：加仓序号须为1到5的整数",IF(COUNTIFS($A$2:$A$1001,A623,$B$2:$B$1001,B623)&gt;1,"违规：同一交易的加仓序号重复",IF(OR(D623="",E623="",F623=""),"计划不完整：请填写加仓价、新止损价和风险预算",IF(OR(D623&lt;=0,E623&lt;=0,F623&lt;=0,D623&lt;=E623),"违规：加仓价必须高于新止损价，金额须大于0",IF(AND(B623&gt;1,COUNTIFS($A$2:$A$1001,A623,$B$2:$B$1001,B623-1,$G$2:$G$1001,"&gt;0")=0),"违规：须先完成上一次加仓",IF(AND(B623&gt;1,E623&lt;SUMIFS($E$2:$E$1001,$A$2:$A$1001,A623,$B$2:$B$1001,B623-1)),"违规：新止损价不得低于上一次",IF(AND(B623&gt;1,F623&gt;SUMIFS($F$2:$F$1001,$A$2:$A$1001,A623,$B$2:$B$1001,B623-1)),"违规：风险预算须逐次不增加",IF(OR(_LockStatus="已锁仓",_LockStatus="解锁信息不完整"),"违规：锁仓期间禁止加仓",IF(G623="","计划可执行：建议股数见N列",IF(OR(G623&lt;=0,G623&lt;&gt;INT(G623),MOD(G623,100)&lt;&gt;0),"违规：实际股数须为100股整数倍",IF(G623&gt;N623,"违规：实际股数超过风险或金字塔上限",IF(AND(B623&gt;1,G623&gt;SUMIFS($G$2:$G$1001,$A$2:$A$1001,A623,$B$2:$B$1001,B623-1)),"违规：加仓股数须逐次不增加",IF(Q623&gt;F623,"违规：止损风险超过本次预算","通过")))))))))))))))</f>
        <v/>
      </c>
    </row>
    <row r="624" ht="17" spans="1:18">
      <c r="A624" s="13"/>
      <c r="B624" s="14"/>
      <c r="C624" s="15"/>
      <c r="D624" s="16"/>
      <c r="E624" s="16"/>
      <c r="F624" s="16"/>
      <c r="G624" s="14"/>
      <c r="H624" s="17" t="str">
        <f t="shared" si="72"/>
        <v/>
      </c>
      <c r="I624" s="18" t="str">
        <f>IF(OR(A624="",B624=""),"",IFERROR(LOOKUP(2,1/(单次交易!$A$2:$A$201=A624),单次交易!$H$2:$H$201),0)+SUMIFS($G$2:$G$1001,$A$2:$A$1001,A624,$B$2:$B$1001,"&lt;"&amp;B624))</f>
        <v/>
      </c>
      <c r="J624" s="17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17" t="str">
        <f t="shared" si="73"/>
        <v/>
      </c>
      <c r="L624" s="18" t="str">
        <f t="shared" si="74"/>
        <v/>
      </c>
      <c r="M624" s="18" t="str">
        <f t="shared" si="75"/>
        <v/>
      </c>
      <c r="N624" s="18" t="str">
        <f t="shared" si="76"/>
        <v/>
      </c>
      <c r="O624" s="18" t="str">
        <f t="shared" si="77"/>
        <v/>
      </c>
      <c r="P624" s="17" t="str">
        <f t="shared" si="78"/>
        <v/>
      </c>
      <c r="Q624" s="17" t="str">
        <f t="shared" si="79"/>
        <v/>
      </c>
      <c r="R624" s="19" t="str">
        <f ca="1">IF(A624="","",IF(COUNTIF(_TradeIds,A624)=0,"违规：交易编号不存在",IF(OR(B624="",B624&lt;1,B624&gt;5,B624&lt;&gt;INT(B624)),"违规：加仓序号须为1到5的整数",IF(COUNTIFS($A$2:$A$1001,A624,$B$2:$B$1001,B624)&gt;1,"违规：同一交易的加仓序号重复",IF(OR(D624="",E624="",F624=""),"计划不完整：请填写加仓价、新止损价和风险预算",IF(OR(D624&lt;=0,E624&lt;=0,F624&lt;=0,D624&lt;=E624),"违规：加仓价必须高于新止损价，金额须大于0",IF(AND(B624&gt;1,COUNTIFS($A$2:$A$1001,A624,$B$2:$B$1001,B624-1,$G$2:$G$1001,"&gt;0")=0),"违规：须先完成上一次加仓",IF(AND(B624&gt;1,E624&lt;SUMIFS($E$2:$E$1001,$A$2:$A$1001,A624,$B$2:$B$1001,B624-1)),"违规：新止损价不得低于上一次",IF(AND(B624&gt;1,F624&gt;SUMIFS($F$2:$F$1001,$A$2:$A$1001,A624,$B$2:$B$1001,B624-1)),"违规：风险预算须逐次不增加",IF(OR(_LockStatus="已锁仓",_LockStatus="解锁信息不完整"),"违规：锁仓期间禁止加仓",IF(G624="","计划可执行：建议股数见N列",IF(OR(G624&lt;=0,G624&lt;&gt;INT(G624),MOD(G624,100)&lt;&gt;0),"违规：实际股数须为100股整数倍",IF(G624&gt;N624,"违规：实际股数超过风险或金字塔上限",IF(AND(B624&gt;1,G624&gt;SUMIFS($G$2:$G$1001,$A$2:$A$1001,A624,$B$2:$B$1001,B624-1)),"违规：加仓股数须逐次不增加",IF(Q624&gt;F624,"违规：止损风险超过本次预算","通过")))))))))))))))</f>
        <v/>
      </c>
    </row>
    <row r="625" ht="17" spans="1:18">
      <c r="A625" s="13"/>
      <c r="B625" s="14"/>
      <c r="C625" s="15"/>
      <c r="D625" s="16"/>
      <c r="E625" s="16"/>
      <c r="F625" s="16"/>
      <c r="G625" s="14"/>
      <c r="H625" s="17" t="str">
        <f t="shared" si="72"/>
        <v/>
      </c>
      <c r="I625" s="18" t="str">
        <f>IF(OR(A625="",B625=""),"",IFERROR(LOOKUP(2,1/(单次交易!$A$2:$A$201=A625),单次交易!$H$2:$H$201),0)+SUMIFS($G$2:$G$1001,$A$2:$A$1001,A625,$B$2:$B$1001,"&lt;"&amp;B625))</f>
        <v/>
      </c>
      <c r="J625" s="17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17" t="str">
        <f t="shared" si="73"/>
        <v/>
      </c>
      <c r="L625" s="18" t="str">
        <f t="shared" si="74"/>
        <v/>
      </c>
      <c r="M625" s="18" t="str">
        <f t="shared" si="75"/>
        <v/>
      </c>
      <c r="N625" s="18" t="str">
        <f t="shared" si="76"/>
        <v/>
      </c>
      <c r="O625" s="18" t="str">
        <f t="shared" si="77"/>
        <v/>
      </c>
      <c r="P625" s="17" t="str">
        <f t="shared" si="78"/>
        <v/>
      </c>
      <c r="Q625" s="17" t="str">
        <f t="shared" si="79"/>
        <v/>
      </c>
      <c r="R625" s="19" t="str">
        <f ca="1">IF(A625="","",IF(COUNTIF(_TradeIds,A625)=0,"违规：交易编号不存在",IF(OR(B625="",B625&lt;1,B625&gt;5,B625&lt;&gt;INT(B625)),"违规：加仓序号须为1到5的整数",IF(COUNTIFS($A$2:$A$1001,A625,$B$2:$B$1001,B625)&gt;1,"违规：同一交易的加仓序号重复",IF(OR(D625="",E625="",F625=""),"计划不完整：请填写加仓价、新止损价和风险预算",IF(OR(D625&lt;=0,E625&lt;=0,F625&lt;=0,D625&lt;=E625),"违规：加仓价必须高于新止损价，金额须大于0",IF(AND(B625&gt;1,COUNTIFS($A$2:$A$1001,A625,$B$2:$B$1001,B625-1,$G$2:$G$1001,"&gt;0")=0),"违规：须先完成上一次加仓",IF(AND(B625&gt;1,E625&lt;SUMIFS($E$2:$E$1001,$A$2:$A$1001,A625,$B$2:$B$1001,B625-1)),"违规：新止损价不得低于上一次",IF(AND(B625&gt;1,F625&gt;SUMIFS($F$2:$F$1001,$A$2:$A$1001,A625,$B$2:$B$1001,B625-1)),"违规：风险预算须逐次不增加",IF(OR(_LockStatus="已锁仓",_LockStatus="解锁信息不完整"),"违规：锁仓期间禁止加仓",IF(G625="","计划可执行：建议股数见N列",IF(OR(G625&lt;=0,G625&lt;&gt;INT(G625),MOD(G625,100)&lt;&gt;0),"违规：实际股数须为100股整数倍",IF(G625&gt;N625,"违规：实际股数超过风险或金字塔上限",IF(AND(B625&gt;1,G625&gt;SUMIFS($G$2:$G$1001,$A$2:$A$1001,A625,$B$2:$B$1001,B625-1)),"违规：加仓股数须逐次不增加",IF(Q625&gt;F625,"违规：止损风险超过本次预算","通过")))))))))))))))</f>
        <v/>
      </c>
    </row>
    <row r="626" ht="17" spans="1:18">
      <c r="A626" s="13"/>
      <c r="B626" s="14"/>
      <c r="C626" s="15"/>
      <c r="D626" s="16"/>
      <c r="E626" s="16"/>
      <c r="F626" s="16"/>
      <c r="G626" s="14"/>
      <c r="H626" s="17" t="str">
        <f t="shared" si="72"/>
        <v/>
      </c>
      <c r="I626" s="18" t="str">
        <f>IF(OR(A626="",B626=""),"",IFERROR(LOOKUP(2,1/(单次交易!$A$2:$A$201=A626),单次交易!$H$2:$H$201),0)+SUMIFS($G$2:$G$1001,$A$2:$A$1001,A626,$B$2:$B$1001,"&lt;"&amp;B626))</f>
        <v/>
      </c>
      <c r="J626" s="17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17" t="str">
        <f t="shared" si="73"/>
        <v/>
      </c>
      <c r="L626" s="18" t="str">
        <f t="shared" si="74"/>
        <v/>
      </c>
      <c r="M626" s="18" t="str">
        <f t="shared" si="75"/>
        <v/>
      </c>
      <c r="N626" s="18" t="str">
        <f t="shared" si="76"/>
        <v/>
      </c>
      <c r="O626" s="18" t="str">
        <f t="shared" si="77"/>
        <v/>
      </c>
      <c r="P626" s="17" t="str">
        <f t="shared" si="78"/>
        <v/>
      </c>
      <c r="Q626" s="17" t="str">
        <f t="shared" si="79"/>
        <v/>
      </c>
      <c r="R626" s="19" t="str">
        <f ca="1">IF(A626="","",IF(COUNTIF(_TradeIds,A626)=0,"违规：交易编号不存在",IF(OR(B626="",B626&lt;1,B626&gt;5,B626&lt;&gt;INT(B626)),"违规：加仓序号须为1到5的整数",IF(COUNTIFS($A$2:$A$1001,A626,$B$2:$B$1001,B626)&gt;1,"违规：同一交易的加仓序号重复",IF(OR(D626="",E626="",F626=""),"计划不完整：请填写加仓价、新止损价和风险预算",IF(OR(D626&lt;=0,E626&lt;=0,F626&lt;=0,D626&lt;=E626),"违规：加仓价必须高于新止损价，金额须大于0",IF(AND(B626&gt;1,COUNTIFS($A$2:$A$1001,A626,$B$2:$B$1001,B626-1,$G$2:$G$1001,"&gt;0")=0),"违规：须先完成上一次加仓",IF(AND(B626&gt;1,E626&lt;SUMIFS($E$2:$E$1001,$A$2:$A$1001,A626,$B$2:$B$1001,B626-1)),"违规：新止损价不得低于上一次",IF(AND(B626&gt;1,F626&gt;SUMIFS($F$2:$F$1001,$A$2:$A$1001,A626,$B$2:$B$1001,B626-1)),"违规：风险预算须逐次不增加",IF(OR(_LockStatus="已锁仓",_LockStatus="解锁信息不完整"),"违规：锁仓期间禁止加仓",IF(G626="","计划可执行：建议股数见N列",IF(OR(G626&lt;=0,G626&lt;&gt;INT(G626),MOD(G626,100)&lt;&gt;0),"违规：实际股数须为100股整数倍",IF(G626&gt;N626,"违规：实际股数超过风险或金字塔上限",IF(AND(B626&gt;1,G626&gt;SUMIFS($G$2:$G$1001,$A$2:$A$1001,A626,$B$2:$B$1001,B626-1)),"违规：加仓股数须逐次不增加",IF(Q626&gt;F626,"违规：止损风险超过本次预算","通过")))))))))))))))</f>
        <v/>
      </c>
    </row>
    <row r="627" ht="17" spans="1:18">
      <c r="A627" s="13"/>
      <c r="B627" s="14"/>
      <c r="C627" s="15"/>
      <c r="D627" s="16"/>
      <c r="E627" s="16"/>
      <c r="F627" s="16"/>
      <c r="G627" s="14"/>
      <c r="H627" s="17" t="str">
        <f t="shared" si="72"/>
        <v/>
      </c>
      <c r="I627" s="18" t="str">
        <f>IF(OR(A627="",B627=""),"",IFERROR(LOOKUP(2,1/(单次交易!$A$2:$A$201=A627),单次交易!$H$2:$H$201),0)+SUMIFS($G$2:$G$1001,$A$2:$A$1001,A627,$B$2:$B$1001,"&lt;"&amp;B627))</f>
        <v/>
      </c>
      <c r="J627" s="17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17" t="str">
        <f t="shared" si="73"/>
        <v/>
      </c>
      <c r="L627" s="18" t="str">
        <f t="shared" si="74"/>
        <v/>
      </c>
      <c r="M627" s="18" t="str">
        <f t="shared" si="75"/>
        <v/>
      </c>
      <c r="N627" s="18" t="str">
        <f t="shared" si="76"/>
        <v/>
      </c>
      <c r="O627" s="18" t="str">
        <f t="shared" si="77"/>
        <v/>
      </c>
      <c r="P627" s="17" t="str">
        <f t="shared" si="78"/>
        <v/>
      </c>
      <c r="Q627" s="17" t="str">
        <f t="shared" si="79"/>
        <v/>
      </c>
      <c r="R627" s="19" t="str">
        <f ca="1">IF(A627="","",IF(COUNTIF(_TradeIds,A627)=0,"违规：交易编号不存在",IF(OR(B627="",B627&lt;1,B627&gt;5,B627&lt;&gt;INT(B627)),"违规：加仓序号须为1到5的整数",IF(COUNTIFS($A$2:$A$1001,A627,$B$2:$B$1001,B627)&gt;1,"违规：同一交易的加仓序号重复",IF(OR(D627="",E627="",F627=""),"计划不完整：请填写加仓价、新止损价和风险预算",IF(OR(D627&lt;=0,E627&lt;=0,F627&lt;=0,D627&lt;=E627),"违规：加仓价必须高于新止损价，金额须大于0",IF(AND(B627&gt;1,COUNTIFS($A$2:$A$1001,A627,$B$2:$B$1001,B627-1,$G$2:$G$1001,"&gt;0")=0),"违规：须先完成上一次加仓",IF(AND(B627&gt;1,E627&lt;SUMIFS($E$2:$E$1001,$A$2:$A$1001,A627,$B$2:$B$1001,B627-1)),"违规：新止损价不得低于上一次",IF(AND(B627&gt;1,F627&gt;SUMIFS($F$2:$F$1001,$A$2:$A$1001,A627,$B$2:$B$1001,B627-1)),"违规：风险预算须逐次不增加",IF(OR(_LockStatus="已锁仓",_LockStatus="解锁信息不完整"),"违规：锁仓期间禁止加仓",IF(G627="","计划可执行：建议股数见N列",IF(OR(G627&lt;=0,G627&lt;&gt;INT(G627),MOD(G627,100)&lt;&gt;0),"违规：实际股数须为100股整数倍",IF(G627&gt;N627,"违规：实际股数超过风险或金字塔上限",IF(AND(B627&gt;1,G627&gt;SUMIFS($G$2:$G$1001,$A$2:$A$1001,A627,$B$2:$B$1001,B627-1)),"违规：加仓股数须逐次不增加",IF(Q627&gt;F627,"违规：止损风险超过本次预算","通过")))))))))))))))</f>
        <v/>
      </c>
    </row>
    <row r="628" ht="17" spans="1:18">
      <c r="A628" s="13"/>
      <c r="B628" s="14"/>
      <c r="C628" s="15"/>
      <c r="D628" s="16"/>
      <c r="E628" s="16"/>
      <c r="F628" s="16"/>
      <c r="G628" s="14"/>
      <c r="H628" s="17" t="str">
        <f t="shared" si="72"/>
        <v/>
      </c>
      <c r="I628" s="18" t="str">
        <f>IF(OR(A628="",B628=""),"",IFERROR(LOOKUP(2,1/(单次交易!$A$2:$A$201=A628),单次交易!$H$2:$H$201),0)+SUMIFS($G$2:$G$1001,$A$2:$A$1001,A628,$B$2:$B$1001,"&lt;"&amp;B628))</f>
        <v/>
      </c>
      <c r="J628" s="17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17" t="str">
        <f t="shared" si="73"/>
        <v/>
      </c>
      <c r="L628" s="18" t="str">
        <f t="shared" si="74"/>
        <v/>
      </c>
      <c r="M628" s="18" t="str">
        <f t="shared" si="75"/>
        <v/>
      </c>
      <c r="N628" s="18" t="str">
        <f t="shared" si="76"/>
        <v/>
      </c>
      <c r="O628" s="18" t="str">
        <f t="shared" si="77"/>
        <v/>
      </c>
      <c r="P628" s="17" t="str">
        <f t="shared" si="78"/>
        <v/>
      </c>
      <c r="Q628" s="17" t="str">
        <f t="shared" si="79"/>
        <v/>
      </c>
      <c r="R628" s="19" t="str">
        <f ca="1">IF(A628="","",IF(COUNTIF(_TradeIds,A628)=0,"违规：交易编号不存在",IF(OR(B628="",B628&lt;1,B628&gt;5,B628&lt;&gt;INT(B628)),"违规：加仓序号须为1到5的整数",IF(COUNTIFS($A$2:$A$1001,A628,$B$2:$B$1001,B628)&gt;1,"违规：同一交易的加仓序号重复",IF(OR(D628="",E628="",F628=""),"计划不完整：请填写加仓价、新止损价和风险预算",IF(OR(D628&lt;=0,E628&lt;=0,F628&lt;=0,D628&lt;=E628),"违规：加仓价必须高于新止损价，金额须大于0",IF(AND(B628&gt;1,COUNTIFS($A$2:$A$1001,A628,$B$2:$B$1001,B628-1,$G$2:$G$1001,"&gt;0")=0),"违规：须先完成上一次加仓",IF(AND(B628&gt;1,E628&lt;SUMIFS($E$2:$E$1001,$A$2:$A$1001,A628,$B$2:$B$1001,B628-1)),"违规：新止损价不得低于上一次",IF(AND(B628&gt;1,F628&gt;SUMIFS($F$2:$F$1001,$A$2:$A$1001,A628,$B$2:$B$1001,B628-1)),"违规：风险预算须逐次不增加",IF(OR(_LockStatus="已锁仓",_LockStatus="解锁信息不完整"),"违规：锁仓期间禁止加仓",IF(G628="","计划可执行：建议股数见N列",IF(OR(G628&lt;=0,G628&lt;&gt;INT(G628),MOD(G628,100)&lt;&gt;0),"违规：实际股数须为100股整数倍",IF(G628&gt;N628,"违规：实际股数超过风险或金字塔上限",IF(AND(B628&gt;1,G628&gt;SUMIFS($G$2:$G$1001,$A$2:$A$1001,A628,$B$2:$B$1001,B628-1)),"违规：加仓股数须逐次不增加",IF(Q628&gt;F628,"违规：止损风险超过本次预算","通过")))))))))))))))</f>
        <v/>
      </c>
    </row>
    <row r="629" ht="17" spans="1:18">
      <c r="A629" s="13"/>
      <c r="B629" s="14"/>
      <c r="C629" s="15"/>
      <c r="D629" s="16"/>
      <c r="E629" s="16"/>
      <c r="F629" s="16"/>
      <c r="G629" s="14"/>
      <c r="H629" s="17" t="str">
        <f t="shared" si="72"/>
        <v/>
      </c>
      <c r="I629" s="18" t="str">
        <f>IF(OR(A629="",B629=""),"",IFERROR(LOOKUP(2,1/(单次交易!$A$2:$A$201=A629),单次交易!$H$2:$H$201),0)+SUMIFS($G$2:$G$1001,$A$2:$A$1001,A629,$B$2:$B$1001,"&lt;"&amp;B629))</f>
        <v/>
      </c>
      <c r="J629" s="17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17" t="str">
        <f t="shared" si="73"/>
        <v/>
      </c>
      <c r="L629" s="18" t="str">
        <f t="shared" si="74"/>
        <v/>
      </c>
      <c r="M629" s="18" t="str">
        <f t="shared" si="75"/>
        <v/>
      </c>
      <c r="N629" s="18" t="str">
        <f t="shared" si="76"/>
        <v/>
      </c>
      <c r="O629" s="18" t="str">
        <f t="shared" si="77"/>
        <v/>
      </c>
      <c r="P629" s="17" t="str">
        <f t="shared" si="78"/>
        <v/>
      </c>
      <c r="Q629" s="17" t="str">
        <f t="shared" si="79"/>
        <v/>
      </c>
      <c r="R629" s="19" t="str">
        <f ca="1">IF(A629="","",IF(COUNTIF(_TradeIds,A629)=0,"违规：交易编号不存在",IF(OR(B629="",B629&lt;1,B629&gt;5,B629&lt;&gt;INT(B629)),"违规：加仓序号须为1到5的整数",IF(COUNTIFS($A$2:$A$1001,A629,$B$2:$B$1001,B629)&gt;1,"违规：同一交易的加仓序号重复",IF(OR(D629="",E629="",F629=""),"计划不完整：请填写加仓价、新止损价和风险预算",IF(OR(D629&lt;=0,E629&lt;=0,F629&lt;=0,D629&lt;=E629),"违规：加仓价必须高于新止损价，金额须大于0",IF(AND(B629&gt;1,COUNTIFS($A$2:$A$1001,A629,$B$2:$B$1001,B629-1,$G$2:$G$1001,"&gt;0")=0),"违规：须先完成上一次加仓",IF(AND(B629&gt;1,E629&lt;SUMIFS($E$2:$E$1001,$A$2:$A$1001,A629,$B$2:$B$1001,B629-1)),"违规：新止损价不得低于上一次",IF(AND(B629&gt;1,F629&gt;SUMIFS($F$2:$F$1001,$A$2:$A$1001,A629,$B$2:$B$1001,B629-1)),"违规：风险预算须逐次不增加",IF(OR(_LockStatus="已锁仓",_LockStatus="解锁信息不完整"),"违规：锁仓期间禁止加仓",IF(G629="","计划可执行：建议股数见N列",IF(OR(G629&lt;=0,G629&lt;&gt;INT(G629),MOD(G629,100)&lt;&gt;0),"违规：实际股数须为100股整数倍",IF(G629&gt;N629,"违规：实际股数超过风险或金字塔上限",IF(AND(B629&gt;1,G629&gt;SUMIFS($G$2:$G$1001,$A$2:$A$1001,A629,$B$2:$B$1001,B629-1)),"违规：加仓股数须逐次不增加",IF(Q629&gt;F629,"违规：止损风险超过本次预算","通过")))))))))))))))</f>
        <v/>
      </c>
    </row>
    <row r="630" ht="17" spans="1:18">
      <c r="A630" s="13"/>
      <c r="B630" s="14"/>
      <c r="C630" s="15"/>
      <c r="D630" s="16"/>
      <c r="E630" s="16"/>
      <c r="F630" s="16"/>
      <c r="G630" s="14"/>
      <c r="H630" s="17" t="str">
        <f t="shared" si="72"/>
        <v/>
      </c>
      <c r="I630" s="18" t="str">
        <f>IF(OR(A630="",B630=""),"",IFERROR(LOOKUP(2,1/(单次交易!$A$2:$A$201=A630),单次交易!$H$2:$H$201),0)+SUMIFS($G$2:$G$1001,$A$2:$A$1001,A630,$B$2:$B$1001,"&lt;"&amp;B630))</f>
        <v/>
      </c>
      <c r="J630" s="17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17" t="str">
        <f t="shared" si="73"/>
        <v/>
      </c>
      <c r="L630" s="18" t="str">
        <f t="shared" si="74"/>
        <v/>
      </c>
      <c r="M630" s="18" t="str">
        <f t="shared" si="75"/>
        <v/>
      </c>
      <c r="N630" s="18" t="str">
        <f t="shared" si="76"/>
        <v/>
      </c>
      <c r="O630" s="18" t="str">
        <f t="shared" si="77"/>
        <v/>
      </c>
      <c r="P630" s="17" t="str">
        <f t="shared" si="78"/>
        <v/>
      </c>
      <c r="Q630" s="17" t="str">
        <f t="shared" si="79"/>
        <v/>
      </c>
      <c r="R630" s="19" t="str">
        <f ca="1">IF(A630="","",IF(COUNTIF(_TradeIds,A630)=0,"违规：交易编号不存在",IF(OR(B630="",B630&lt;1,B630&gt;5,B630&lt;&gt;INT(B630)),"违规：加仓序号须为1到5的整数",IF(COUNTIFS($A$2:$A$1001,A630,$B$2:$B$1001,B630)&gt;1,"违规：同一交易的加仓序号重复",IF(OR(D630="",E630="",F630=""),"计划不完整：请填写加仓价、新止损价和风险预算",IF(OR(D630&lt;=0,E630&lt;=0,F630&lt;=0,D630&lt;=E630),"违规：加仓价必须高于新止损价，金额须大于0",IF(AND(B630&gt;1,COUNTIFS($A$2:$A$1001,A630,$B$2:$B$1001,B630-1,$G$2:$G$1001,"&gt;0")=0),"违规：须先完成上一次加仓",IF(AND(B630&gt;1,E630&lt;SUMIFS($E$2:$E$1001,$A$2:$A$1001,A630,$B$2:$B$1001,B630-1)),"违规：新止损价不得低于上一次",IF(AND(B630&gt;1,F630&gt;SUMIFS($F$2:$F$1001,$A$2:$A$1001,A630,$B$2:$B$1001,B630-1)),"违规：风险预算须逐次不增加",IF(OR(_LockStatus="已锁仓",_LockStatus="解锁信息不完整"),"违规：锁仓期间禁止加仓",IF(G630="","计划可执行：建议股数见N列",IF(OR(G630&lt;=0,G630&lt;&gt;INT(G630),MOD(G630,100)&lt;&gt;0),"违规：实际股数须为100股整数倍",IF(G630&gt;N630,"违规：实际股数超过风险或金字塔上限",IF(AND(B630&gt;1,G630&gt;SUMIFS($G$2:$G$1001,$A$2:$A$1001,A630,$B$2:$B$1001,B630-1)),"违规：加仓股数须逐次不增加",IF(Q630&gt;F630,"违规：止损风险超过本次预算","通过")))))))))))))))</f>
        <v/>
      </c>
    </row>
    <row r="631" ht="17" spans="1:18">
      <c r="A631" s="13"/>
      <c r="B631" s="14"/>
      <c r="C631" s="15"/>
      <c r="D631" s="16"/>
      <c r="E631" s="16"/>
      <c r="F631" s="16"/>
      <c r="G631" s="14"/>
      <c r="H631" s="17" t="str">
        <f t="shared" si="72"/>
        <v/>
      </c>
      <c r="I631" s="18" t="str">
        <f>IF(OR(A631="",B631=""),"",IFERROR(LOOKUP(2,1/(单次交易!$A$2:$A$201=A631),单次交易!$H$2:$H$201),0)+SUMIFS($G$2:$G$1001,$A$2:$A$1001,A631,$B$2:$B$1001,"&lt;"&amp;B631))</f>
        <v/>
      </c>
      <c r="J631" s="17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17" t="str">
        <f t="shared" si="73"/>
        <v/>
      </c>
      <c r="L631" s="18" t="str">
        <f t="shared" si="74"/>
        <v/>
      </c>
      <c r="M631" s="18" t="str">
        <f t="shared" si="75"/>
        <v/>
      </c>
      <c r="N631" s="18" t="str">
        <f t="shared" si="76"/>
        <v/>
      </c>
      <c r="O631" s="18" t="str">
        <f t="shared" si="77"/>
        <v/>
      </c>
      <c r="P631" s="17" t="str">
        <f t="shared" si="78"/>
        <v/>
      </c>
      <c r="Q631" s="17" t="str">
        <f t="shared" si="79"/>
        <v/>
      </c>
      <c r="R631" s="19" t="str">
        <f ca="1">IF(A631="","",IF(COUNTIF(_TradeIds,A631)=0,"违规：交易编号不存在",IF(OR(B631="",B631&lt;1,B631&gt;5,B631&lt;&gt;INT(B631)),"违规：加仓序号须为1到5的整数",IF(COUNTIFS($A$2:$A$1001,A631,$B$2:$B$1001,B631)&gt;1,"违规：同一交易的加仓序号重复",IF(OR(D631="",E631="",F631=""),"计划不完整：请填写加仓价、新止损价和风险预算",IF(OR(D631&lt;=0,E631&lt;=0,F631&lt;=0,D631&lt;=E631),"违规：加仓价必须高于新止损价，金额须大于0",IF(AND(B631&gt;1,COUNTIFS($A$2:$A$1001,A631,$B$2:$B$1001,B631-1,$G$2:$G$1001,"&gt;0")=0),"违规：须先完成上一次加仓",IF(AND(B631&gt;1,E631&lt;SUMIFS($E$2:$E$1001,$A$2:$A$1001,A631,$B$2:$B$1001,B631-1)),"违规：新止损价不得低于上一次",IF(AND(B631&gt;1,F631&gt;SUMIFS($F$2:$F$1001,$A$2:$A$1001,A631,$B$2:$B$1001,B631-1)),"违规：风险预算须逐次不增加",IF(OR(_LockStatus="已锁仓",_LockStatus="解锁信息不完整"),"违规：锁仓期间禁止加仓",IF(G631="","计划可执行：建议股数见N列",IF(OR(G631&lt;=0,G631&lt;&gt;INT(G631),MOD(G631,100)&lt;&gt;0),"违规：实际股数须为100股整数倍",IF(G631&gt;N631,"违规：实际股数超过风险或金字塔上限",IF(AND(B631&gt;1,G631&gt;SUMIFS($G$2:$G$1001,$A$2:$A$1001,A631,$B$2:$B$1001,B631-1)),"违规：加仓股数须逐次不增加",IF(Q631&gt;F631,"违规：止损风险超过本次预算","通过")))))))))))))))</f>
        <v/>
      </c>
    </row>
    <row r="632" ht="17" spans="1:18">
      <c r="A632" s="13"/>
      <c r="B632" s="14"/>
      <c r="C632" s="15"/>
      <c r="D632" s="16"/>
      <c r="E632" s="16"/>
      <c r="F632" s="16"/>
      <c r="G632" s="14"/>
      <c r="H632" s="17" t="str">
        <f t="shared" si="72"/>
        <v/>
      </c>
      <c r="I632" s="18" t="str">
        <f>IF(OR(A632="",B632=""),"",IFERROR(LOOKUP(2,1/(单次交易!$A$2:$A$201=A632),单次交易!$H$2:$H$201),0)+SUMIFS($G$2:$G$1001,$A$2:$A$1001,A632,$B$2:$B$1001,"&lt;"&amp;B632))</f>
        <v/>
      </c>
      <c r="J632" s="17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17" t="str">
        <f t="shared" si="73"/>
        <v/>
      </c>
      <c r="L632" s="18" t="str">
        <f t="shared" si="74"/>
        <v/>
      </c>
      <c r="M632" s="18" t="str">
        <f t="shared" si="75"/>
        <v/>
      </c>
      <c r="N632" s="18" t="str">
        <f t="shared" si="76"/>
        <v/>
      </c>
      <c r="O632" s="18" t="str">
        <f t="shared" si="77"/>
        <v/>
      </c>
      <c r="P632" s="17" t="str">
        <f t="shared" si="78"/>
        <v/>
      </c>
      <c r="Q632" s="17" t="str">
        <f t="shared" si="79"/>
        <v/>
      </c>
      <c r="R632" s="19" t="str">
        <f ca="1">IF(A632="","",IF(COUNTIF(_TradeIds,A632)=0,"违规：交易编号不存在",IF(OR(B632="",B632&lt;1,B632&gt;5,B632&lt;&gt;INT(B632)),"违规：加仓序号须为1到5的整数",IF(COUNTIFS($A$2:$A$1001,A632,$B$2:$B$1001,B632)&gt;1,"违规：同一交易的加仓序号重复",IF(OR(D632="",E632="",F632=""),"计划不完整：请填写加仓价、新止损价和风险预算",IF(OR(D632&lt;=0,E632&lt;=0,F632&lt;=0,D632&lt;=E632),"违规：加仓价必须高于新止损价，金额须大于0",IF(AND(B632&gt;1,COUNTIFS($A$2:$A$1001,A632,$B$2:$B$1001,B632-1,$G$2:$G$1001,"&gt;0")=0),"违规：须先完成上一次加仓",IF(AND(B632&gt;1,E632&lt;SUMIFS($E$2:$E$1001,$A$2:$A$1001,A632,$B$2:$B$1001,B632-1)),"违规：新止损价不得低于上一次",IF(AND(B632&gt;1,F632&gt;SUMIFS($F$2:$F$1001,$A$2:$A$1001,A632,$B$2:$B$1001,B632-1)),"违规：风险预算须逐次不增加",IF(OR(_LockStatus="已锁仓",_LockStatus="解锁信息不完整"),"违规：锁仓期间禁止加仓",IF(G632="","计划可执行：建议股数见N列",IF(OR(G632&lt;=0,G632&lt;&gt;INT(G632),MOD(G632,100)&lt;&gt;0),"违规：实际股数须为100股整数倍",IF(G632&gt;N632,"违规：实际股数超过风险或金字塔上限",IF(AND(B632&gt;1,G632&gt;SUMIFS($G$2:$G$1001,$A$2:$A$1001,A632,$B$2:$B$1001,B632-1)),"违规：加仓股数须逐次不增加",IF(Q632&gt;F632,"违规：止损风险超过本次预算","通过")))))))))))))))</f>
        <v/>
      </c>
    </row>
    <row r="633" ht="17" spans="1:18">
      <c r="A633" s="13"/>
      <c r="B633" s="14"/>
      <c r="C633" s="15"/>
      <c r="D633" s="16"/>
      <c r="E633" s="16"/>
      <c r="F633" s="16"/>
      <c r="G633" s="14"/>
      <c r="H633" s="17" t="str">
        <f t="shared" si="72"/>
        <v/>
      </c>
      <c r="I633" s="18" t="str">
        <f>IF(OR(A633="",B633=""),"",IFERROR(LOOKUP(2,1/(单次交易!$A$2:$A$201=A633),单次交易!$H$2:$H$201),0)+SUMIFS($G$2:$G$1001,$A$2:$A$1001,A633,$B$2:$B$1001,"&lt;"&amp;B633))</f>
        <v/>
      </c>
      <c r="J633" s="17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17" t="str">
        <f t="shared" si="73"/>
        <v/>
      </c>
      <c r="L633" s="18" t="str">
        <f t="shared" si="74"/>
        <v/>
      </c>
      <c r="M633" s="18" t="str">
        <f t="shared" si="75"/>
        <v/>
      </c>
      <c r="N633" s="18" t="str">
        <f t="shared" si="76"/>
        <v/>
      </c>
      <c r="O633" s="18" t="str">
        <f t="shared" si="77"/>
        <v/>
      </c>
      <c r="P633" s="17" t="str">
        <f t="shared" si="78"/>
        <v/>
      </c>
      <c r="Q633" s="17" t="str">
        <f t="shared" si="79"/>
        <v/>
      </c>
      <c r="R633" s="19" t="str">
        <f ca="1">IF(A633="","",IF(COUNTIF(_TradeIds,A633)=0,"违规：交易编号不存在",IF(OR(B633="",B633&lt;1,B633&gt;5,B633&lt;&gt;INT(B633)),"违规：加仓序号须为1到5的整数",IF(COUNTIFS($A$2:$A$1001,A633,$B$2:$B$1001,B633)&gt;1,"违规：同一交易的加仓序号重复",IF(OR(D633="",E633="",F633=""),"计划不完整：请填写加仓价、新止损价和风险预算",IF(OR(D633&lt;=0,E633&lt;=0,F633&lt;=0,D633&lt;=E633),"违规：加仓价必须高于新止损价，金额须大于0",IF(AND(B633&gt;1,COUNTIFS($A$2:$A$1001,A633,$B$2:$B$1001,B633-1,$G$2:$G$1001,"&gt;0")=0),"违规：须先完成上一次加仓",IF(AND(B633&gt;1,E633&lt;SUMIFS($E$2:$E$1001,$A$2:$A$1001,A633,$B$2:$B$1001,B633-1)),"违规：新止损价不得低于上一次",IF(AND(B633&gt;1,F633&gt;SUMIFS($F$2:$F$1001,$A$2:$A$1001,A633,$B$2:$B$1001,B633-1)),"违规：风险预算须逐次不增加",IF(OR(_LockStatus="已锁仓",_LockStatus="解锁信息不完整"),"违规：锁仓期间禁止加仓",IF(G633="","计划可执行：建议股数见N列",IF(OR(G633&lt;=0,G633&lt;&gt;INT(G633),MOD(G633,100)&lt;&gt;0),"违规：实际股数须为100股整数倍",IF(G633&gt;N633,"违规：实际股数超过风险或金字塔上限",IF(AND(B633&gt;1,G633&gt;SUMIFS($G$2:$G$1001,$A$2:$A$1001,A633,$B$2:$B$1001,B633-1)),"违规：加仓股数须逐次不增加",IF(Q633&gt;F633,"违规：止损风险超过本次预算","通过")))))))))))))))</f>
        <v/>
      </c>
    </row>
    <row r="634" ht="17" spans="1:18">
      <c r="A634" s="13"/>
      <c r="B634" s="14"/>
      <c r="C634" s="15"/>
      <c r="D634" s="16"/>
      <c r="E634" s="16"/>
      <c r="F634" s="16"/>
      <c r="G634" s="14"/>
      <c r="H634" s="17" t="str">
        <f t="shared" si="72"/>
        <v/>
      </c>
      <c r="I634" s="18" t="str">
        <f>IF(OR(A634="",B634=""),"",IFERROR(LOOKUP(2,1/(单次交易!$A$2:$A$201=A634),单次交易!$H$2:$H$201),0)+SUMIFS($G$2:$G$1001,$A$2:$A$1001,A634,$B$2:$B$1001,"&lt;"&amp;B634))</f>
        <v/>
      </c>
      <c r="J634" s="17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17" t="str">
        <f t="shared" si="73"/>
        <v/>
      </c>
      <c r="L634" s="18" t="str">
        <f t="shared" si="74"/>
        <v/>
      </c>
      <c r="M634" s="18" t="str">
        <f t="shared" si="75"/>
        <v/>
      </c>
      <c r="N634" s="18" t="str">
        <f t="shared" si="76"/>
        <v/>
      </c>
      <c r="O634" s="18" t="str">
        <f t="shared" si="77"/>
        <v/>
      </c>
      <c r="P634" s="17" t="str">
        <f t="shared" si="78"/>
        <v/>
      </c>
      <c r="Q634" s="17" t="str">
        <f t="shared" si="79"/>
        <v/>
      </c>
      <c r="R634" s="19" t="str">
        <f ca="1">IF(A634="","",IF(COUNTIF(_TradeIds,A634)=0,"违规：交易编号不存在",IF(OR(B634="",B634&lt;1,B634&gt;5,B634&lt;&gt;INT(B634)),"违规：加仓序号须为1到5的整数",IF(COUNTIFS($A$2:$A$1001,A634,$B$2:$B$1001,B634)&gt;1,"违规：同一交易的加仓序号重复",IF(OR(D634="",E634="",F634=""),"计划不完整：请填写加仓价、新止损价和风险预算",IF(OR(D634&lt;=0,E634&lt;=0,F634&lt;=0,D634&lt;=E634),"违规：加仓价必须高于新止损价，金额须大于0",IF(AND(B634&gt;1,COUNTIFS($A$2:$A$1001,A634,$B$2:$B$1001,B634-1,$G$2:$G$1001,"&gt;0")=0),"违规：须先完成上一次加仓",IF(AND(B634&gt;1,E634&lt;SUMIFS($E$2:$E$1001,$A$2:$A$1001,A634,$B$2:$B$1001,B634-1)),"违规：新止损价不得低于上一次",IF(AND(B634&gt;1,F634&gt;SUMIFS($F$2:$F$1001,$A$2:$A$1001,A634,$B$2:$B$1001,B634-1)),"违规：风险预算须逐次不增加",IF(OR(_LockStatus="已锁仓",_LockStatus="解锁信息不完整"),"违规：锁仓期间禁止加仓",IF(G634="","计划可执行：建议股数见N列",IF(OR(G634&lt;=0,G634&lt;&gt;INT(G634),MOD(G634,100)&lt;&gt;0),"违规：实际股数须为100股整数倍",IF(G634&gt;N634,"违规：实际股数超过风险或金字塔上限",IF(AND(B634&gt;1,G634&gt;SUMIFS($G$2:$G$1001,$A$2:$A$1001,A634,$B$2:$B$1001,B634-1)),"违规：加仓股数须逐次不增加",IF(Q634&gt;F634,"违规：止损风险超过本次预算","通过")))))))))))))))</f>
        <v/>
      </c>
    </row>
    <row r="635" ht="17" spans="1:18">
      <c r="A635" s="13"/>
      <c r="B635" s="14"/>
      <c r="C635" s="15"/>
      <c r="D635" s="16"/>
      <c r="E635" s="16"/>
      <c r="F635" s="16"/>
      <c r="G635" s="14"/>
      <c r="H635" s="17" t="str">
        <f t="shared" si="72"/>
        <v/>
      </c>
      <c r="I635" s="18" t="str">
        <f>IF(OR(A635="",B635=""),"",IFERROR(LOOKUP(2,1/(单次交易!$A$2:$A$201=A635),单次交易!$H$2:$H$201),0)+SUMIFS($G$2:$G$1001,$A$2:$A$1001,A635,$B$2:$B$1001,"&lt;"&amp;B635))</f>
        <v/>
      </c>
      <c r="J635" s="17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17" t="str">
        <f t="shared" si="73"/>
        <v/>
      </c>
      <c r="L635" s="18" t="str">
        <f t="shared" si="74"/>
        <v/>
      </c>
      <c r="M635" s="18" t="str">
        <f t="shared" si="75"/>
        <v/>
      </c>
      <c r="N635" s="18" t="str">
        <f t="shared" si="76"/>
        <v/>
      </c>
      <c r="O635" s="18" t="str">
        <f t="shared" si="77"/>
        <v/>
      </c>
      <c r="P635" s="17" t="str">
        <f t="shared" si="78"/>
        <v/>
      </c>
      <c r="Q635" s="17" t="str">
        <f t="shared" si="79"/>
        <v/>
      </c>
      <c r="R635" s="19" t="str">
        <f ca="1">IF(A635="","",IF(COUNTIF(_TradeIds,A635)=0,"违规：交易编号不存在",IF(OR(B635="",B635&lt;1,B635&gt;5,B635&lt;&gt;INT(B635)),"违规：加仓序号须为1到5的整数",IF(COUNTIFS($A$2:$A$1001,A635,$B$2:$B$1001,B635)&gt;1,"违规：同一交易的加仓序号重复",IF(OR(D635="",E635="",F635=""),"计划不完整：请填写加仓价、新止损价和风险预算",IF(OR(D635&lt;=0,E635&lt;=0,F635&lt;=0,D635&lt;=E635),"违规：加仓价必须高于新止损价，金额须大于0",IF(AND(B635&gt;1,COUNTIFS($A$2:$A$1001,A635,$B$2:$B$1001,B635-1,$G$2:$G$1001,"&gt;0")=0),"违规：须先完成上一次加仓",IF(AND(B635&gt;1,E635&lt;SUMIFS($E$2:$E$1001,$A$2:$A$1001,A635,$B$2:$B$1001,B635-1)),"违规：新止损价不得低于上一次",IF(AND(B635&gt;1,F635&gt;SUMIFS($F$2:$F$1001,$A$2:$A$1001,A635,$B$2:$B$1001,B635-1)),"违规：风险预算须逐次不增加",IF(OR(_LockStatus="已锁仓",_LockStatus="解锁信息不完整"),"违规：锁仓期间禁止加仓",IF(G635="","计划可执行：建议股数见N列",IF(OR(G635&lt;=0,G635&lt;&gt;INT(G635),MOD(G635,100)&lt;&gt;0),"违规：实际股数须为100股整数倍",IF(G635&gt;N635,"违规：实际股数超过风险或金字塔上限",IF(AND(B635&gt;1,G635&gt;SUMIFS($G$2:$G$1001,$A$2:$A$1001,A635,$B$2:$B$1001,B635-1)),"违规：加仓股数须逐次不增加",IF(Q635&gt;F635,"违规：止损风险超过本次预算","通过")))))))))))))))</f>
        <v/>
      </c>
    </row>
    <row r="636" ht="17" spans="1:18">
      <c r="A636" s="13"/>
      <c r="B636" s="14"/>
      <c r="C636" s="15"/>
      <c r="D636" s="16"/>
      <c r="E636" s="16"/>
      <c r="F636" s="16"/>
      <c r="G636" s="14"/>
      <c r="H636" s="17" t="str">
        <f t="shared" si="72"/>
        <v/>
      </c>
      <c r="I636" s="18" t="str">
        <f>IF(OR(A636="",B636=""),"",IFERROR(LOOKUP(2,1/(单次交易!$A$2:$A$201=A636),单次交易!$H$2:$H$201),0)+SUMIFS($G$2:$G$1001,$A$2:$A$1001,A636,$B$2:$B$1001,"&lt;"&amp;B636))</f>
        <v/>
      </c>
      <c r="J636" s="17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17" t="str">
        <f t="shared" si="73"/>
        <v/>
      </c>
      <c r="L636" s="18" t="str">
        <f t="shared" si="74"/>
        <v/>
      </c>
      <c r="M636" s="18" t="str">
        <f t="shared" si="75"/>
        <v/>
      </c>
      <c r="N636" s="18" t="str">
        <f t="shared" si="76"/>
        <v/>
      </c>
      <c r="O636" s="18" t="str">
        <f t="shared" si="77"/>
        <v/>
      </c>
      <c r="P636" s="17" t="str">
        <f t="shared" si="78"/>
        <v/>
      </c>
      <c r="Q636" s="17" t="str">
        <f t="shared" si="79"/>
        <v/>
      </c>
      <c r="R636" s="19" t="str">
        <f ca="1">IF(A636="","",IF(COUNTIF(_TradeIds,A636)=0,"违规：交易编号不存在",IF(OR(B636="",B636&lt;1,B636&gt;5,B636&lt;&gt;INT(B636)),"违规：加仓序号须为1到5的整数",IF(COUNTIFS($A$2:$A$1001,A636,$B$2:$B$1001,B636)&gt;1,"违规：同一交易的加仓序号重复",IF(OR(D636="",E636="",F636=""),"计划不完整：请填写加仓价、新止损价和风险预算",IF(OR(D636&lt;=0,E636&lt;=0,F636&lt;=0,D636&lt;=E636),"违规：加仓价必须高于新止损价，金额须大于0",IF(AND(B636&gt;1,COUNTIFS($A$2:$A$1001,A636,$B$2:$B$1001,B636-1,$G$2:$G$1001,"&gt;0")=0),"违规：须先完成上一次加仓",IF(AND(B636&gt;1,E636&lt;SUMIFS($E$2:$E$1001,$A$2:$A$1001,A636,$B$2:$B$1001,B636-1)),"违规：新止损价不得低于上一次",IF(AND(B636&gt;1,F636&gt;SUMIFS($F$2:$F$1001,$A$2:$A$1001,A636,$B$2:$B$1001,B636-1)),"违规：风险预算须逐次不增加",IF(OR(_LockStatus="已锁仓",_LockStatus="解锁信息不完整"),"违规：锁仓期间禁止加仓",IF(G636="","计划可执行：建议股数见N列",IF(OR(G636&lt;=0,G636&lt;&gt;INT(G636),MOD(G636,100)&lt;&gt;0),"违规：实际股数须为100股整数倍",IF(G636&gt;N636,"违规：实际股数超过风险或金字塔上限",IF(AND(B636&gt;1,G636&gt;SUMIFS($G$2:$G$1001,$A$2:$A$1001,A636,$B$2:$B$1001,B636-1)),"违规：加仓股数须逐次不增加",IF(Q636&gt;F636,"违规：止损风险超过本次预算","通过")))))))))))))))</f>
        <v/>
      </c>
    </row>
    <row r="637" ht="17" spans="1:18">
      <c r="A637" s="13"/>
      <c r="B637" s="14"/>
      <c r="C637" s="15"/>
      <c r="D637" s="16"/>
      <c r="E637" s="16"/>
      <c r="F637" s="16"/>
      <c r="G637" s="14"/>
      <c r="H637" s="17" t="str">
        <f t="shared" si="72"/>
        <v/>
      </c>
      <c r="I637" s="18" t="str">
        <f>IF(OR(A637="",B637=""),"",IFERROR(LOOKUP(2,1/(单次交易!$A$2:$A$201=A637),单次交易!$H$2:$H$201),0)+SUMIFS($G$2:$G$1001,$A$2:$A$1001,A637,$B$2:$B$1001,"&lt;"&amp;B637))</f>
        <v/>
      </c>
      <c r="J637" s="17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17" t="str">
        <f t="shared" si="73"/>
        <v/>
      </c>
      <c r="L637" s="18" t="str">
        <f t="shared" si="74"/>
        <v/>
      </c>
      <c r="M637" s="18" t="str">
        <f t="shared" si="75"/>
        <v/>
      </c>
      <c r="N637" s="18" t="str">
        <f t="shared" si="76"/>
        <v/>
      </c>
      <c r="O637" s="18" t="str">
        <f t="shared" si="77"/>
        <v/>
      </c>
      <c r="P637" s="17" t="str">
        <f t="shared" si="78"/>
        <v/>
      </c>
      <c r="Q637" s="17" t="str">
        <f t="shared" si="79"/>
        <v/>
      </c>
      <c r="R637" s="19" t="str">
        <f ca="1">IF(A637="","",IF(COUNTIF(_TradeIds,A637)=0,"违规：交易编号不存在",IF(OR(B637="",B637&lt;1,B637&gt;5,B637&lt;&gt;INT(B637)),"违规：加仓序号须为1到5的整数",IF(COUNTIFS($A$2:$A$1001,A637,$B$2:$B$1001,B637)&gt;1,"违规：同一交易的加仓序号重复",IF(OR(D637="",E637="",F637=""),"计划不完整：请填写加仓价、新止损价和风险预算",IF(OR(D637&lt;=0,E637&lt;=0,F637&lt;=0,D637&lt;=E637),"违规：加仓价必须高于新止损价，金额须大于0",IF(AND(B637&gt;1,COUNTIFS($A$2:$A$1001,A637,$B$2:$B$1001,B637-1,$G$2:$G$1001,"&gt;0")=0),"违规：须先完成上一次加仓",IF(AND(B637&gt;1,E637&lt;SUMIFS($E$2:$E$1001,$A$2:$A$1001,A637,$B$2:$B$1001,B637-1)),"违规：新止损价不得低于上一次",IF(AND(B637&gt;1,F637&gt;SUMIFS($F$2:$F$1001,$A$2:$A$1001,A637,$B$2:$B$1001,B637-1)),"违规：风险预算须逐次不增加",IF(OR(_LockStatus="已锁仓",_LockStatus="解锁信息不完整"),"违规：锁仓期间禁止加仓",IF(G637="","计划可执行：建议股数见N列",IF(OR(G637&lt;=0,G637&lt;&gt;INT(G637),MOD(G637,100)&lt;&gt;0),"违规：实际股数须为100股整数倍",IF(G637&gt;N637,"违规：实际股数超过风险或金字塔上限",IF(AND(B637&gt;1,G637&gt;SUMIFS($G$2:$G$1001,$A$2:$A$1001,A637,$B$2:$B$1001,B637-1)),"违规：加仓股数须逐次不增加",IF(Q637&gt;F637,"违规：止损风险超过本次预算","通过")))))))))))))))</f>
        <v/>
      </c>
    </row>
    <row r="638" ht="17" spans="1:18">
      <c r="A638" s="13"/>
      <c r="B638" s="14"/>
      <c r="C638" s="15"/>
      <c r="D638" s="16"/>
      <c r="E638" s="16"/>
      <c r="F638" s="16"/>
      <c r="G638" s="14"/>
      <c r="H638" s="17" t="str">
        <f t="shared" si="72"/>
        <v/>
      </c>
      <c r="I638" s="18" t="str">
        <f>IF(OR(A638="",B638=""),"",IFERROR(LOOKUP(2,1/(单次交易!$A$2:$A$201=A638),单次交易!$H$2:$H$201),0)+SUMIFS($G$2:$G$1001,$A$2:$A$1001,A638,$B$2:$B$1001,"&lt;"&amp;B638))</f>
        <v/>
      </c>
      <c r="J638" s="17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17" t="str">
        <f t="shared" si="73"/>
        <v/>
      </c>
      <c r="L638" s="18" t="str">
        <f t="shared" si="74"/>
        <v/>
      </c>
      <c r="M638" s="18" t="str">
        <f t="shared" si="75"/>
        <v/>
      </c>
      <c r="N638" s="18" t="str">
        <f t="shared" si="76"/>
        <v/>
      </c>
      <c r="O638" s="18" t="str">
        <f t="shared" si="77"/>
        <v/>
      </c>
      <c r="P638" s="17" t="str">
        <f t="shared" si="78"/>
        <v/>
      </c>
      <c r="Q638" s="17" t="str">
        <f t="shared" si="79"/>
        <v/>
      </c>
      <c r="R638" s="19" t="str">
        <f ca="1">IF(A638="","",IF(COUNTIF(_TradeIds,A638)=0,"违规：交易编号不存在",IF(OR(B638="",B638&lt;1,B638&gt;5,B638&lt;&gt;INT(B638)),"违规：加仓序号须为1到5的整数",IF(COUNTIFS($A$2:$A$1001,A638,$B$2:$B$1001,B638)&gt;1,"违规：同一交易的加仓序号重复",IF(OR(D638="",E638="",F638=""),"计划不完整：请填写加仓价、新止损价和风险预算",IF(OR(D638&lt;=0,E638&lt;=0,F638&lt;=0,D638&lt;=E638),"违规：加仓价必须高于新止损价，金额须大于0",IF(AND(B638&gt;1,COUNTIFS($A$2:$A$1001,A638,$B$2:$B$1001,B638-1,$G$2:$G$1001,"&gt;0")=0),"违规：须先完成上一次加仓",IF(AND(B638&gt;1,E638&lt;SUMIFS($E$2:$E$1001,$A$2:$A$1001,A638,$B$2:$B$1001,B638-1)),"违规：新止损价不得低于上一次",IF(AND(B638&gt;1,F638&gt;SUMIFS($F$2:$F$1001,$A$2:$A$1001,A638,$B$2:$B$1001,B638-1)),"违规：风险预算须逐次不增加",IF(OR(_LockStatus="已锁仓",_LockStatus="解锁信息不完整"),"违规：锁仓期间禁止加仓",IF(G638="","计划可执行：建议股数见N列",IF(OR(G638&lt;=0,G638&lt;&gt;INT(G638),MOD(G638,100)&lt;&gt;0),"违规：实际股数须为100股整数倍",IF(G638&gt;N638,"违规：实际股数超过风险或金字塔上限",IF(AND(B638&gt;1,G638&gt;SUMIFS($G$2:$G$1001,$A$2:$A$1001,A638,$B$2:$B$1001,B638-1)),"违规：加仓股数须逐次不增加",IF(Q638&gt;F638,"违规：止损风险超过本次预算","通过")))))))))))))))</f>
        <v/>
      </c>
    </row>
    <row r="639" ht="17" spans="1:18">
      <c r="A639" s="13"/>
      <c r="B639" s="14"/>
      <c r="C639" s="15"/>
      <c r="D639" s="16"/>
      <c r="E639" s="16"/>
      <c r="F639" s="16"/>
      <c r="G639" s="14"/>
      <c r="H639" s="17" t="str">
        <f t="shared" si="72"/>
        <v/>
      </c>
      <c r="I639" s="18" t="str">
        <f>IF(OR(A639="",B639=""),"",IFERROR(LOOKUP(2,1/(单次交易!$A$2:$A$201=A639),单次交易!$H$2:$H$201),0)+SUMIFS($G$2:$G$1001,$A$2:$A$1001,A639,$B$2:$B$1001,"&lt;"&amp;B639))</f>
        <v/>
      </c>
      <c r="J639" s="17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17" t="str">
        <f t="shared" si="73"/>
        <v/>
      </c>
      <c r="L639" s="18" t="str">
        <f t="shared" si="74"/>
        <v/>
      </c>
      <c r="M639" s="18" t="str">
        <f t="shared" si="75"/>
        <v/>
      </c>
      <c r="N639" s="18" t="str">
        <f t="shared" si="76"/>
        <v/>
      </c>
      <c r="O639" s="18" t="str">
        <f t="shared" si="77"/>
        <v/>
      </c>
      <c r="P639" s="17" t="str">
        <f t="shared" si="78"/>
        <v/>
      </c>
      <c r="Q639" s="17" t="str">
        <f t="shared" si="79"/>
        <v/>
      </c>
      <c r="R639" s="19" t="str">
        <f ca="1">IF(A639="","",IF(COUNTIF(_TradeIds,A639)=0,"违规：交易编号不存在",IF(OR(B639="",B639&lt;1,B639&gt;5,B639&lt;&gt;INT(B639)),"违规：加仓序号须为1到5的整数",IF(COUNTIFS($A$2:$A$1001,A639,$B$2:$B$1001,B639)&gt;1,"违规：同一交易的加仓序号重复",IF(OR(D639="",E639="",F639=""),"计划不完整：请填写加仓价、新止损价和风险预算",IF(OR(D639&lt;=0,E639&lt;=0,F639&lt;=0,D639&lt;=E639),"违规：加仓价必须高于新止损价，金额须大于0",IF(AND(B639&gt;1,COUNTIFS($A$2:$A$1001,A639,$B$2:$B$1001,B639-1,$G$2:$G$1001,"&gt;0")=0),"违规：须先完成上一次加仓",IF(AND(B639&gt;1,E639&lt;SUMIFS($E$2:$E$1001,$A$2:$A$1001,A639,$B$2:$B$1001,B639-1)),"违规：新止损价不得低于上一次",IF(AND(B639&gt;1,F639&gt;SUMIFS($F$2:$F$1001,$A$2:$A$1001,A639,$B$2:$B$1001,B639-1)),"违规：风险预算须逐次不增加",IF(OR(_LockStatus="已锁仓",_LockStatus="解锁信息不完整"),"违规：锁仓期间禁止加仓",IF(G639="","计划可执行：建议股数见N列",IF(OR(G639&lt;=0,G639&lt;&gt;INT(G639),MOD(G639,100)&lt;&gt;0),"违规：实际股数须为100股整数倍",IF(G639&gt;N639,"违规：实际股数超过风险或金字塔上限",IF(AND(B639&gt;1,G639&gt;SUMIFS($G$2:$G$1001,$A$2:$A$1001,A639,$B$2:$B$1001,B639-1)),"违规：加仓股数须逐次不增加",IF(Q639&gt;F639,"违规：止损风险超过本次预算","通过")))))))))))))))</f>
        <v/>
      </c>
    </row>
    <row r="640" ht="17" spans="1:18">
      <c r="A640" s="13"/>
      <c r="B640" s="14"/>
      <c r="C640" s="15"/>
      <c r="D640" s="16"/>
      <c r="E640" s="16"/>
      <c r="F640" s="16"/>
      <c r="G640" s="14"/>
      <c r="H640" s="17" t="str">
        <f t="shared" si="72"/>
        <v/>
      </c>
      <c r="I640" s="18" t="str">
        <f>IF(OR(A640="",B640=""),"",IFERROR(LOOKUP(2,1/(单次交易!$A$2:$A$201=A640),单次交易!$H$2:$H$201),0)+SUMIFS($G$2:$G$1001,$A$2:$A$1001,A640,$B$2:$B$1001,"&lt;"&amp;B640))</f>
        <v/>
      </c>
      <c r="J640" s="17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17" t="str">
        <f t="shared" si="73"/>
        <v/>
      </c>
      <c r="L640" s="18" t="str">
        <f t="shared" si="74"/>
        <v/>
      </c>
      <c r="M640" s="18" t="str">
        <f t="shared" si="75"/>
        <v/>
      </c>
      <c r="N640" s="18" t="str">
        <f t="shared" si="76"/>
        <v/>
      </c>
      <c r="O640" s="18" t="str">
        <f t="shared" si="77"/>
        <v/>
      </c>
      <c r="P640" s="17" t="str">
        <f t="shared" si="78"/>
        <v/>
      </c>
      <c r="Q640" s="17" t="str">
        <f t="shared" si="79"/>
        <v/>
      </c>
      <c r="R640" s="19" t="str">
        <f ca="1">IF(A640="","",IF(COUNTIF(_TradeIds,A640)=0,"违规：交易编号不存在",IF(OR(B640="",B640&lt;1,B640&gt;5,B640&lt;&gt;INT(B640)),"违规：加仓序号须为1到5的整数",IF(COUNTIFS($A$2:$A$1001,A640,$B$2:$B$1001,B640)&gt;1,"违规：同一交易的加仓序号重复",IF(OR(D640="",E640="",F640=""),"计划不完整：请填写加仓价、新止损价和风险预算",IF(OR(D640&lt;=0,E640&lt;=0,F640&lt;=0,D640&lt;=E640),"违规：加仓价必须高于新止损价，金额须大于0",IF(AND(B640&gt;1,COUNTIFS($A$2:$A$1001,A640,$B$2:$B$1001,B640-1,$G$2:$G$1001,"&gt;0")=0),"违规：须先完成上一次加仓",IF(AND(B640&gt;1,E640&lt;SUMIFS($E$2:$E$1001,$A$2:$A$1001,A640,$B$2:$B$1001,B640-1)),"违规：新止损价不得低于上一次",IF(AND(B640&gt;1,F640&gt;SUMIFS($F$2:$F$1001,$A$2:$A$1001,A640,$B$2:$B$1001,B640-1)),"违规：风险预算须逐次不增加",IF(OR(_LockStatus="已锁仓",_LockStatus="解锁信息不完整"),"违规：锁仓期间禁止加仓",IF(G640="","计划可执行：建议股数见N列",IF(OR(G640&lt;=0,G640&lt;&gt;INT(G640),MOD(G640,100)&lt;&gt;0),"违规：实际股数须为100股整数倍",IF(G640&gt;N640,"违规：实际股数超过风险或金字塔上限",IF(AND(B640&gt;1,G640&gt;SUMIFS($G$2:$G$1001,$A$2:$A$1001,A640,$B$2:$B$1001,B640-1)),"违规：加仓股数须逐次不增加",IF(Q640&gt;F640,"违规：止损风险超过本次预算","通过")))))))))))))))</f>
        <v/>
      </c>
    </row>
    <row r="641" ht="17" spans="1:18">
      <c r="A641" s="13"/>
      <c r="B641" s="14"/>
      <c r="C641" s="15"/>
      <c r="D641" s="16"/>
      <c r="E641" s="16"/>
      <c r="F641" s="16"/>
      <c r="G641" s="14"/>
      <c r="H641" s="17" t="str">
        <f t="shared" si="72"/>
        <v/>
      </c>
      <c r="I641" s="18" t="str">
        <f>IF(OR(A641="",B641=""),"",IFERROR(LOOKUP(2,1/(单次交易!$A$2:$A$201=A641),单次交易!$H$2:$H$201),0)+SUMIFS($G$2:$G$1001,$A$2:$A$1001,A641,$B$2:$B$1001,"&lt;"&amp;B641))</f>
        <v/>
      </c>
      <c r="J641" s="17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17" t="str">
        <f t="shared" si="73"/>
        <v/>
      </c>
      <c r="L641" s="18" t="str">
        <f t="shared" si="74"/>
        <v/>
      </c>
      <c r="M641" s="18" t="str">
        <f t="shared" si="75"/>
        <v/>
      </c>
      <c r="N641" s="18" t="str">
        <f t="shared" si="76"/>
        <v/>
      </c>
      <c r="O641" s="18" t="str">
        <f t="shared" si="77"/>
        <v/>
      </c>
      <c r="P641" s="17" t="str">
        <f t="shared" si="78"/>
        <v/>
      </c>
      <c r="Q641" s="17" t="str">
        <f t="shared" si="79"/>
        <v/>
      </c>
      <c r="R641" s="19" t="str">
        <f ca="1">IF(A641="","",IF(COUNTIF(_TradeIds,A641)=0,"违规：交易编号不存在",IF(OR(B641="",B641&lt;1,B641&gt;5,B641&lt;&gt;INT(B641)),"违规：加仓序号须为1到5的整数",IF(COUNTIFS($A$2:$A$1001,A641,$B$2:$B$1001,B641)&gt;1,"违规：同一交易的加仓序号重复",IF(OR(D641="",E641="",F641=""),"计划不完整：请填写加仓价、新止损价和风险预算",IF(OR(D641&lt;=0,E641&lt;=0,F641&lt;=0,D641&lt;=E641),"违规：加仓价必须高于新止损价，金额须大于0",IF(AND(B641&gt;1,COUNTIFS($A$2:$A$1001,A641,$B$2:$B$1001,B641-1,$G$2:$G$1001,"&gt;0")=0),"违规：须先完成上一次加仓",IF(AND(B641&gt;1,E641&lt;SUMIFS($E$2:$E$1001,$A$2:$A$1001,A641,$B$2:$B$1001,B641-1)),"违规：新止损价不得低于上一次",IF(AND(B641&gt;1,F641&gt;SUMIFS($F$2:$F$1001,$A$2:$A$1001,A641,$B$2:$B$1001,B641-1)),"违规：风险预算须逐次不增加",IF(OR(_LockStatus="已锁仓",_LockStatus="解锁信息不完整"),"违规：锁仓期间禁止加仓",IF(G641="","计划可执行：建议股数见N列",IF(OR(G641&lt;=0,G641&lt;&gt;INT(G641),MOD(G641,100)&lt;&gt;0),"违规：实际股数须为100股整数倍",IF(G641&gt;N641,"违规：实际股数超过风险或金字塔上限",IF(AND(B641&gt;1,G641&gt;SUMIFS($G$2:$G$1001,$A$2:$A$1001,A641,$B$2:$B$1001,B641-1)),"违规：加仓股数须逐次不增加",IF(Q641&gt;F641,"违规：止损风险超过本次预算","通过")))))))))))))))</f>
        <v/>
      </c>
    </row>
    <row r="642" ht="17" spans="1:18">
      <c r="A642" s="13"/>
      <c r="B642" s="14"/>
      <c r="C642" s="15"/>
      <c r="D642" s="16"/>
      <c r="E642" s="16"/>
      <c r="F642" s="16"/>
      <c r="G642" s="14"/>
      <c r="H642" s="17" t="str">
        <f t="shared" ref="H642:H705" si="80">IF(OR(A642="",D642="",G642=""),"",D642*G642)</f>
        <v/>
      </c>
      <c r="I642" s="18" t="str">
        <f>IF(OR(A642="",B642=""),"",IFERROR(LOOKUP(2,1/(单次交易!$A$2:$A$201=A642),单次交易!$H$2:$H$201),0)+SUMIFS($G$2:$G$1001,$A$2:$A$1001,A642,$B$2:$B$1001,"&lt;"&amp;B642))</f>
        <v/>
      </c>
      <c r="J642" s="17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17" t="str">
        <f t="shared" ref="K642:K705" si="81">IF(OR(E642="",I642="",J642=""),"",MAX(E642*I642-J642,0))</f>
        <v/>
      </c>
      <c r="L642" s="18" t="str">
        <f t="shared" ref="L642:L705" si="82">IF(OR(D642="",E642="",F642="",D642&lt;=E642),"",FLOOR((F642+K642)/(D642-E642),100))</f>
        <v/>
      </c>
      <c r="M642" s="18" t="str">
        <f t="shared" ref="M642:M705" si="83">IF(OR(A642="",B642="",L642=""),"",IF(B642=1,L642,IFERROR(SUMIFS($G$2:$G$1001,$A$2:$A$1001,A642,$B$2:$B$1001,B642-1),0)))</f>
        <v/>
      </c>
      <c r="N642" s="18" t="str">
        <f t="shared" ref="N642:N705" si="84">IF(OR(L642="",M642=""),"",MIN(L642,M642))</f>
        <v/>
      </c>
      <c r="O642" s="18" t="str">
        <f t="shared" ref="O642:O705" si="85">IF(OR(I642="",G642=""),"",I642+G642)</f>
        <v/>
      </c>
      <c r="P642" s="17" t="str">
        <f t="shared" ref="P642:P705" si="86">IF(OR(O642="",O642=0),"",(J642+H642)/O642)</f>
        <v/>
      </c>
      <c r="Q642" s="17" t="str">
        <f t="shared" ref="Q642:Q705" si="87">IF(OR(O642="",E642=""),"",MAX(J642+H642-E642*O642,0))</f>
        <v/>
      </c>
      <c r="R642" s="19" t="str">
        <f ca="1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ht="17" spans="1:18">
      <c r="A643" s="13"/>
      <c r="B643" s="14"/>
      <c r="C643" s="15"/>
      <c r="D643" s="16"/>
      <c r="E643" s="16"/>
      <c r="F643" s="16"/>
      <c r="G643" s="14"/>
      <c r="H643" s="17" t="str">
        <f t="shared" si="80"/>
        <v/>
      </c>
      <c r="I643" s="18" t="str">
        <f>IF(OR(A643="",B643=""),"",IFERROR(LOOKUP(2,1/(单次交易!$A$2:$A$201=A643),单次交易!$H$2:$H$201),0)+SUMIFS($G$2:$G$1001,$A$2:$A$1001,A643,$B$2:$B$1001,"&lt;"&amp;B643))</f>
        <v/>
      </c>
      <c r="J643" s="17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17" t="str">
        <f t="shared" si="81"/>
        <v/>
      </c>
      <c r="L643" s="18" t="str">
        <f t="shared" si="82"/>
        <v/>
      </c>
      <c r="M643" s="18" t="str">
        <f t="shared" si="83"/>
        <v/>
      </c>
      <c r="N643" s="18" t="str">
        <f t="shared" si="84"/>
        <v/>
      </c>
      <c r="O643" s="18" t="str">
        <f t="shared" si="85"/>
        <v/>
      </c>
      <c r="P643" s="17" t="str">
        <f t="shared" si="86"/>
        <v/>
      </c>
      <c r="Q643" s="17" t="str">
        <f t="shared" si="87"/>
        <v/>
      </c>
      <c r="R643" s="19" t="str">
        <f ca="1">IF(A643="","",IF(COUNTIF(_TradeIds,A643)=0,"违规：交易编号不存在",IF(OR(B643="",B643&lt;1,B643&gt;5,B643&lt;&gt;INT(B643)),"违规：加仓序号须为1到5的整数",IF(COUNTIFS($A$2:$A$1001,A643,$B$2:$B$1001,B643)&gt;1,"违规：同一交易的加仓序号重复",IF(OR(D643="",E643="",F643=""),"计划不完整：请填写加仓价、新止损价和风险预算",IF(OR(D643&lt;=0,E643&lt;=0,F643&lt;=0,D643&lt;=E643),"违规：加仓价必须高于新止损价，金额须大于0",IF(AND(B643&gt;1,COUNTIFS($A$2:$A$1001,A643,$B$2:$B$1001,B643-1,$G$2:$G$1001,"&gt;0")=0),"违规：须先完成上一次加仓",IF(AND(B643&gt;1,E643&lt;SUMIFS($E$2:$E$1001,$A$2:$A$1001,A643,$B$2:$B$1001,B643-1)),"违规：新止损价不得低于上一次",IF(AND(B643&gt;1,F643&gt;SUMIFS($F$2:$F$1001,$A$2:$A$1001,A643,$B$2:$B$1001,B643-1)),"违规：风险预算须逐次不增加",IF(OR(_LockStatus="已锁仓",_LockStatus="解锁信息不完整"),"违规：锁仓期间禁止加仓",IF(G643="","计划可执行：建议股数见N列",IF(OR(G643&lt;=0,G643&lt;&gt;INT(G643),MOD(G643,100)&lt;&gt;0),"违规：实际股数须为100股整数倍",IF(G643&gt;N643,"违规：实际股数超过风险或金字塔上限",IF(AND(B643&gt;1,G643&gt;SUMIFS($G$2:$G$1001,$A$2:$A$1001,A643,$B$2:$B$1001,B643-1)),"违规：加仓股数须逐次不增加",IF(Q643&gt;F643,"违规：止损风险超过本次预算","通过")))))))))))))))</f>
        <v/>
      </c>
    </row>
    <row r="644" ht="17" spans="1:18">
      <c r="A644" s="13"/>
      <c r="B644" s="14"/>
      <c r="C644" s="15"/>
      <c r="D644" s="16"/>
      <c r="E644" s="16"/>
      <c r="F644" s="16"/>
      <c r="G644" s="14"/>
      <c r="H644" s="17" t="str">
        <f t="shared" si="80"/>
        <v/>
      </c>
      <c r="I644" s="18" t="str">
        <f>IF(OR(A644="",B644=""),"",IFERROR(LOOKUP(2,1/(单次交易!$A$2:$A$201=A644),单次交易!$H$2:$H$201),0)+SUMIFS($G$2:$G$1001,$A$2:$A$1001,A644,$B$2:$B$1001,"&lt;"&amp;B644))</f>
        <v/>
      </c>
      <c r="J644" s="17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17" t="str">
        <f t="shared" si="81"/>
        <v/>
      </c>
      <c r="L644" s="18" t="str">
        <f t="shared" si="82"/>
        <v/>
      </c>
      <c r="M644" s="18" t="str">
        <f t="shared" si="83"/>
        <v/>
      </c>
      <c r="N644" s="18" t="str">
        <f t="shared" si="84"/>
        <v/>
      </c>
      <c r="O644" s="18" t="str">
        <f t="shared" si="85"/>
        <v/>
      </c>
      <c r="P644" s="17" t="str">
        <f t="shared" si="86"/>
        <v/>
      </c>
      <c r="Q644" s="17" t="str">
        <f t="shared" si="87"/>
        <v/>
      </c>
      <c r="R644" s="19" t="str">
        <f ca="1">IF(A644="","",IF(COUNTIF(_TradeIds,A644)=0,"违规：交易编号不存在",IF(OR(B644="",B644&lt;1,B644&gt;5,B644&lt;&gt;INT(B644)),"违规：加仓序号须为1到5的整数",IF(COUNTIFS($A$2:$A$1001,A644,$B$2:$B$1001,B644)&gt;1,"违规：同一交易的加仓序号重复",IF(OR(D644="",E644="",F644=""),"计划不完整：请填写加仓价、新止损价和风险预算",IF(OR(D644&lt;=0,E644&lt;=0,F644&lt;=0,D644&lt;=E644),"违规：加仓价必须高于新止损价，金额须大于0",IF(AND(B644&gt;1,COUNTIFS($A$2:$A$1001,A644,$B$2:$B$1001,B644-1,$G$2:$G$1001,"&gt;0")=0),"违规：须先完成上一次加仓",IF(AND(B644&gt;1,E644&lt;SUMIFS($E$2:$E$1001,$A$2:$A$1001,A644,$B$2:$B$1001,B644-1)),"违规：新止损价不得低于上一次",IF(AND(B644&gt;1,F644&gt;SUMIFS($F$2:$F$1001,$A$2:$A$1001,A644,$B$2:$B$1001,B644-1)),"违规：风险预算须逐次不增加",IF(OR(_LockStatus="已锁仓",_LockStatus="解锁信息不完整"),"违规：锁仓期间禁止加仓",IF(G644="","计划可执行：建议股数见N列",IF(OR(G644&lt;=0,G644&lt;&gt;INT(G644),MOD(G644,100)&lt;&gt;0),"违规：实际股数须为100股整数倍",IF(G644&gt;N644,"违规：实际股数超过风险或金字塔上限",IF(AND(B644&gt;1,G644&gt;SUMIFS($G$2:$G$1001,$A$2:$A$1001,A644,$B$2:$B$1001,B644-1)),"违规：加仓股数须逐次不增加",IF(Q644&gt;F644,"违规：止损风险超过本次预算","通过")))))))))))))))</f>
        <v/>
      </c>
    </row>
    <row r="645" ht="17" spans="1:18">
      <c r="A645" s="13"/>
      <c r="B645" s="14"/>
      <c r="C645" s="15"/>
      <c r="D645" s="16"/>
      <c r="E645" s="16"/>
      <c r="F645" s="16"/>
      <c r="G645" s="14"/>
      <c r="H645" s="17" t="str">
        <f t="shared" si="80"/>
        <v/>
      </c>
      <c r="I645" s="18" t="str">
        <f>IF(OR(A645="",B645=""),"",IFERROR(LOOKUP(2,1/(单次交易!$A$2:$A$201=A645),单次交易!$H$2:$H$201),0)+SUMIFS($G$2:$G$1001,$A$2:$A$1001,A645,$B$2:$B$1001,"&lt;"&amp;B645))</f>
        <v/>
      </c>
      <c r="J645" s="17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17" t="str">
        <f t="shared" si="81"/>
        <v/>
      </c>
      <c r="L645" s="18" t="str">
        <f t="shared" si="82"/>
        <v/>
      </c>
      <c r="M645" s="18" t="str">
        <f t="shared" si="83"/>
        <v/>
      </c>
      <c r="N645" s="18" t="str">
        <f t="shared" si="84"/>
        <v/>
      </c>
      <c r="O645" s="18" t="str">
        <f t="shared" si="85"/>
        <v/>
      </c>
      <c r="P645" s="17" t="str">
        <f t="shared" si="86"/>
        <v/>
      </c>
      <c r="Q645" s="17" t="str">
        <f t="shared" si="87"/>
        <v/>
      </c>
      <c r="R645" s="19" t="str">
        <f ca="1">IF(A645="","",IF(COUNTIF(_TradeIds,A645)=0,"违规：交易编号不存在",IF(OR(B645="",B645&lt;1,B645&gt;5,B645&lt;&gt;INT(B645)),"违规：加仓序号须为1到5的整数",IF(COUNTIFS($A$2:$A$1001,A645,$B$2:$B$1001,B645)&gt;1,"违规：同一交易的加仓序号重复",IF(OR(D645="",E645="",F645=""),"计划不完整：请填写加仓价、新止损价和风险预算",IF(OR(D645&lt;=0,E645&lt;=0,F645&lt;=0,D645&lt;=E645),"违规：加仓价必须高于新止损价，金额须大于0",IF(AND(B645&gt;1,COUNTIFS($A$2:$A$1001,A645,$B$2:$B$1001,B645-1,$G$2:$G$1001,"&gt;0")=0),"违规：须先完成上一次加仓",IF(AND(B645&gt;1,E645&lt;SUMIFS($E$2:$E$1001,$A$2:$A$1001,A645,$B$2:$B$1001,B645-1)),"违规：新止损价不得低于上一次",IF(AND(B645&gt;1,F645&gt;SUMIFS($F$2:$F$1001,$A$2:$A$1001,A645,$B$2:$B$1001,B645-1)),"违规：风险预算须逐次不增加",IF(OR(_LockStatus="已锁仓",_LockStatus="解锁信息不完整"),"违规：锁仓期间禁止加仓",IF(G645="","计划可执行：建议股数见N列",IF(OR(G645&lt;=0,G645&lt;&gt;INT(G645),MOD(G645,100)&lt;&gt;0),"违规：实际股数须为100股整数倍",IF(G645&gt;N645,"违规：实际股数超过风险或金字塔上限",IF(AND(B645&gt;1,G645&gt;SUMIFS($G$2:$G$1001,$A$2:$A$1001,A645,$B$2:$B$1001,B645-1)),"违规：加仓股数须逐次不增加",IF(Q645&gt;F645,"违规：止损风险超过本次预算","通过")))))))))))))))</f>
        <v/>
      </c>
    </row>
    <row r="646" ht="17" spans="1:18">
      <c r="A646" s="13"/>
      <c r="B646" s="14"/>
      <c r="C646" s="15"/>
      <c r="D646" s="16"/>
      <c r="E646" s="16"/>
      <c r="F646" s="16"/>
      <c r="G646" s="14"/>
      <c r="H646" s="17" t="str">
        <f t="shared" si="80"/>
        <v/>
      </c>
      <c r="I646" s="18" t="str">
        <f>IF(OR(A646="",B646=""),"",IFERROR(LOOKUP(2,1/(单次交易!$A$2:$A$201=A646),单次交易!$H$2:$H$201),0)+SUMIFS($G$2:$G$1001,$A$2:$A$1001,A646,$B$2:$B$1001,"&lt;"&amp;B646))</f>
        <v/>
      </c>
      <c r="J646" s="17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17" t="str">
        <f t="shared" si="81"/>
        <v/>
      </c>
      <c r="L646" s="18" t="str">
        <f t="shared" si="82"/>
        <v/>
      </c>
      <c r="M646" s="18" t="str">
        <f t="shared" si="83"/>
        <v/>
      </c>
      <c r="N646" s="18" t="str">
        <f t="shared" si="84"/>
        <v/>
      </c>
      <c r="O646" s="18" t="str">
        <f t="shared" si="85"/>
        <v/>
      </c>
      <c r="P646" s="17" t="str">
        <f t="shared" si="86"/>
        <v/>
      </c>
      <c r="Q646" s="17" t="str">
        <f t="shared" si="87"/>
        <v/>
      </c>
      <c r="R646" s="19" t="str">
        <f ca="1">IF(A646="","",IF(COUNTIF(_TradeIds,A646)=0,"违规：交易编号不存在",IF(OR(B646="",B646&lt;1,B646&gt;5,B646&lt;&gt;INT(B646)),"违规：加仓序号须为1到5的整数",IF(COUNTIFS($A$2:$A$1001,A646,$B$2:$B$1001,B646)&gt;1,"违规：同一交易的加仓序号重复",IF(OR(D646="",E646="",F646=""),"计划不完整：请填写加仓价、新止损价和风险预算",IF(OR(D646&lt;=0,E646&lt;=0,F646&lt;=0,D646&lt;=E646),"违规：加仓价必须高于新止损价，金额须大于0",IF(AND(B646&gt;1,COUNTIFS($A$2:$A$1001,A646,$B$2:$B$1001,B646-1,$G$2:$G$1001,"&gt;0")=0),"违规：须先完成上一次加仓",IF(AND(B646&gt;1,E646&lt;SUMIFS($E$2:$E$1001,$A$2:$A$1001,A646,$B$2:$B$1001,B646-1)),"违规：新止损价不得低于上一次",IF(AND(B646&gt;1,F646&gt;SUMIFS($F$2:$F$1001,$A$2:$A$1001,A646,$B$2:$B$1001,B646-1)),"违规：风险预算须逐次不增加",IF(OR(_LockStatus="已锁仓",_LockStatus="解锁信息不完整"),"违规：锁仓期间禁止加仓",IF(G646="","计划可执行：建议股数见N列",IF(OR(G646&lt;=0,G646&lt;&gt;INT(G646),MOD(G646,100)&lt;&gt;0),"违规：实际股数须为100股整数倍",IF(G646&gt;N646,"违规：实际股数超过风险或金字塔上限",IF(AND(B646&gt;1,G646&gt;SUMIFS($G$2:$G$1001,$A$2:$A$1001,A646,$B$2:$B$1001,B646-1)),"违规：加仓股数须逐次不增加",IF(Q646&gt;F646,"违规：止损风险超过本次预算","通过")))))))))))))))</f>
        <v/>
      </c>
    </row>
    <row r="647" ht="17" spans="1:18">
      <c r="A647" s="13"/>
      <c r="B647" s="14"/>
      <c r="C647" s="15"/>
      <c r="D647" s="16"/>
      <c r="E647" s="16"/>
      <c r="F647" s="16"/>
      <c r="G647" s="14"/>
      <c r="H647" s="17" t="str">
        <f t="shared" si="80"/>
        <v/>
      </c>
      <c r="I647" s="18" t="str">
        <f>IF(OR(A647="",B647=""),"",IFERROR(LOOKUP(2,1/(单次交易!$A$2:$A$201=A647),单次交易!$H$2:$H$201),0)+SUMIFS($G$2:$G$1001,$A$2:$A$1001,A647,$B$2:$B$1001,"&lt;"&amp;B647))</f>
        <v/>
      </c>
      <c r="J647" s="17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17" t="str">
        <f t="shared" si="81"/>
        <v/>
      </c>
      <c r="L647" s="18" t="str">
        <f t="shared" si="82"/>
        <v/>
      </c>
      <c r="M647" s="18" t="str">
        <f t="shared" si="83"/>
        <v/>
      </c>
      <c r="N647" s="18" t="str">
        <f t="shared" si="84"/>
        <v/>
      </c>
      <c r="O647" s="18" t="str">
        <f t="shared" si="85"/>
        <v/>
      </c>
      <c r="P647" s="17" t="str">
        <f t="shared" si="86"/>
        <v/>
      </c>
      <c r="Q647" s="17" t="str">
        <f t="shared" si="87"/>
        <v/>
      </c>
      <c r="R647" s="19" t="str">
        <f ca="1">IF(A647="","",IF(COUNTIF(_TradeIds,A647)=0,"违规：交易编号不存在",IF(OR(B647="",B647&lt;1,B647&gt;5,B647&lt;&gt;INT(B647)),"违规：加仓序号须为1到5的整数",IF(COUNTIFS($A$2:$A$1001,A647,$B$2:$B$1001,B647)&gt;1,"违规：同一交易的加仓序号重复",IF(OR(D647="",E647="",F647=""),"计划不完整：请填写加仓价、新止损价和风险预算",IF(OR(D647&lt;=0,E647&lt;=0,F647&lt;=0,D647&lt;=E647),"违规：加仓价必须高于新止损价，金额须大于0",IF(AND(B647&gt;1,COUNTIFS($A$2:$A$1001,A647,$B$2:$B$1001,B647-1,$G$2:$G$1001,"&gt;0")=0),"违规：须先完成上一次加仓",IF(AND(B647&gt;1,E647&lt;SUMIFS($E$2:$E$1001,$A$2:$A$1001,A647,$B$2:$B$1001,B647-1)),"违规：新止损价不得低于上一次",IF(AND(B647&gt;1,F647&gt;SUMIFS($F$2:$F$1001,$A$2:$A$1001,A647,$B$2:$B$1001,B647-1)),"违规：风险预算须逐次不增加",IF(OR(_LockStatus="已锁仓",_LockStatus="解锁信息不完整"),"违规：锁仓期间禁止加仓",IF(G647="","计划可执行：建议股数见N列",IF(OR(G647&lt;=0,G647&lt;&gt;INT(G647),MOD(G647,100)&lt;&gt;0),"违规：实际股数须为100股整数倍",IF(G647&gt;N647,"违规：实际股数超过风险或金字塔上限",IF(AND(B647&gt;1,G647&gt;SUMIFS($G$2:$G$1001,$A$2:$A$1001,A647,$B$2:$B$1001,B647-1)),"违规：加仓股数须逐次不增加",IF(Q647&gt;F647,"违规：止损风险超过本次预算","通过")))))))))))))))</f>
        <v/>
      </c>
    </row>
    <row r="648" ht="17" spans="1:18">
      <c r="A648" s="13"/>
      <c r="B648" s="14"/>
      <c r="C648" s="15"/>
      <c r="D648" s="16"/>
      <c r="E648" s="16"/>
      <c r="F648" s="16"/>
      <c r="G648" s="14"/>
      <c r="H648" s="17" t="str">
        <f t="shared" si="80"/>
        <v/>
      </c>
      <c r="I648" s="18" t="str">
        <f>IF(OR(A648="",B648=""),"",IFERROR(LOOKUP(2,1/(单次交易!$A$2:$A$201=A648),单次交易!$H$2:$H$201),0)+SUMIFS($G$2:$G$1001,$A$2:$A$1001,A648,$B$2:$B$1001,"&lt;"&amp;B648))</f>
        <v/>
      </c>
      <c r="J648" s="17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17" t="str">
        <f t="shared" si="81"/>
        <v/>
      </c>
      <c r="L648" s="18" t="str">
        <f t="shared" si="82"/>
        <v/>
      </c>
      <c r="M648" s="18" t="str">
        <f t="shared" si="83"/>
        <v/>
      </c>
      <c r="N648" s="18" t="str">
        <f t="shared" si="84"/>
        <v/>
      </c>
      <c r="O648" s="18" t="str">
        <f t="shared" si="85"/>
        <v/>
      </c>
      <c r="P648" s="17" t="str">
        <f t="shared" si="86"/>
        <v/>
      </c>
      <c r="Q648" s="17" t="str">
        <f t="shared" si="87"/>
        <v/>
      </c>
      <c r="R648" s="19" t="str">
        <f ca="1">IF(A648="","",IF(COUNTIF(_TradeIds,A648)=0,"违规：交易编号不存在",IF(OR(B648="",B648&lt;1,B648&gt;5,B648&lt;&gt;INT(B648)),"违规：加仓序号须为1到5的整数",IF(COUNTIFS($A$2:$A$1001,A648,$B$2:$B$1001,B648)&gt;1,"违规：同一交易的加仓序号重复",IF(OR(D648="",E648="",F648=""),"计划不完整：请填写加仓价、新止损价和风险预算",IF(OR(D648&lt;=0,E648&lt;=0,F648&lt;=0,D648&lt;=E648),"违规：加仓价必须高于新止损价，金额须大于0",IF(AND(B648&gt;1,COUNTIFS($A$2:$A$1001,A648,$B$2:$B$1001,B648-1,$G$2:$G$1001,"&gt;0")=0),"违规：须先完成上一次加仓",IF(AND(B648&gt;1,E648&lt;SUMIFS($E$2:$E$1001,$A$2:$A$1001,A648,$B$2:$B$1001,B648-1)),"违规：新止损价不得低于上一次",IF(AND(B648&gt;1,F648&gt;SUMIFS($F$2:$F$1001,$A$2:$A$1001,A648,$B$2:$B$1001,B648-1)),"违规：风险预算须逐次不增加",IF(OR(_LockStatus="已锁仓",_LockStatus="解锁信息不完整"),"违规：锁仓期间禁止加仓",IF(G648="","计划可执行：建议股数见N列",IF(OR(G648&lt;=0,G648&lt;&gt;INT(G648),MOD(G648,100)&lt;&gt;0),"违规：实际股数须为100股整数倍",IF(G648&gt;N648,"违规：实际股数超过风险或金字塔上限",IF(AND(B648&gt;1,G648&gt;SUMIFS($G$2:$G$1001,$A$2:$A$1001,A648,$B$2:$B$1001,B648-1)),"违规：加仓股数须逐次不增加",IF(Q648&gt;F648,"违规：止损风险超过本次预算","通过")))))))))))))))</f>
        <v/>
      </c>
    </row>
    <row r="649" ht="17" spans="1:18">
      <c r="A649" s="13"/>
      <c r="B649" s="14"/>
      <c r="C649" s="15"/>
      <c r="D649" s="16"/>
      <c r="E649" s="16"/>
      <c r="F649" s="16"/>
      <c r="G649" s="14"/>
      <c r="H649" s="17" t="str">
        <f t="shared" si="80"/>
        <v/>
      </c>
      <c r="I649" s="18" t="str">
        <f>IF(OR(A649="",B649=""),"",IFERROR(LOOKUP(2,1/(单次交易!$A$2:$A$201=A649),单次交易!$H$2:$H$201),0)+SUMIFS($G$2:$G$1001,$A$2:$A$1001,A649,$B$2:$B$1001,"&lt;"&amp;B649))</f>
        <v/>
      </c>
      <c r="J649" s="17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17" t="str">
        <f t="shared" si="81"/>
        <v/>
      </c>
      <c r="L649" s="18" t="str">
        <f t="shared" si="82"/>
        <v/>
      </c>
      <c r="M649" s="18" t="str">
        <f t="shared" si="83"/>
        <v/>
      </c>
      <c r="N649" s="18" t="str">
        <f t="shared" si="84"/>
        <v/>
      </c>
      <c r="O649" s="18" t="str">
        <f t="shared" si="85"/>
        <v/>
      </c>
      <c r="P649" s="17" t="str">
        <f t="shared" si="86"/>
        <v/>
      </c>
      <c r="Q649" s="17" t="str">
        <f t="shared" si="87"/>
        <v/>
      </c>
      <c r="R649" s="19" t="str">
        <f ca="1">IF(A649="","",IF(COUNTIF(_TradeIds,A649)=0,"违规：交易编号不存在",IF(OR(B649="",B649&lt;1,B649&gt;5,B649&lt;&gt;INT(B649)),"违规：加仓序号须为1到5的整数",IF(COUNTIFS($A$2:$A$1001,A649,$B$2:$B$1001,B649)&gt;1,"违规：同一交易的加仓序号重复",IF(OR(D649="",E649="",F649=""),"计划不完整：请填写加仓价、新止损价和风险预算",IF(OR(D649&lt;=0,E649&lt;=0,F649&lt;=0,D649&lt;=E649),"违规：加仓价必须高于新止损价，金额须大于0",IF(AND(B649&gt;1,COUNTIFS($A$2:$A$1001,A649,$B$2:$B$1001,B649-1,$G$2:$G$1001,"&gt;0")=0),"违规：须先完成上一次加仓",IF(AND(B649&gt;1,E649&lt;SUMIFS($E$2:$E$1001,$A$2:$A$1001,A649,$B$2:$B$1001,B649-1)),"违规：新止损价不得低于上一次",IF(AND(B649&gt;1,F649&gt;SUMIFS($F$2:$F$1001,$A$2:$A$1001,A649,$B$2:$B$1001,B649-1)),"违规：风险预算须逐次不增加",IF(OR(_LockStatus="已锁仓",_LockStatus="解锁信息不完整"),"违规：锁仓期间禁止加仓",IF(G649="","计划可执行：建议股数见N列",IF(OR(G649&lt;=0,G649&lt;&gt;INT(G649),MOD(G649,100)&lt;&gt;0),"违规：实际股数须为100股整数倍",IF(G649&gt;N649,"违规：实际股数超过风险或金字塔上限",IF(AND(B649&gt;1,G649&gt;SUMIFS($G$2:$G$1001,$A$2:$A$1001,A649,$B$2:$B$1001,B649-1)),"违规：加仓股数须逐次不增加",IF(Q649&gt;F649,"违规：止损风险超过本次预算","通过")))))))))))))))</f>
        <v/>
      </c>
    </row>
    <row r="650" ht="17" spans="1:18">
      <c r="A650" s="13"/>
      <c r="B650" s="14"/>
      <c r="C650" s="15"/>
      <c r="D650" s="16"/>
      <c r="E650" s="16"/>
      <c r="F650" s="16"/>
      <c r="G650" s="14"/>
      <c r="H650" s="17" t="str">
        <f t="shared" si="80"/>
        <v/>
      </c>
      <c r="I650" s="18" t="str">
        <f>IF(OR(A650="",B650=""),"",IFERROR(LOOKUP(2,1/(单次交易!$A$2:$A$201=A650),单次交易!$H$2:$H$201),0)+SUMIFS($G$2:$G$1001,$A$2:$A$1001,A650,$B$2:$B$1001,"&lt;"&amp;B650))</f>
        <v/>
      </c>
      <c r="J650" s="17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17" t="str">
        <f t="shared" si="81"/>
        <v/>
      </c>
      <c r="L650" s="18" t="str">
        <f t="shared" si="82"/>
        <v/>
      </c>
      <c r="M650" s="18" t="str">
        <f t="shared" si="83"/>
        <v/>
      </c>
      <c r="N650" s="18" t="str">
        <f t="shared" si="84"/>
        <v/>
      </c>
      <c r="O650" s="18" t="str">
        <f t="shared" si="85"/>
        <v/>
      </c>
      <c r="P650" s="17" t="str">
        <f t="shared" si="86"/>
        <v/>
      </c>
      <c r="Q650" s="17" t="str">
        <f t="shared" si="87"/>
        <v/>
      </c>
      <c r="R650" s="19" t="str">
        <f ca="1">IF(A650="","",IF(COUNTIF(_TradeIds,A650)=0,"违规：交易编号不存在",IF(OR(B650="",B650&lt;1,B650&gt;5,B650&lt;&gt;INT(B650)),"违规：加仓序号须为1到5的整数",IF(COUNTIFS($A$2:$A$1001,A650,$B$2:$B$1001,B650)&gt;1,"违规：同一交易的加仓序号重复",IF(OR(D650="",E650="",F650=""),"计划不完整：请填写加仓价、新止损价和风险预算",IF(OR(D650&lt;=0,E650&lt;=0,F650&lt;=0,D650&lt;=E650),"违规：加仓价必须高于新止损价，金额须大于0",IF(AND(B650&gt;1,COUNTIFS($A$2:$A$1001,A650,$B$2:$B$1001,B650-1,$G$2:$G$1001,"&gt;0")=0),"违规：须先完成上一次加仓",IF(AND(B650&gt;1,E650&lt;SUMIFS($E$2:$E$1001,$A$2:$A$1001,A650,$B$2:$B$1001,B650-1)),"违规：新止损价不得低于上一次",IF(AND(B650&gt;1,F650&gt;SUMIFS($F$2:$F$1001,$A$2:$A$1001,A650,$B$2:$B$1001,B650-1)),"违规：风险预算须逐次不增加",IF(OR(_LockStatus="已锁仓",_LockStatus="解锁信息不完整"),"违规：锁仓期间禁止加仓",IF(G650="","计划可执行：建议股数见N列",IF(OR(G650&lt;=0,G650&lt;&gt;INT(G650),MOD(G650,100)&lt;&gt;0),"违规：实际股数须为100股整数倍",IF(G650&gt;N650,"违规：实际股数超过风险或金字塔上限",IF(AND(B650&gt;1,G650&gt;SUMIFS($G$2:$G$1001,$A$2:$A$1001,A650,$B$2:$B$1001,B650-1)),"违规：加仓股数须逐次不增加",IF(Q650&gt;F650,"违规：止损风险超过本次预算","通过")))))))))))))))</f>
        <v/>
      </c>
    </row>
    <row r="651" ht="17" spans="1:18">
      <c r="A651" s="13"/>
      <c r="B651" s="14"/>
      <c r="C651" s="15"/>
      <c r="D651" s="16"/>
      <c r="E651" s="16"/>
      <c r="F651" s="16"/>
      <c r="G651" s="14"/>
      <c r="H651" s="17" t="str">
        <f t="shared" si="80"/>
        <v/>
      </c>
      <c r="I651" s="18" t="str">
        <f>IF(OR(A651="",B651=""),"",IFERROR(LOOKUP(2,1/(单次交易!$A$2:$A$201=A651),单次交易!$H$2:$H$201),0)+SUMIFS($G$2:$G$1001,$A$2:$A$1001,A651,$B$2:$B$1001,"&lt;"&amp;B651))</f>
        <v/>
      </c>
      <c r="J651" s="17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17" t="str">
        <f t="shared" si="81"/>
        <v/>
      </c>
      <c r="L651" s="18" t="str">
        <f t="shared" si="82"/>
        <v/>
      </c>
      <c r="M651" s="18" t="str">
        <f t="shared" si="83"/>
        <v/>
      </c>
      <c r="N651" s="18" t="str">
        <f t="shared" si="84"/>
        <v/>
      </c>
      <c r="O651" s="18" t="str">
        <f t="shared" si="85"/>
        <v/>
      </c>
      <c r="P651" s="17" t="str">
        <f t="shared" si="86"/>
        <v/>
      </c>
      <c r="Q651" s="17" t="str">
        <f t="shared" si="87"/>
        <v/>
      </c>
      <c r="R651" s="19" t="str">
        <f ca="1">IF(A651="","",IF(COUNTIF(_TradeIds,A651)=0,"违规：交易编号不存在",IF(OR(B651="",B651&lt;1,B651&gt;5,B651&lt;&gt;INT(B651)),"违规：加仓序号须为1到5的整数",IF(COUNTIFS($A$2:$A$1001,A651,$B$2:$B$1001,B651)&gt;1,"违规：同一交易的加仓序号重复",IF(OR(D651="",E651="",F651=""),"计划不完整：请填写加仓价、新止损价和风险预算",IF(OR(D651&lt;=0,E651&lt;=0,F651&lt;=0,D651&lt;=E651),"违规：加仓价必须高于新止损价，金额须大于0",IF(AND(B651&gt;1,COUNTIFS($A$2:$A$1001,A651,$B$2:$B$1001,B651-1,$G$2:$G$1001,"&gt;0")=0),"违规：须先完成上一次加仓",IF(AND(B651&gt;1,E651&lt;SUMIFS($E$2:$E$1001,$A$2:$A$1001,A651,$B$2:$B$1001,B651-1)),"违规：新止损价不得低于上一次",IF(AND(B651&gt;1,F651&gt;SUMIFS($F$2:$F$1001,$A$2:$A$1001,A651,$B$2:$B$1001,B651-1)),"违规：风险预算须逐次不增加",IF(OR(_LockStatus="已锁仓",_LockStatus="解锁信息不完整"),"违规：锁仓期间禁止加仓",IF(G651="","计划可执行：建议股数见N列",IF(OR(G651&lt;=0,G651&lt;&gt;INT(G651),MOD(G651,100)&lt;&gt;0),"违规：实际股数须为100股整数倍",IF(G651&gt;N651,"违规：实际股数超过风险或金字塔上限",IF(AND(B651&gt;1,G651&gt;SUMIFS($G$2:$G$1001,$A$2:$A$1001,A651,$B$2:$B$1001,B651-1)),"违规：加仓股数须逐次不增加",IF(Q651&gt;F651,"违规：止损风险超过本次预算","通过")))))))))))))))</f>
        <v/>
      </c>
    </row>
    <row r="652" ht="17" spans="1:18">
      <c r="A652" s="13"/>
      <c r="B652" s="14"/>
      <c r="C652" s="15"/>
      <c r="D652" s="16"/>
      <c r="E652" s="16"/>
      <c r="F652" s="16"/>
      <c r="G652" s="14"/>
      <c r="H652" s="17" t="str">
        <f t="shared" si="80"/>
        <v/>
      </c>
      <c r="I652" s="18" t="str">
        <f>IF(OR(A652="",B652=""),"",IFERROR(LOOKUP(2,1/(单次交易!$A$2:$A$201=A652),单次交易!$H$2:$H$201),0)+SUMIFS($G$2:$G$1001,$A$2:$A$1001,A652,$B$2:$B$1001,"&lt;"&amp;B652))</f>
        <v/>
      </c>
      <c r="J652" s="17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17" t="str">
        <f t="shared" si="81"/>
        <v/>
      </c>
      <c r="L652" s="18" t="str">
        <f t="shared" si="82"/>
        <v/>
      </c>
      <c r="M652" s="18" t="str">
        <f t="shared" si="83"/>
        <v/>
      </c>
      <c r="N652" s="18" t="str">
        <f t="shared" si="84"/>
        <v/>
      </c>
      <c r="O652" s="18" t="str">
        <f t="shared" si="85"/>
        <v/>
      </c>
      <c r="P652" s="17" t="str">
        <f t="shared" si="86"/>
        <v/>
      </c>
      <c r="Q652" s="17" t="str">
        <f t="shared" si="87"/>
        <v/>
      </c>
      <c r="R652" s="19" t="str">
        <f ca="1">IF(A652="","",IF(COUNTIF(_TradeIds,A652)=0,"违规：交易编号不存在",IF(OR(B652="",B652&lt;1,B652&gt;5,B652&lt;&gt;INT(B652)),"违规：加仓序号须为1到5的整数",IF(COUNTIFS($A$2:$A$1001,A652,$B$2:$B$1001,B652)&gt;1,"违规：同一交易的加仓序号重复",IF(OR(D652="",E652="",F652=""),"计划不完整：请填写加仓价、新止损价和风险预算",IF(OR(D652&lt;=0,E652&lt;=0,F652&lt;=0,D652&lt;=E652),"违规：加仓价必须高于新止损价，金额须大于0",IF(AND(B652&gt;1,COUNTIFS($A$2:$A$1001,A652,$B$2:$B$1001,B652-1,$G$2:$G$1001,"&gt;0")=0),"违规：须先完成上一次加仓",IF(AND(B652&gt;1,E652&lt;SUMIFS($E$2:$E$1001,$A$2:$A$1001,A652,$B$2:$B$1001,B652-1)),"违规：新止损价不得低于上一次",IF(AND(B652&gt;1,F652&gt;SUMIFS($F$2:$F$1001,$A$2:$A$1001,A652,$B$2:$B$1001,B652-1)),"违规：风险预算须逐次不增加",IF(OR(_LockStatus="已锁仓",_LockStatus="解锁信息不完整"),"违规：锁仓期间禁止加仓",IF(G652="","计划可执行：建议股数见N列",IF(OR(G652&lt;=0,G652&lt;&gt;INT(G652),MOD(G652,100)&lt;&gt;0),"违规：实际股数须为100股整数倍",IF(G652&gt;N652,"违规：实际股数超过风险或金字塔上限",IF(AND(B652&gt;1,G652&gt;SUMIFS($G$2:$G$1001,$A$2:$A$1001,A652,$B$2:$B$1001,B652-1)),"违规：加仓股数须逐次不增加",IF(Q652&gt;F652,"违规：止损风险超过本次预算","通过")))))))))))))))</f>
        <v/>
      </c>
    </row>
    <row r="653" ht="17" spans="1:18">
      <c r="A653" s="13"/>
      <c r="B653" s="14"/>
      <c r="C653" s="15"/>
      <c r="D653" s="16"/>
      <c r="E653" s="16"/>
      <c r="F653" s="16"/>
      <c r="G653" s="14"/>
      <c r="H653" s="17" t="str">
        <f t="shared" si="80"/>
        <v/>
      </c>
      <c r="I653" s="18" t="str">
        <f>IF(OR(A653="",B653=""),"",IFERROR(LOOKUP(2,1/(单次交易!$A$2:$A$201=A653),单次交易!$H$2:$H$201),0)+SUMIFS($G$2:$G$1001,$A$2:$A$1001,A653,$B$2:$B$1001,"&lt;"&amp;B653))</f>
        <v/>
      </c>
      <c r="J653" s="17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17" t="str">
        <f t="shared" si="81"/>
        <v/>
      </c>
      <c r="L653" s="18" t="str">
        <f t="shared" si="82"/>
        <v/>
      </c>
      <c r="M653" s="18" t="str">
        <f t="shared" si="83"/>
        <v/>
      </c>
      <c r="N653" s="18" t="str">
        <f t="shared" si="84"/>
        <v/>
      </c>
      <c r="O653" s="18" t="str">
        <f t="shared" si="85"/>
        <v/>
      </c>
      <c r="P653" s="17" t="str">
        <f t="shared" si="86"/>
        <v/>
      </c>
      <c r="Q653" s="17" t="str">
        <f t="shared" si="87"/>
        <v/>
      </c>
      <c r="R653" s="19" t="str">
        <f ca="1">IF(A653="","",IF(COUNTIF(_TradeIds,A653)=0,"违规：交易编号不存在",IF(OR(B653="",B653&lt;1,B653&gt;5,B653&lt;&gt;INT(B653)),"违规：加仓序号须为1到5的整数",IF(COUNTIFS($A$2:$A$1001,A653,$B$2:$B$1001,B653)&gt;1,"违规：同一交易的加仓序号重复",IF(OR(D653="",E653="",F653=""),"计划不完整：请填写加仓价、新止损价和风险预算",IF(OR(D653&lt;=0,E653&lt;=0,F653&lt;=0,D653&lt;=E653),"违规：加仓价必须高于新止损价，金额须大于0",IF(AND(B653&gt;1,COUNTIFS($A$2:$A$1001,A653,$B$2:$B$1001,B653-1,$G$2:$G$1001,"&gt;0")=0),"违规：须先完成上一次加仓",IF(AND(B653&gt;1,E653&lt;SUMIFS($E$2:$E$1001,$A$2:$A$1001,A653,$B$2:$B$1001,B653-1)),"违规：新止损价不得低于上一次",IF(AND(B653&gt;1,F653&gt;SUMIFS($F$2:$F$1001,$A$2:$A$1001,A653,$B$2:$B$1001,B653-1)),"违规：风险预算须逐次不增加",IF(OR(_LockStatus="已锁仓",_LockStatus="解锁信息不完整"),"违规：锁仓期间禁止加仓",IF(G653="","计划可执行：建议股数见N列",IF(OR(G653&lt;=0,G653&lt;&gt;INT(G653),MOD(G653,100)&lt;&gt;0),"违规：实际股数须为100股整数倍",IF(G653&gt;N653,"违规：实际股数超过风险或金字塔上限",IF(AND(B653&gt;1,G653&gt;SUMIFS($G$2:$G$1001,$A$2:$A$1001,A653,$B$2:$B$1001,B653-1)),"违规：加仓股数须逐次不增加",IF(Q653&gt;F653,"违规：止损风险超过本次预算","通过")))))))))))))))</f>
        <v/>
      </c>
    </row>
    <row r="654" ht="17" spans="1:18">
      <c r="A654" s="13"/>
      <c r="B654" s="14"/>
      <c r="C654" s="15"/>
      <c r="D654" s="16"/>
      <c r="E654" s="16"/>
      <c r="F654" s="16"/>
      <c r="G654" s="14"/>
      <c r="H654" s="17" t="str">
        <f t="shared" si="80"/>
        <v/>
      </c>
      <c r="I654" s="18" t="str">
        <f>IF(OR(A654="",B654=""),"",IFERROR(LOOKUP(2,1/(单次交易!$A$2:$A$201=A654),单次交易!$H$2:$H$201),0)+SUMIFS($G$2:$G$1001,$A$2:$A$1001,A654,$B$2:$B$1001,"&lt;"&amp;B654))</f>
        <v/>
      </c>
      <c r="J654" s="17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17" t="str">
        <f t="shared" si="81"/>
        <v/>
      </c>
      <c r="L654" s="18" t="str">
        <f t="shared" si="82"/>
        <v/>
      </c>
      <c r="M654" s="18" t="str">
        <f t="shared" si="83"/>
        <v/>
      </c>
      <c r="N654" s="18" t="str">
        <f t="shared" si="84"/>
        <v/>
      </c>
      <c r="O654" s="18" t="str">
        <f t="shared" si="85"/>
        <v/>
      </c>
      <c r="P654" s="17" t="str">
        <f t="shared" si="86"/>
        <v/>
      </c>
      <c r="Q654" s="17" t="str">
        <f t="shared" si="87"/>
        <v/>
      </c>
      <c r="R654" s="19" t="str">
        <f ca="1">IF(A654="","",IF(COUNTIF(_TradeIds,A654)=0,"违规：交易编号不存在",IF(OR(B654="",B654&lt;1,B654&gt;5,B654&lt;&gt;INT(B654)),"违规：加仓序号须为1到5的整数",IF(COUNTIFS($A$2:$A$1001,A654,$B$2:$B$1001,B654)&gt;1,"违规：同一交易的加仓序号重复",IF(OR(D654="",E654="",F654=""),"计划不完整：请填写加仓价、新止损价和风险预算",IF(OR(D654&lt;=0,E654&lt;=0,F654&lt;=0,D654&lt;=E654),"违规：加仓价必须高于新止损价，金额须大于0",IF(AND(B654&gt;1,COUNTIFS($A$2:$A$1001,A654,$B$2:$B$1001,B654-1,$G$2:$G$1001,"&gt;0")=0),"违规：须先完成上一次加仓",IF(AND(B654&gt;1,E654&lt;SUMIFS($E$2:$E$1001,$A$2:$A$1001,A654,$B$2:$B$1001,B654-1)),"违规：新止损价不得低于上一次",IF(AND(B654&gt;1,F654&gt;SUMIFS($F$2:$F$1001,$A$2:$A$1001,A654,$B$2:$B$1001,B654-1)),"违规：风险预算须逐次不增加",IF(OR(_LockStatus="已锁仓",_LockStatus="解锁信息不完整"),"违规：锁仓期间禁止加仓",IF(G654="","计划可执行：建议股数见N列",IF(OR(G654&lt;=0,G654&lt;&gt;INT(G654),MOD(G654,100)&lt;&gt;0),"违规：实际股数须为100股整数倍",IF(G654&gt;N654,"违规：实际股数超过风险或金字塔上限",IF(AND(B654&gt;1,G654&gt;SUMIFS($G$2:$G$1001,$A$2:$A$1001,A654,$B$2:$B$1001,B654-1)),"违规：加仓股数须逐次不增加",IF(Q654&gt;F654,"违规：止损风险超过本次预算","通过")))))))))))))))</f>
        <v/>
      </c>
    </row>
    <row r="655" ht="17" spans="1:18">
      <c r="A655" s="13"/>
      <c r="B655" s="14"/>
      <c r="C655" s="15"/>
      <c r="D655" s="16"/>
      <c r="E655" s="16"/>
      <c r="F655" s="16"/>
      <c r="G655" s="14"/>
      <c r="H655" s="17" t="str">
        <f t="shared" si="80"/>
        <v/>
      </c>
      <c r="I655" s="18" t="str">
        <f>IF(OR(A655="",B655=""),"",IFERROR(LOOKUP(2,1/(单次交易!$A$2:$A$201=A655),单次交易!$H$2:$H$201),0)+SUMIFS($G$2:$G$1001,$A$2:$A$1001,A655,$B$2:$B$1001,"&lt;"&amp;B655))</f>
        <v/>
      </c>
      <c r="J655" s="17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17" t="str">
        <f t="shared" si="81"/>
        <v/>
      </c>
      <c r="L655" s="18" t="str">
        <f t="shared" si="82"/>
        <v/>
      </c>
      <c r="M655" s="18" t="str">
        <f t="shared" si="83"/>
        <v/>
      </c>
      <c r="N655" s="18" t="str">
        <f t="shared" si="84"/>
        <v/>
      </c>
      <c r="O655" s="18" t="str">
        <f t="shared" si="85"/>
        <v/>
      </c>
      <c r="P655" s="17" t="str">
        <f t="shared" si="86"/>
        <v/>
      </c>
      <c r="Q655" s="17" t="str">
        <f t="shared" si="87"/>
        <v/>
      </c>
      <c r="R655" s="19" t="str">
        <f ca="1">IF(A655="","",IF(COUNTIF(_TradeIds,A655)=0,"违规：交易编号不存在",IF(OR(B655="",B655&lt;1,B655&gt;5,B655&lt;&gt;INT(B655)),"违规：加仓序号须为1到5的整数",IF(COUNTIFS($A$2:$A$1001,A655,$B$2:$B$1001,B655)&gt;1,"违规：同一交易的加仓序号重复",IF(OR(D655="",E655="",F655=""),"计划不完整：请填写加仓价、新止损价和风险预算",IF(OR(D655&lt;=0,E655&lt;=0,F655&lt;=0,D655&lt;=E655),"违规：加仓价必须高于新止损价，金额须大于0",IF(AND(B655&gt;1,COUNTIFS($A$2:$A$1001,A655,$B$2:$B$1001,B655-1,$G$2:$G$1001,"&gt;0")=0),"违规：须先完成上一次加仓",IF(AND(B655&gt;1,E655&lt;SUMIFS($E$2:$E$1001,$A$2:$A$1001,A655,$B$2:$B$1001,B655-1)),"违规：新止损价不得低于上一次",IF(AND(B655&gt;1,F655&gt;SUMIFS($F$2:$F$1001,$A$2:$A$1001,A655,$B$2:$B$1001,B655-1)),"违规：风险预算须逐次不增加",IF(OR(_LockStatus="已锁仓",_LockStatus="解锁信息不完整"),"违规：锁仓期间禁止加仓",IF(G655="","计划可执行：建议股数见N列",IF(OR(G655&lt;=0,G655&lt;&gt;INT(G655),MOD(G655,100)&lt;&gt;0),"违规：实际股数须为100股整数倍",IF(G655&gt;N655,"违规：实际股数超过风险或金字塔上限",IF(AND(B655&gt;1,G655&gt;SUMIFS($G$2:$G$1001,$A$2:$A$1001,A655,$B$2:$B$1001,B655-1)),"违规：加仓股数须逐次不增加",IF(Q655&gt;F655,"违规：止损风险超过本次预算","通过")))))))))))))))</f>
        <v/>
      </c>
    </row>
    <row r="656" ht="17" spans="1:18">
      <c r="A656" s="13"/>
      <c r="B656" s="14"/>
      <c r="C656" s="15"/>
      <c r="D656" s="16"/>
      <c r="E656" s="16"/>
      <c r="F656" s="16"/>
      <c r="G656" s="14"/>
      <c r="H656" s="17" t="str">
        <f t="shared" si="80"/>
        <v/>
      </c>
      <c r="I656" s="18" t="str">
        <f>IF(OR(A656="",B656=""),"",IFERROR(LOOKUP(2,1/(单次交易!$A$2:$A$201=A656),单次交易!$H$2:$H$201),0)+SUMIFS($G$2:$G$1001,$A$2:$A$1001,A656,$B$2:$B$1001,"&lt;"&amp;B656))</f>
        <v/>
      </c>
      <c r="J656" s="17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17" t="str">
        <f t="shared" si="81"/>
        <v/>
      </c>
      <c r="L656" s="18" t="str">
        <f t="shared" si="82"/>
        <v/>
      </c>
      <c r="M656" s="18" t="str">
        <f t="shared" si="83"/>
        <v/>
      </c>
      <c r="N656" s="18" t="str">
        <f t="shared" si="84"/>
        <v/>
      </c>
      <c r="O656" s="18" t="str">
        <f t="shared" si="85"/>
        <v/>
      </c>
      <c r="P656" s="17" t="str">
        <f t="shared" si="86"/>
        <v/>
      </c>
      <c r="Q656" s="17" t="str">
        <f t="shared" si="87"/>
        <v/>
      </c>
      <c r="R656" s="19" t="str">
        <f ca="1">IF(A656="","",IF(COUNTIF(_TradeIds,A656)=0,"违规：交易编号不存在",IF(OR(B656="",B656&lt;1,B656&gt;5,B656&lt;&gt;INT(B656)),"违规：加仓序号须为1到5的整数",IF(COUNTIFS($A$2:$A$1001,A656,$B$2:$B$1001,B656)&gt;1,"违规：同一交易的加仓序号重复",IF(OR(D656="",E656="",F656=""),"计划不完整：请填写加仓价、新止损价和风险预算",IF(OR(D656&lt;=0,E656&lt;=0,F656&lt;=0,D656&lt;=E656),"违规：加仓价必须高于新止损价，金额须大于0",IF(AND(B656&gt;1,COUNTIFS($A$2:$A$1001,A656,$B$2:$B$1001,B656-1,$G$2:$G$1001,"&gt;0")=0),"违规：须先完成上一次加仓",IF(AND(B656&gt;1,E656&lt;SUMIFS($E$2:$E$1001,$A$2:$A$1001,A656,$B$2:$B$1001,B656-1)),"违规：新止损价不得低于上一次",IF(AND(B656&gt;1,F656&gt;SUMIFS($F$2:$F$1001,$A$2:$A$1001,A656,$B$2:$B$1001,B656-1)),"违规：风险预算须逐次不增加",IF(OR(_LockStatus="已锁仓",_LockStatus="解锁信息不完整"),"违规：锁仓期间禁止加仓",IF(G656="","计划可执行：建议股数见N列",IF(OR(G656&lt;=0,G656&lt;&gt;INT(G656),MOD(G656,100)&lt;&gt;0),"违规：实际股数须为100股整数倍",IF(G656&gt;N656,"违规：实际股数超过风险或金字塔上限",IF(AND(B656&gt;1,G656&gt;SUMIFS($G$2:$G$1001,$A$2:$A$1001,A656,$B$2:$B$1001,B656-1)),"违规：加仓股数须逐次不增加",IF(Q656&gt;F656,"违规：止损风险超过本次预算","通过")))))))))))))))</f>
        <v/>
      </c>
    </row>
    <row r="657" ht="17" spans="1:18">
      <c r="A657" s="13"/>
      <c r="B657" s="14"/>
      <c r="C657" s="15"/>
      <c r="D657" s="16"/>
      <c r="E657" s="16"/>
      <c r="F657" s="16"/>
      <c r="G657" s="14"/>
      <c r="H657" s="17" t="str">
        <f t="shared" si="80"/>
        <v/>
      </c>
      <c r="I657" s="18" t="str">
        <f>IF(OR(A657="",B657=""),"",IFERROR(LOOKUP(2,1/(单次交易!$A$2:$A$201=A657),单次交易!$H$2:$H$201),0)+SUMIFS($G$2:$G$1001,$A$2:$A$1001,A657,$B$2:$B$1001,"&lt;"&amp;B657))</f>
        <v/>
      </c>
      <c r="J657" s="17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17" t="str">
        <f t="shared" si="81"/>
        <v/>
      </c>
      <c r="L657" s="18" t="str">
        <f t="shared" si="82"/>
        <v/>
      </c>
      <c r="M657" s="18" t="str">
        <f t="shared" si="83"/>
        <v/>
      </c>
      <c r="N657" s="18" t="str">
        <f t="shared" si="84"/>
        <v/>
      </c>
      <c r="O657" s="18" t="str">
        <f t="shared" si="85"/>
        <v/>
      </c>
      <c r="P657" s="17" t="str">
        <f t="shared" si="86"/>
        <v/>
      </c>
      <c r="Q657" s="17" t="str">
        <f t="shared" si="87"/>
        <v/>
      </c>
      <c r="R657" s="19" t="str">
        <f ca="1">IF(A657="","",IF(COUNTIF(_TradeIds,A657)=0,"违规：交易编号不存在",IF(OR(B657="",B657&lt;1,B657&gt;5,B657&lt;&gt;INT(B657)),"违规：加仓序号须为1到5的整数",IF(COUNTIFS($A$2:$A$1001,A657,$B$2:$B$1001,B657)&gt;1,"违规：同一交易的加仓序号重复",IF(OR(D657="",E657="",F657=""),"计划不完整：请填写加仓价、新止损价和风险预算",IF(OR(D657&lt;=0,E657&lt;=0,F657&lt;=0,D657&lt;=E657),"违规：加仓价必须高于新止损价，金额须大于0",IF(AND(B657&gt;1,COUNTIFS($A$2:$A$1001,A657,$B$2:$B$1001,B657-1,$G$2:$G$1001,"&gt;0")=0),"违规：须先完成上一次加仓",IF(AND(B657&gt;1,E657&lt;SUMIFS($E$2:$E$1001,$A$2:$A$1001,A657,$B$2:$B$1001,B657-1)),"违规：新止损价不得低于上一次",IF(AND(B657&gt;1,F657&gt;SUMIFS($F$2:$F$1001,$A$2:$A$1001,A657,$B$2:$B$1001,B657-1)),"违规：风险预算须逐次不增加",IF(OR(_LockStatus="已锁仓",_LockStatus="解锁信息不完整"),"违规：锁仓期间禁止加仓",IF(G657="","计划可执行：建议股数见N列",IF(OR(G657&lt;=0,G657&lt;&gt;INT(G657),MOD(G657,100)&lt;&gt;0),"违规：实际股数须为100股整数倍",IF(G657&gt;N657,"违规：实际股数超过风险或金字塔上限",IF(AND(B657&gt;1,G657&gt;SUMIFS($G$2:$G$1001,$A$2:$A$1001,A657,$B$2:$B$1001,B657-1)),"违规：加仓股数须逐次不增加",IF(Q657&gt;F657,"违规：止损风险超过本次预算","通过")))))))))))))))</f>
        <v/>
      </c>
    </row>
    <row r="658" ht="17" spans="1:18">
      <c r="A658" s="13"/>
      <c r="B658" s="14"/>
      <c r="C658" s="15"/>
      <c r="D658" s="16"/>
      <c r="E658" s="16"/>
      <c r="F658" s="16"/>
      <c r="G658" s="14"/>
      <c r="H658" s="17" t="str">
        <f t="shared" si="80"/>
        <v/>
      </c>
      <c r="I658" s="18" t="str">
        <f>IF(OR(A658="",B658=""),"",IFERROR(LOOKUP(2,1/(单次交易!$A$2:$A$201=A658),单次交易!$H$2:$H$201),0)+SUMIFS($G$2:$G$1001,$A$2:$A$1001,A658,$B$2:$B$1001,"&lt;"&amp;B658))</f>
        <v/>
      </c>
      <c r="J658" s="17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17" t="str">
        <f t="shared" si="81"/>
        <v/>
      </c>
      <c r="L658" s="18" t="str">
        <f t="shared" si="82"/>
        <v/>
      </c>
      <c r="M658" s="18" t="str">
        <f t="shared" si="83"/>
        <v/>
      </c>
      <c r="N658" s="18" t="str">
        <f t="shared" si="84"/>
        <v/>
      </c>
      <c r="O658" s="18" t="str">
        <f t="shared" si="85"/>
        <v/>
      </c>
      <c r="P658" s="17" t="str">
        <f t="shared" si="86"/>
        <v/>
      </c>
      <c r="Q658" s="17" t="str">
        <f t="shared" si="87"/>
        <v/>
      </c>
      <c r="R658" s="19" t="str">
        <f ca="1">IF(A658="","",IF(COUNTIF(_TradeIds,A658)=0,"违规：交易编号不存在",IF(OR(B658="",B658&lt;1,B658&gt;5,B658&lt;&gt;INT(B658)),"违规：加仓序号须为1到5的整数",IF(COUNTIFS($A$2:$A$1001,A658,$B$2:$B$1001,B658)&gt;1,"违规：同一交易的加仓序号重复",IF(OR(D658="",E658="",F658=""),"计划不完整：请填写加仓价、新止损价和风险预算",IF(OR(D658&lt;=0,E658&lt;=0,F658&lt;=0,D658&lt;=E658),"违规：加仓价必须高于新止损价，金额须大于0",IF(AND(B658&gt;1,COUNTIFS($A$2:$A$1001,A658,$B$2:$B$1001,B658-1,$G$2:$G$1001,"&gt;0")=0),"违规：须先完成上一次加仓",IF(AND(B658&gt;1,E658&lt;SUMIFS($E$2:$E$1001,$A$2:$A$1001,A658,$B$2:$B$1001,B658-1)),"违规：新止损价不得低于上一次",IF(AND(B658&gt;1,F658&gt;SUMIFS($F$2:$F$1001,$A$2:$A$1001,A658,$B$2:$B$1001,B658-1)),"违规：风险预算须逐次不增加",IF(OR(_LockStatus="已锁仓",_LockStatus="解锁信息不完整"),"违规：锁仓期间禁止加仓",IF(G658="","计划可执行：建议股数见N列",IF(OR(G658&lt;=0,G658&lt;&gt;INT(G658),MOD(G658,100)&lt;&gt;0),"违规：实际股数须为100股整数倍",IF(G658&gt;N658,"违规：实际股数超过风险或金字塔上限",IF(AND(B658&gt;1,G658&gt;SUMIFS($G$2:$G$1001,$A$2:$A$1001,A658,$B$2:$B$1001,B658-1)),"违规：加仓股数须逐次不增加",IF(Q658&gt;F658,"违规：止损风险超过本次预算","通过")))))))))))))))</f>
        <v/>
      </c>
    </row>
    <row r="659" ht="17" spans="1:18">
      <c r="A659" s="13"/>
      <c r="B659" s="14"/>
      <c r="C659" s="15"/>
      <c r="D659" s="16"/>
      <c r="E659" s="16"/>
      <c r="F659" s="16"/>
      <c r="G659" s="14"/>
      <c r="H659" s="17" t="str">
        <f t="shared" si="80"/>
        <v/>
      </c>
      <c r="I659" s="18" t="str">
        <f>IF(OR(A659="",B659=""),"",IFERROR(LOOKUP(2,1/(单次交易!$A$2:$A$201=A659),单次交易!$H$2:$H$201),0)+SUMIFS($G$2:$G$1001,$A$2:$A$1001,A659,$B$2:$B$1001,"&lt;"&amp;B659))</f>
        <v/>
      </c>
      <c r="J659" s="17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17" t="str">
        <f t="shared" si="81"/>
        <v/>
      </c>
      <c r="L659" s="18" t="str">
        <f t="shared" si="82"/>
        <v/>
      </c>
      <c r="M659" s="18" t="str">
        <f t="shared" si="83"/>
        <v/>
      </c>
      <c r="N659" s="18" t="str">
        <f t="shared" si="84"/>
        <v/>
      </c>
      <c r="O659" s="18" t="str">
        <f t="shared" si="85"/>
        <v/>
      </c>
      <c r="P659" s="17" t="str">
        <f t="shared" si="86"/>
        <v/>
      </c>
      <c r="Q659" s="17" t="str">
        <f t="shared" si="87"/>
        <v/>
      </c>
      <c r="R659" s="19" t="str">
        <f ca="1">IF(A659="","",IF(COUNTIF(_TradeIds,A659)=0,"违规：交易编号不存在",IF(OR(B659="",B659&lt;1,B659&gt;5,B659&lt;&gt;INT(B659)),"违规：加仓序号须为1到5的整数",IF(COUNTIFS($A$2:$A$1001,A659,$B$2:$B$1001,B659)&gt;1,"违规：同一交易的加仓序号重复",IF(OR(D659="",E659="",F659=""),"计划不完整：请填写加仓价、新止损价和风险预算",IF(OR(D659&lt;=0,E659&lt;=0,F659&lt;=0,D659&lt;=E659),"违规：加仓价必须高于新止损价，金额须大于0",IF(AND(B659&gt;1,COUNTIFS($A$2:$A$1001,A659,$B$2:$B$1001,B659-1,$G$2:$G$1001,"&gt;0")=0),"违规：须先完成上一次加仓",IF(AND(B659&gt;1,E659&lt;SUMIFS($E$2:$E$1001,$A$2:$A$1001,A659,$B$2:$B$1001,B659-1)),"违规：新止损价不得低于上一次",IF(AND(B659&gt;1,F659&gt;SUMIFS($F$2:$F$1001,$A$2:$A$1001,A659,$B$2:$B$1001,B659-1)),"违规：风险预算须逐次不增加",IF(OR(_LockStatus="已锁仓",_LockStatus="解锁信息不完整"),"违规：锁仓期间禁止加仓",IF(G659="","计划可执行：建议股数见N列",IF(OR(G659&lt;=0,G659&lt;&gt;INT(G659),MOD(G659,100)&lt;&gt;0),"违规：实际股数须为100股整数倍",IF(G659&gt;N659,"违规：实际股数超过风险或金字塔上限",IF(AND(B659&gt;1,G659&gt;SUMIFS($G$2:$G$1001,$A$2:$A$1001,A659,$B$2:$B$1001,B659-1)),"违规：加仓股数须逐次不增加",IF(Q659&gt;F659,"违规：止损风险超过本次预算","通过")))))))))))))))</f>
        <v/>
      </c>
    </row>
    <row r="660" ht="17" spans="1:18">
      <c r="A660" s="13"/>
      <c r="B660" s="14"/>
      <c r="C660" s="15"/>
      <c r="D660" s="16"/>
      <c r="E660" s="16"/>
      <c r="F660" s="16"/>
      <c r="G660" s="14"/>
      <c r="H660" s="17" t="str">
        <f t="shared" si="80"/>
        <v/>
      </c>
      <c r="I660" s="18" t="str">
        <f>IF(OR(A660="",B660=""),"",IFERROR(LOOKUP(2,1/(单次交易!$A$2:$A$201=A660),单次交易!$H$2:$H$201),0)+SUMIFS($G$2:$G$1001,$A$2:$A$1001,A660,$B$2:$B$1001,"&lt;"&amp;B660))</f>
        <v/>
      </c>
      <c r="J660" s="17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17" t="str">
        <f t="shared" si="81"/>
        <v/>
      </c>
      <c r="L660" s="18" t="str">
        <f t="shared" si="82"/>
        <v/>
      </c>
      <c r="M660" s="18" t="str">
        <f t="shared" si="83"/>
        <v/>
      </c>
      <c r="N660" s="18" t="str">
        <f t="shared" si="84"/>
        <v/>
      </c>
      <c r="O660" s="18" t="str">
        <f t="shared" si="85"/>
        <v/>
      </c>
      <c r="P660" s="17" t="str">
        <f t="shared" si="86"/>
        <v/>
      </c>
      <c r="Q660" s="17" t="str">
        <f t="shared" si="87"/>
        <v/>
      </c>
      <c r="R660" s="19" t="str">
        <f ca="1">IF(A660="","",IF(COUNTIF(_TradeIds,A660)=0,"违规：交易编号不存在",IF(OR(B660="",B660&lt;1,B660&gt;5,B660&lt;&gt;INT(B660)),"违规：加仓序号须为1到5的整数",IF(COUNTIFS($A$2:$A$1001,A660,$B$2:$B$1001,B660)&gt;1,"违规：同一交易的加仓序号重复",IF(OR(D660="",E660="",F660=""),"计划不完整：请填写加仓价、新止损价和风险预算",IF(OR(D660&lt;=0,E660&lt;=0,F660&lt;=0,D660&lt;=E660),"违规：加仓价必须高于新止损价，金额须大于0",IF(AND(B660&gt;1,COUNTIFS($A$2:$A$1001,A660,$B$2:$B$1001,B660-1,$G$2:$G$1001,"&gt;0")=0),"违规：须先完成上一次加仓",IF(AND(B660&gt;1,E660&lt;SUMIFS($E$2:$E$1001,$A$2:$A$1001,A660,$B$2:$B$1001,B660-1)),"违规：新止损价不得低于上一次",IF(AND(B660&gt;1,F660&gt;SUMIFS($F$2:$F$1001,$A$2:$A$1001,A660,$B$2:$B$1001,B660-1)),"违规：风险预算须逐次不增加",IF(OR(_LockStatus="已锁仓",_LockStatus="解锁信息不完整"),"违规：锁仓期间禁止加仓",IF(G660="","计划可执行：建议股数见N列",IF(OR(G660&lt;=0,G660&lt;&gt;INT(G660),MOD(G660,100)&lt;&gt;0),"违规：实际股数须为100股整数倍",IF(G660&gt;N660,"违规：实际股数超过风险或金字塔上限",IF(AND(B660&gt;1,G660&gt;SUMIFS($G$2:$G$1001,$A$2:$A$1001,A660,$B$2:$B$1001,B660-1)),"违规：加仓股数须逐次不增加",IF(Q660&gt;F660,"违规：止损风险超过本次预算","通过")))))))))))))))</f>
        <v/>
      </c>
    </row>
    <row r="661" ht="17" spans="1:18">
      <c r="A661" s="13"/>
      <c r="B661" s="14"/>
      <c r="C661" s="15"/>
      <c r="D661" s="16"/>
      <c r="E661" s="16"/>
      <c r="F661" s="16"/>
      <c r="G661" s="14"/>
      <c r="H661" s="17" t="str">
        <f t="shared" si="80"/>
        <v/>
      </c>
      <c r="I661" s="18" t="str">
        <f>IF(OR(A661="",B661=""),"",IFERROR(LOOKUP(2,1/(单次交易!$A$2:$A$201=A661),单次交易!$H$2:$H$201),0)+SUMIFS($G$2:$G$1001,$A$2:$A$1001,A661,$B$2:$B$1001,"&lt;"&amp;B661))</f>
        <v/>
      </c>
      <c r="J661" s="17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17" t="str">
        <f t="shared" si="81"/>
        <v/>
      </c>
      <c r="L661" s="18" t="str">
        <f t="shared" si="82"/>
        <v/>
      </c>
      <c r="M661" s="18" t="str">
        <f t="shared" si="83"/>
        <v/>
      </c>
      <c r="N661" s="18" t="str">
        <f t="shared" si="84"/>
        <v/>
      </c>
      <c r="O661" s="18" t="str">
        <f t="shared" si="85"/>
        <v/>
      </c>
      <c r="P661" s="17" t="str">
        <f t="shared" si="86"/>
        <v/>
      </c>
      <c r="Q661" s="17" t="str">
        <f t="shared" si="87"/>
        <v/>
      </c>
      <c r="R661" s="19" t="str">
        <f ca="1">IF(A661="","",IF(COUNTIF(_TradeIds,A661)=0,"违规：交易编号不存在",IF(OR(B661="",B661&lt;1,B661&gt;5,B661&lt;&gt;INT(B661)),"违规：加仓序号须为1到5的整数",IF(COUNTIFS($A$2:$A$1001,A661,$B$2:$B$1001,B661)&gt;1,"违规：同一交易的加仓序号重复",IF(OR(D661="",E661="",F661=""),"计划不完整：请填写加仓价、新止损价和风险预算",IF(OR(D661&lt;=0,E661&lt;=0,F661&lt;=0,D661&lt;=E661),"违规：加仓价必须高于新止损价，金额须大于0",IF(AND(B661&gt;1,COUNTIFS($A$2:$A$1001,A661,$B$2:$B$1001,B661-1,$G$2:$G$1001,"&gt;0")=0),"违规：须先完成上一次加仓",IF(AND(B661&gt;1,E661&lt;SUMIFS($E$2:$E$1001,$A$2:$A$1001,A661,$B$2:$B$1001,B661-1)),"违规：新止损价不得低于上一次",IF(AND(B661&gt;1,F661&gt;SUMIFS($F$2:$F$1001,$A$2:$A$1001,A661,$B$2:$B$1001,B661-1)),"违规：风险预算须逐次不增加",IF(OR(_LockStatus="已锁仓",_LockStatus="解锁信息不完整"),"违规：锁仓期间禁止加仓",IF(G661="","计划可执行：建议股数见N列",IF(OR(G661&lt;=0,G661&lt;&gt;INT(G661),MOD(G661,100)&lt;&gt;0),"违规：实际股数须为100股整数倍",IF(G661&gt;N661,"违规：实际股数超过风险或金字塔上限",IF(AND(B661&gt;1,G661&gt;SUMIFS($G$2:$G$1001,$A$2:$A$1001,A661,$B$2:$B$1001,B661-1)),"违规：加仓股数须逐次不增加",IF(Q661&gt;F661,"违规：止损风险超过本次预算","通过")))))))))))))))</f>
        <v/>
      </c>
    </row>
    <row r="662" ht="17" spans="1:18">
      <c r="A662" s="13"/>
      <c r="B662" s="14"/>
      <c r="C662" s="15"/>
      <c r="D662" s="16"/>
      <c r="E662" s="16"/>
      <c r="F662" s="16"/>
      <c r="G662" s="14"/>
      <c r="H662" s="17" t="str">
        <f t="shared" si="80"/>
        <v/>
      </c>
      <c r="I662" s="18" t="str">
        <f>IF(OR(A662="",B662=""),"",IFERROR(LOOKUP(2,1/(单次交易!$A$2:$A$201=A662),单次交易!$H$2:$H$201),0)+SUMIFS($G$2:$G$1001,$A$2:$A$1001,A662,$B$2:$B$1001,"&lt;"&amp;B662))</f>
        <v/>
      </c>
      <c r="J662" s="17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17" t="str">
        <f t="shared" si="81"/>
        <v/>
      </c>
      <c r="L662" s="18" t="str">
        <f t="shared" si="82"/>
        <v/>
      </c>
      <c r="M662" s="18" t="str">
        <f t="shared" si="83"/>
        <v/>
      </c>
      <c r="N662" s="18" t="str">
        <f t="shared" si="84"/>
        <v/>
      </c>
      <c r="O662" s="18" t="str">
        <f t="shared" si="85"/>
        <v/>
      </c>
      <c r="P662" s="17" t="str">
        <f t="shared" si="86"/>
        <v/>
      </c>
      <c r="Q662" s="17" t="str">
        <f t="shared" si="87"/>
        <v/>
      </c>
      <c r="R662" s="19" t="str">
        <f ca="1">IF(A662="","",IF(COUNTIF(_TradeIds,A662)=0,"违规：交易编号不存在",IF(OR(B662="",B662&lt;1,B662&gt;5,B662&lt;&gt;INT(B662)),"违规：加仓序号须为1到5的整数",IF(COUNTIFS($A$2:$A$1001,A662,$B$2:$B$1001,B662)&gt;1,"违规：同一交易的加仓序号重复",IF(OR(D662="",E662="",F662=""),"计划不完整：请填写加仓价、新止损价和风险预算",IF(OR(D662&lt;=0,E662&lt;=0,F662&lt;=0,D662&lt;=E662),"违规：加仓价必须高于新止损价，金额须大于0",IF(AND(B662&gt;1,COUNTIFS($A$2:$A$1001,A662,$B$2:$B$1001,B662-1,$G$2:$G$1001,"&gt;0")=0),"违规：须先完成上一次加仓",IF(AND(B662&gt;1,E662&lt;SUMIFS($E$2:$E$1001,$A$2:$A$1001,A662,$B$2:$B$1001,B662-1)),"违规：新止损价不得低于上一次",IF(AND(B662&gt;1,F662&gt;SUMIFS($F$2:$F$1001,$A$2:$A$1001,A662,$B$2:$B$1001,B662-1)),"违规：风险预算须逐次不增加",IF(OR(_LockStatus="已锁仓",_LockStatus="解锁信息不完整"),"违规：锁仓期间禁止加仓",IF(G662="","计划可执行：建议股数见N列",IF(OR(G662&lt;=0,G662&lt;&gt;INT(G662),MOD(G662,100)&lt;&gt;0),"违规：实际股数须为100股整数倍",IF(G662&gt;N662,"违规：实际股数超过风险或金字塔上限",IF(AND(B662&gt;1,G662&gt;SUMIFS($G$2:$G$1001,$A$2:$A$1001,A662,$B$2:$B$1001,B662-1)),"违规：加仓股数须逐次不增加",IF(Q662&gt;F662,"违规：止损风险超过本次预算","通过")))))))))))))))</f>
        <v/>
      </c>
    </row>
    <row r="663" ht="17" spans="1:18">
      <c r="A663" s="13"/>
      <c r="B663" s="14"/>
      <c r="C663" s="15"/>
      <c r="D663" s="16"/>
      <c r="E663" s="16"/>
      <c r="F663" s="16"/>
      <c r="G663" s="14"/>
      <c r="H663" s="17" t="str">
        <f t="shared" si="80"/>
        <v/>
      </c>
      <c r="I663" s="18" t="str">
        <f>IF(OR(A663="",B663=""),"",IFERROR(LOOKUP(2,1/(单次交易!$A$2:$A$201=A663),单次交易!$H$2:$H$201),0)+SUMIFS($G$2:$G$1001,$A$2:$A$1001,A663,$B$2:$B$1001,"&lt;"&amp;B663))</f>
        <v/>
      </c>
      <c r="J663" s="17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17" t="str">
        <f t="shared" si="81"/>
        <v/>
      </c>
      <c r="L663" s="18" t="str">
        <f t="shared" si="82"/>
        <v/>
      </c>
      <c r="M663" s="18" t="str">
        <f t="shared" si="83"/>
        <v/>
      </c>
      <c r="N663" s="18" t="str">
        <f t="shared" si="84"/>
        <v/>
      </c>
      <c r="O663" s="18" t="str">
        <f t="shared" si="85"/>
        <v/>
      </c>
      <c r="P663" s="17" t="str">
        <f t="shared" si="86"/>
        <v/>
      </c>
      <c r="Q663" s="17" t="str">
        <f t="shared" si="87"/>
        <v/>
      </c>
      <c r="R663" s="19" t="str">
        <f ca="1">IF(A663="","",IF(COUNTIF(_TradeIds,A663)=0,"违规：交易编号不存在",IF(OR(B663="",B663&lt;1,B663&gt;5,B663&lt;&gt;INT(B663)),"违规：加仓序号须为1到5的整数",IF(COUNTIFS($A$2:$A$1001,A663,$B$2:$B$1001,B663)&gt;1,"违规：同一交易的加仓序号重复",IF(OR(D663="",E663="",F663=""),"计划不完整：请填写加仓价、新止损价和风险预算",IF(OR(D663&lt;=0,E663&lt;=0,F663&lt;=0,D663&lt;=E663),"违规：加仓价必须高于新止损价，金额须大于0",IF(AND(B663&gt;1,COUNTIFS($A$2:$A$1001,A663,$B$2:$B$1001,B663-1,$G$2:$G$1001,"&gt;0")=0),"违规：须先完成上一次加仓",IF(AND(B663&gt;1,E663&lt;SUMIFS($E$2:$E$1001,$A$2:$A$1001,A663,$B$2:$B$1001,B663-1)),"违规：新止损价不得低于上一次",IF(AND(B663&gt;1,F663&gt;SUMIFS($F$2:$F$1001,$A$2:$A$1001,A663,$B$2:$B$1001,B663-1)),"违规：风险预算须逐次不增加",IF(OR(_LockStatus="已锁仓",_LockStatus="解锁信息不完整"),"违规：锁仓期间禁止加仓",IF(G663="","计划可执行：建议股数见N列",IF(OR(G663&lt;=0,G663&lt;&gt;INT(G663),MOD(G663,100)&lt;&gt;0),"违规：实际股数须为100股整数倍",IF(G663&gt;N663,"违规：实际股数超过风险或金字塔上限",IF(AND(B663&gt;1,G663&gt;SUMIFS($G$2:$G$1001,$A$2:$A$1001,A663,$B$2:$B$1001,B663-1)),"违规：加仓股数须逐次不增加",IF(Q663&gt;F663,"违规：止损风险超过本次预算","通过")))))))))))))))</f>
        <v/>
      </c>
    </row>
    <row r="664" ht="17" spans="1:18">
      <c r="A664" s="13"/>
      <c r="B664" s="14"/>
      <c r="C664" s="15"/>
      <c r="D664" s="16"/>
      <c r="E664" s="16"/>
      <c r="F664" s="16"/>
      <c r="G664" s="14"/>
      <c r="H664" s="17" t="str">
        <f t="shared" si="80"/>
        <v/>
      </c>
      <c r="I664" s="18" t="str">
        <f>IF(OR(A664="",B664=""),"",IFERROR(LOOKUP(2,1/(单次交易!$A$2:$A$201=A664),单次交易!$H$2:$H$201),0)+SUMIFS($G$2:$G$1001,$A$2:$A$1001,A664,$B$2:$B$1001,"&lt;"&amp;B664))</f>
        <v/>
      </c>
      <c r="J664" s="17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17" t="str">
        <f t="shared" si="81"/>
        <v/>
      </c>
      <c r="L664" s="18" t="str">
        <f t="shared" si="82"/>
        <v/>
      </c>
      <c r="M664" s="18" t="str">
        <f t="shared" si="83"/>
        <v/>
      </c>
      <c r="N664" s="18" t="str">
        <f t="shared" si="84"/>
        <v/>
      </c>
      <c r="O664" s="18" t="str">
        <f t="shared" si="85"/>
        <v/>
      </c>
      <c r="P664" s="17" t="str">
        <f t="shared" si="86"/>
        <v/>
      </c>
      <c r="Q664" s="17" t="str">
        <f t="shared" si="87"/>
        <v/>
      </c>
      <c r="R664" s="19" t="str">
        <f ca="1">IF(A664="","",IF(COUNTIF(_TradeIds,A664)=0,"违规：交易编号不存在",IF(OR(B664="",B664&lt;1,B664&gt;5,B664&lt;&gt;INT(B664)),"违规：加仓序号须为1到5的整数",IF(COUNTIFS($A$2:$A$1001,A664,$B$2:$B$1001,B664)&gt;1,"违规：同一交易的加仓序号重复",IF(OR(D664="",E664="",F664=""),"计划不完整：请填写加仓价、新止损价和风险预算",IF(OR(D664&lt;=0,E664&lt;=0,F664&lt;=0,D664&lt;=E664),"违规：加仓价必须高于新止损价，金额须大于0",IF(AND(B664&gt;1,COUNTIFS($A$2:$A$1001,A664,$B$2:$B$1001,B664-1,$G$2:$G$1001,"&gt;0")=0),"违规：须先完成上一次加仓",IF(AND(B664&gt;1,E664&lt;SUMIFS($E$2:$E$1001,$A$2:$A$1001,A664,$B$2:$B$1001,B664-1)),"违规：新止损价不得低于上一次",IF(AND(B664&gt;1,F664&gt;SUMIFS($F$2:$F$1001,$A$2:$A$1001,A664,$B$2:$B$1001,B664-1)),"违规：风险预算须逐次不增加",IF(OR(_LockStatus="已锁仓",_LockStatus="解锁信息不完整"),"违规：锁仓期间禁止加仓",IF(G664="","计划可执行：建议股数见N列",IF(OR(G664&lt;=0,G664&lt;&gt;INT(G664),MOD(G664,100)&lt;&gt;0),"违规：实际股数须为100股整数倍",IF(G664&gt;N664,"违规：实际股数超过风险或金字塔上限",IF(AND(B664&gt;1,G664&gt;SUMIFS($G$2:$G$1001,$A$2:$A$1001,A664,$B$2:$B$1001,B664-1)),"违规：加仓股数须逐次不增加",IF(Q664&gt;F664,"违规：止损风险超过本次预算","通过")))))))))))))))</f>
        <v/>
      </c>
    </row>
    <row r="665" ht="17" spans="1:18">
      <c r="A665" s="13"/>
      <c r="B665" s="14"/>
      <c r="C665" s="15"/>
      <c r="D665" s="16"/>
      <c r="E665" s="16"/>
      <c r="F665" s="16"/>
      <c r="G665" s="14"/>
      <c r="H665" s="17" t="str">
        <f t="shared" si="80"/>
        <v/>
      </c>
      <c r="I665" s="18" t="str">
        <f>IF(OR(A665="",B665=""),"",IFERROR(LOOKUP(2,1/(单次交易!$A$2:$A$201=A665),单次交易!$H$2:$H$201),0)+SUMIFS($G$2:$G$1001,$A$2:$A$1001,A665,$B$2:$B$1001,"&lt;"&amp;B665))</f>
        <v/>
      </c>
      <c r="J665" s="17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17" t="str">
        <f t="shared" si="81"/>
        <v/>
      </c>
      <c r="L665" s="18" t="str">
        <f t="shared" si="82"/>
        <v/>
      </c>
      <c r="M665" s="18" t="str">
        <f t="shared" si="83"/>
        <v/>
      </c>
      <c r="N665" s="18" t="str">
        <f t="shared" si="84"/>
        <v/>
      </c>
      <c r="O665" s="18" t="str">
        <f t="shared" si="85"/>
        <v/>
      </c>
      <c r="P665" s="17" t="str">
        <f t="shared" si="86"/>
        <v/>
      </c>
      <c r="Q665" s="17" t="str">
        <f t="shared" si="87"/>
        <v/>
      </c>
      <c r="R665" s="19" t="str">
        <f ca="1">IF(A665="","",IF(COUNTIF(_TradeIds,A665)=0,"违规：交易编号不存在",IF(OR(B665="",B665&lt;1,B665&gt;5,B665&lt;&gt;INT(B665)),"违规：加仓序号须为1到5的整数",IF(COUNTIFS($A$2:$A$1001,A665,$B$2:$B$1001,B665)&gt;1,"违规：同一交易的加仓序号重复",IF(OR(D665="",E665="",F665=""),"计划不完整：请填写加仓价、新止损价和风险预算",IF(OR(D665&lt;=0,E665&lt;=0,F665&lt;=0,D665&lt;=E665),"违规：加仓价必须高于新止损价，金额须大于0",IF(AND(B665&gt;1,COUNTIFS($A$2:$A$1001,A665,$B$2:$B$1001,B665-1,$G$2:$G$1001,"&gt;0")=0),"违规：须先完成上一次加仓",IF(AND(B665&gt;1,E665&lt;SUMIFS($E$2:$E$1001,$A$2:$A$1001,A665,$B$2:$B$1001,B665-1)),"违规：新止损价不得低于上一次",IF(AND(B665&gt;1,F665&gt;SUMIFS($F$2:$F$1001,$A$2:$A$1001,A665,$B$2:$B$1001,B665-1)),"违规：风险预算须逐次不增加",IF(OR(_LockStatus="已锁仓",_LockStatus="解锁信息不完整"),"违规：锁仓期间禁止加仓",IF(G665="","计划可执行：建议股数见N列",IF(OR(G665&lt;=0,G665&lt;&gt;INT(G665),MOD(G665,100)&lt;&gt;0),"违规：实际股数须为100股整数倍",IF(G665&gt;N665,"违规：实际股数超过风险或金字塔上限",IF(AND(B665&gt;1,G665&gt;SUMIFS($G$2:$G$1001,$A$2:$A$1001,A665,$B$2:$B$1001,B665-1)),"违规：加仓股数须逐次不增加",IF(Q665&gt;F665,"违规：止损风险超过本次预算","通过")))))))))))))))</f>
        <v/>
      </c>
    </row>
    <row r="666" ht="17" spans="1:18">
      <c r="A666" s="13"/>
      <c r="B666" s="14"/>
      <c r="C666" s="15"/>
      <c r="D666" s="16"/>
      <c r="E666" s="16"/>
      <c r="F666" s="16"/>
      <c r="G666" s="14"/>
      <c r="H666" s="17" t="str">
        <f t="shared" si="80"/>
        <v/>
      </c>
      <c r="I666" s="18" t="str">
        <f>IF(OR(A666="",B666=""),"",IFERROR(LOOKUP(2,1/(单次交易!$A$2:$A$201=A666),单次交易!$H$2:$H$201),0)+SUMIFS($G$2:$G$1001,$A$2:$A$1001,A666,$B$2:$B$1001,"&lt;"&amp;B666))</f>
        <v/>
      </c>
      <c r="J666" s="17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17" t="str">
        <f t="shared" si="81"/>
        <v/>
      </c>
      <c r="L666" s="18" t="str">
        <f t="shared" si="82"/>
        <v/>
      </c>
      <c r="M666" s="18" t="str">
        <f t="shared" si="83"/>
        <v/>
      </c>
      <c r="N666" s="18" t="str">
        <f t="shared" si="84"/>
        <v/>
      </c>
      <c r="O666" s="18" t="str">
        <f t="shared" si="85"/>
        <v/>
      </c>
      <c r="P666" s="17" t="str">
        <f t="shared" si="86"/>
        <v/>
      </c>
      <c r="Q666" s="17" t="str">
        <f t="shared" si="87"/>
        <v/>
      </c>
      <c r="R666" s="19" t="str">
        <f ca="1">IF(A666="","",IF(COUNTIF(_TradeIds,A666)=0,"违规：交易编号不存在",IF(OR(B666="",B666&lt;1,B666&gt;5,B666&lt;&gt;INT(B666)),"违规：加仓序号须为1到5的整数",IF(COUNTIFS($A$2:$A$1001,A666,$B$2:$B$1001,B666)&gt;1,"违规：同一交易的加仓序号重复",IF(OR(D666="",E666="",F666=""),"计划不完整：请填写加仓价、新止损价和风险预算",IF(OR(D666&lt;=0,E666&lt;=0,F666&lt;=0,D666&lt;=E666),"违规：加仓价必须高于新止损价，金额须大于0",IF(AND(B666&gt;1,COUNTIFS($A$2:$A$1001,A666,$B$2:$B$1001,B666-1,$G$2:$G$1001,"&gt;0")=0),"违规：须先完成上一次加仓",IF(AND(B666&gt;1,E666&lt;SUMIFS($E$2:$E$1001,$A$2:$A$1001,A666,$B$2:$B$1001,B666-1)),"违规：新止损价不得低于上一次",IF(AND(B666&gt;1,F666&gt;SUMIFS($F$2:$F$1001,$A$2:$A$1001,A666,$B$2:$B$1001,B666-1)),"违规：风险预算须逐次不增加",IF(OR(_LockStatus="已锁仓",_LockStatus="解锁信息不完整"),"违规：锁仓期间禁止加仓",IF(G666="","计划可执行：建议股数见N列",IF(OR(G666&lt;=0,G666&lt;&gt;INT(G666),MOD(G666,100)&lt;&gt;0),"违规：实际股数须为100股整数倍",IF(G666&gt;N666,"违规：实际股数超过风险或金字塔上限",IF(AND(B666&gt;1,G666&gt;SUMIFS($G$2:$G$1001,$A$2:$A$1001,A666,$B$2:$B$1001,B666-1)),"违规：加仓股数须逐次不增加",IF(Q666&gt;F666,"违规：止损风险超过本次预算","通过")))))))))))))))</f>
        <v/>
      </c>
    </row>
    <row r="667" ht="17" spans="1:18">
      <c r="A667" s="13"/>
      <c r="B667" s="14"/>
      <c r="C667" s="15"/>
      <c r="D667" s="16"/>
      <c r="E667" s="16"/>
      <c r="F667" s="16"/>
      <c r="G667" s="14"/>
      <c r="H667" s="17" t="str">
        <f t="shared" si="80"/>
        <v/>
      </c>
      <c r="I667" s="18" t="str">
        <f>IF(OR(A667="",B667=""),"",IFERROR(LOOKUP(2,1/(单次交易!$A$2:$A$201=A667),单次交易!$H$2:$H$201),0)+SUMIFS($G$2:$G$1001,$A$2:$A$1001,A667,$B$2:$B$1001,"&lt;"&amp;B667))</f>
        <v/>
      </c>
      <c r="J667" s="17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17" t="str">
        <f t="shared" si="81"/>
        <v/>
      </c>
      <c r="L667" s="18" t="str">
        <f t="shared" si="82"/>
        <v/>
      </c>
      <c r="M667" s="18" t="str">
        <f t="shared" si="83"/>
        <v/>
      </c>
      <c r="N667" s="18" t="str">
        <f t="shared" si="84"/>
        <v/>
      </c>
      <c r="O667" s="18" t="str">
        <f t="shared" si="85"/>
        <v/>
      </c>
      <c r="P667" s="17" t="str">
        <f t="shared" si="86"/>
        <v/>
      </c>
      <c r="Q667" s="17" t="str">
        <f t="shared" si="87"/>
        <v/>
      </c>
      <c r="R667" s="19" t="str">
        <f ca="1">IF(A667="","",IF(COUNTIF(_TradeIds,A667)=0,"违规：交易编号不存在",IF(OR(B667="",B667&lt;1,B667&gt;5,B667&lt;&gt;INT(B667)),"违规：加仓序号须为1到5的整数",IF(COUNTIFS($A$2:$A$1001,A667,$B$2:$B$1001,B667)&gt;1,"违规：同一交易的加仓序号重复",IF(OR(D667="",E667="",F667=""),"计划不完整：请填写加仓价、新止损价和风险预算",IF(OR(D667&lt;=0,E667&lt;=0,F667&lt;=0,D667&lt;=E667),"违规：加仓价必须高于新止损价，金额须大于0",IF(AND(B667&gt;1,COUNTIFS($A$2:$A$1001,A667,$B$2:$B$1001,B667-1,$G$2:$G$1001,"&gt;0")=0),"违规：须先完成上一次加仓",IF(AND(B667&gt;1,E667&lt;SUMIFS($E$2:$E$1001,$A$2:$A$1001,A667,$B$2:$B$1001,B667-1)),"违规：新止损价不得低于上一次",IF(AND(B667&gt;1,F667&gt;SUMIFS($F$2:$F$1001,$A$2:$A$1001,A667,$B$2:$B$1001,B667-1)),"违规：风险预算须逐次不增加",IF(OR(_LockStatus="已锁仓",_LockStatus="解锁信息不完整"),"违规：锁仓期间禁止加仓",IF(G667="","计划可执行：建议股数见N列",IF(OR(G667&lt;=0,G667&lt;&gt;INT(G667),MOD(G667,100)&lt;&gt;0),"违规：实际股数须为100股整数倍",IF(G667&gt;N667,"违规：实际股数超过风险或金字塔上限",IF(AND(B667&gt;1,G667&gt;SUMIFS($G$2:$G$1001,$A$2:$A$1001,A667,$B$2:$B$1001,B667-1)),"违规：加仓股数须逐次不增加",IF(Q667&gt;F667,"违规：止损风险超过本次预算","通过")))))))))))))))</f>
        <v/>
      </c>
    </row>
    <row r="668" ht="17" spans="1:18">
      <c r="A668" s="13"/>
      <c r="B668" s="14"/>
      <c r="C668" s="15"/>
      <c r="D668" s="16"/>
      <c r="E668" s="16"/>
      <c r="F668" s="16"/>
      <c r="G668" s="14"/>
      <c r="H668" s="17" t="str">
        <f t="shared" si="80"/>
        <v/>
      </c>
      <c r="I668" s="18" t="str">
        <f>IF(OR(A668="",B668=""),"",IFERROR(LOOKUP(2,1/(单次交易!$A$2:$A$201=A668),单次交易!$H$2:$H$201),0)+SUMIFS($G$2:$G$1001,$A$2:$A$1001,A668,$B$2:$B$1001,"&lt;"&amp;B668))</f>
        <v/>
      </c>
      <c r="J668" s="17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17" t="str">
        <f t="shared" si="81"/>
        <v/>
      </c>
      <c r="L668" s="18" t="str">
        <f t="shared" si="82"/>
        <v/>
      </c>
      <c r="M668" s="18" t="str">
        <f t="shared" si="83"/>
        <v/>
      </c>
      <c r="N668" s="18" t="str">
        <f t="shared" si="84"/>
        <v/>
      </c>
      <c r="O668" s="18" t="str">
        <f t="shared" si="85"/>
        <v/>
      </c>
      <c r="P668" s="17" t="str">
        <f t="shared" si="86"/>
        <v/>
      </c>
      <c r="Q668" s="17" t="str">
        <f t="shared" si="87"/>
        <v/>
      </c>
      <c r="R668" s="19" t="str">
        <f ca="1">IF(A668="","",IF(COUNTIF(_TradeIds,A668)=0,"违规：交易编号不存在",IF(OR(B668="",B668&lt;1,B668&gt;5,B668&lt;&gt;INT(B668)),"违规：加仓序号须为1到5的整数",IF(COUNTIFS($A$2:$A$1001,A668,$B$2:$B$1001,B668)&gt;1,"违规：同一交易的加仓序号重复",IF(OR(D668="",E668="",F668=""),"计划不完整：请填写加仓价、新止损价和风险预算",IF(OR(D668&lt;=0,E668&lt;=0,F668&lt;=0,D668&lt;=E668),"违规：加仓价必须高于新止损价，金额须大于0",IF(AND(B668&gt;1,COUNTIFS($A$2:$A$1001,A668,$B$2:$B$1001,B668-1,$G$2:$G$1001,"&gt;0")=0),"违规：须先完成上一次加仓",IF(AND(B668&gt;1,E668&lt;SUMIFS($E$2:$E$1001,$A$2:$A$1001,A668,$B$2:$B$1001,B668-1)),"违规：新止损价不得低于上一次",IF(AND(B668&gt;1,F668&gt;SUMIFS($F$2:$F$1001,$A$2:$A$1001,A668,$B$2:$B$1001,B668-1)),"违规：风险预算须逐次不增加",IF(OR(_LockStatus="已锁仓",_LockStatus="解锁信息不完整"),"违规：锁仓期间禁止加仓",IF(G668="","计划可执行：建议股数见N列",IF(OR(G668&lt;=0,G668&lt;&gt;INT(G668),MOD(G668,100)&lt;&gt;0),"违规：实际股数须为100股整数倍",IF(G668&gt;N668,"违规：实际股数超过风险或金字塔上限",IF(AND(B668&gt;1,G668&gt;SUMIFS($G$2:$G$1001,$A$2:$A$1001,A668,$B$2:$B$1001,B668-1)),"违规：加仓股数须逐次不增加",IF(Q668&gt;F668,"违规：止损风险超过本次预算","通过")))))))))))))))</f>
        <v/>
      </c>
    </row>
    <row r="669" ht="17" spans="1:18">
      <c r="A669" s="13"/>
      <c r="B669" s="14"/>
      <c r="C669" s="15"/>
      <c r="D669" s="16"/>
      <c r="E669" s="16"/>
      <c r="F669" s="16"/>
      <c r="G669" s="14"/>
      <c r="H669" s="17" t="str">
        <f t="shared" si="80"/>
        <v/>
      </c>
      <c r="I669" s="18" t="str">
        <f>IF(OR(A669="",B669=""),"",IFERROR(LOOKUP(2,1/(单次交易!$A$2:$A$201=A669),单次交易!$H$2:$H$201),0)+SUMIFS($G$2:$G$1001,$A$2:$A$1001,A669,$B$2:$B$1001,"&lt;"&amp;B669))</f>
        <v/>
      </c>
      <c r="J669" s="17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17" t="str">
        <f t="shared" si="81"/>
        <v/>
      </c>
      <c r="L669" s="18" t="str">
        <f t="shared" si="82"/>
        <v/>
      </c>
      <c r="M669" s="18" t="str">
        <f t="shared" si="83"/>
        <v/>
      </c>
      <c r="N669" s="18" t="str">
        <f t="shared" si="84"/>
        <v/>
      </c>
      <c r="O669" s="18" t="str">
        <f t="shared" si="85"/>
        <v/>
      </c>
      <c r="P669" s="17" t="str">
        <f t="shared" si="86"/>
        <v/>
      </c>
      <c r="Q669" s="17" t="str">
        <f t="shared" si="87"/>
        <v/>
      </c>
      <c r="R669" s="19" t="str">
        <f ca="1">IF(A669="","",IF(COUNTIF(_TradeIds,A669)=0,"违规：交易编号不存在",IF(OR(B669="",B669&lt;1,B669&gt;5,B669&lt;&gt;INT(B669)),"违规：加仓序号须为1到5的整数",IF(COUNTIFS($A$2:$A$1001,A669,$B$2:$B$1001,B669)&gt;1,"违规：同一交易的加仓序号重复",IF(OR(D669="",E669="",F669=""),"计划不完整：请填写加仓价、新止损价和风险预算",IF(OR(D669&lt;=0,E669&lt;=0,F669&lt;=0,D669&lt;=E669),"违规：加仓价必须高于新止损价，金额须大于0",IF(AND(B669&gt;1,COUNTIFS($A$2:$A$1001,A669,$B$2:$B$1001,B669-1,$G$2:$G$1001,"&gt;0")=0),"违规：须先完成上一次加仓",IF(AND(B669&gt;1,E669&lt;SUMIFS($E$2:$E$1001,$A$2:$A$1001,A669,$B$2:$B$1001,B669-1)),"违规：新止损价不得低于上一次",IF(AND(B669&gt;1,F669&gt;SUMIFS($F$2:$F$1001,$A$2:$A$1001,A669,$B$2:$B$1001,B669-1)),"违规：风险预算须逐次不增加",IF(OR(_LockStatus="已锁仓",_LockStatus="解锁信息不完整"),"违规：锁仓期间禁止加仓",IF(G669="","计划可执行：建议股数见N列",IF(OR(G669&lt;=0,G669&lt;&gt;INT(G669),MOD(G669,100)&lt;&gt;0),"违规：实际股数须为100股整数倍",IF(G669&gt;N669,"违规：实际股数超过风险或金字塔上限",IF(AND(B669&gt;1,G669&gt;SUMIFS($G$2:$G$1001,$A$2:$A$1001,A669,$B$2:$B$1001,B669-1)),"违规：加仓股数须逐次不增加",IF(Q669&gt;F669,"违规：止损风险超过本次预算","通过")))))))))))))))</f>
        <v/>
      </c>
    </row>
    <row r="670" ht="17" spans="1:18">
      <c r="A670" s="13"/>
      <c r="B670" s="14"/>
      <c r="C670" s="15"/>
      <c r="D670" s="16"/>
      <c r="E670" s="16"/>
      <c r="F670" s="16"/>
      <c r="G670" s="14"/>
      <c r="H670" s="17" t="str">
        <f t="shared" si="80"/>
        <v/>
      </c>
      <c r="I670" s="18" t="str">
        <f>IF(OR(A670="",B670=""),"",IFERROR(LOOKUP(2,1/(单次交易!$A$2:$A$201=A670),单次交易!$H$2:$H$201),0)+SUMIFS($G$2:$G$1001,$A$2:$A$1001,A670,$B$2:$B$1001,"&lt;"&amp;B670))</f>
        <v/>
      </c>
      <c r="J670" s="17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17" t="str">
        <f t="shared" si="81"/>
        <v/>
      </c>
      <c r="L670" s="18" t="str">
        <f t="shared" si="82"/>
        <v/>
      </c>
      <c r="M670" s="18" t="str">
        <f t="shared" si="83"/>
        <v/>
      </c>
      <c r="N670" s="18" t="str">
        <f t="shared" si="84"/>
        <v/>
      </c>
      <c r="O670" s="18" t="str">
        <f t="shared" si="85"/>
        <v/>
      </c>
      <c r="P670" s="17" t="str">
        <f t="shared" si="86"/>
        <v/>
      </c>
      <c r="Q670" s="17" t="str">
        <f t="shared" si="87"/>
        <v/>
      </c>
      <c r="R670" s="19" t="str">
        <f ca="1">IF(A670="","",IF(COUNTIF(_TradeIds,A670)=0,"违规：交易编号不存在",IF(OR(B670="",B670&lt;1,B670&gt;5,B670&lt;&gt;INT(B670)),"违规：加仓序号须为1到5的整数",IF(COUNTIFS($A$2:$A$1001,A670,$B$2:$B$1001,B670)&gt;1,"违规：同一交易的加仓序号重复",IF(OR(D670="",E670="",F670=""),"计划不完整：请填写加仓价、新止损价和风险预算",IF(OR(D670&lt;=0,E670&lt;=0,F670&lt;=0,D670&lt;=E670),"违规：加仓价必须高于新止损价，金额须大于0",IF(AND(B670&gt;1,COUNTIFS($A$2:$A$1001,A670,$B$2:$B$1001,B670-1,$G$2:$G$1001,"&gt;0")=0),"违规：须先完成上一次加仓",IF(AND(B670&gt;1,E670&lt;SUMIFS($E$2:$E$1001,$A$2:$A$1001,A670,$B$2:$B$1001,B670-1)),"违规：新止损价不得低于上一次",IF(AND(B670&gt;1,F670&gt;SUMIFS($F$2:$F$1001,$A$2:$A$1001,A670,$B$2:$B$1001,B670-1)),"违规：风险预算须逐次不增加",IF(OR(_LockStatus="已锁仓",_LockStatus="解锁信息不完整"),"违规：锁仓期间禁止加仓",IF(G670="","计划可执行：建议股数见N列",IF(OR(G670&lt;=0,G670&lt;&gt;INT(G670),MOD(G670,100)&lt;&gt;0),"违规：实际股数须为100股整数倍",IF(G670&gt;N670,"违规：实际股数超过风险或金字塔上限",IF(AND(B670&gt;1,G670&gt;SUMIFS($G$2:$G$1001,$A$2:$A$1001,A670,$B$2:$B$1001,B670-1)),"违规：加仓股数须逐次不增加",IF(Q670&gt;F670,"违规：止损风险超过本次预算","通过")))))))))))))))</f>
        <v/>
      </c>
    </row>
    <row r="671" ht="17" spans="1:18">
      <c r="A671" s="13"/>
      <c r="B671" s="14"/>
      <c r="C671" s="15"/>
      <c r="D671" s="16"/>
      <c r="E671" s="16"/>
      <c r="F671" s="16"/>
      <c r="G671" s="14"/>
      <c r="H671" s="17" t="str">
        <f t="shared" si="80"/>
        <v/>
      </c>
      <c r="I671" s="18" t="str">
        <f>IF(OR(A671="",B671=""),"",IFERROR(LOOKUP(2,1/(单次交易!$A$2:$A$201=A671),单次交易!$H$2:$H$201),0)+SUMIFS($G$2:$G$1001,$A$2:$A$1001,A671,$B$2:$B$1001,"&lt;"&amp;B671))</f>
        <v/>
      </c>
      <c r="J671" s="17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17" t="str">
        <f t="shared" si="81"/>
        <v/>
      </c>
      <c r="L671" s="18" t="str">
        <f t="shared" si="82"/>
        <v/>
      </c>
      <c r="M671" s="18" t="str">
        <f t="shared" si="83"/>
        <v/>
      </c>
      <c r="N671" s="18" t="str">
        <f t="shared" si="84"/>
        <v/>
      </c>
      <c r="O671" s="18" t="str">
        <f t="shared" si="85"/>
        <v/>
      </c>
      <c r="P671" s="17" t="str">
        <f t="shared" si="86"/>
        <v/>
      </c>
      <c r="Q671" s="17" t="str">
        <f t="shared" si="87"/>
        <v/>
      </c>
      <c r="R671" s="19" t="str">
        <f ca="1">IF(A671="","",IF(COUNTIF(_TradeIds,A671)=0,"违规：交易编号不存在",IF(OR(B671="",B671&lt;1,B671&gt;5,B671&lt;&gt;INT(B671)),"违规：加仓序号须为1到5的整数",IF(COUNTIFS($A$2:$A$1001,A671,$B$2:$B$1001,B671)&gt;1,"违规：同一交易的加仓序号重复",IF(OR(D671="",E671="",F671=""),"计划不完整：请填写加仓价、新止损价和风险预算",IF(OR(D671&lt;=0,E671&lt;=0,F671&lt;=0,D671&lt;=E671),"违规：加仓价必须高于新止损价，金额须大于0",IF(AND(B671&gt;1,COUNTIFS($A$2:$A$1001,A671,$B$2:$B$1001,B671-1,$G$2:$G$1001,"&gt;0")=0),"违规：须先完成上一次加仓",IF(AND(B671&gt;1,E671&lt;SUMIFS($E$2:$E$1001,$A$2:$A$1001,A671,$B$2:$B$1001,B671-1)),"违规：新止损价不得低于上一次",IF(AND(B671&gt;1,F671&gt;SUMIFS($F$2:$F$1001,$A$2:$A$1001,A671,$B$2:$B$1001,B671-1)),"违规：风险预算须逐次不增加",IF(OR(_LockStatus="已锁仓",_LockStatus="解锁信息不完整"),"违规：锁仓期间禁止加仓",IF(G671="","计划可执行：建议股数见N列",IF(OR(G671&lt;=0,G671&lt;&gt;INT(G671),MOD(G671,100)&lt;&gt;0),"违规：实际股数须为100股整数倍",IF(G671&gt;N671,"违规：实际股数超过风险或金字塔上限",IF(AND(B671&gt;1,G671&gt;SUMIFS($G$2:$G$1001,$A$2:$A$1001,A671,$B$2:$B$1001,B671-1)),"违规：加仓股数须逐次不增加",IF(Q671&gt;F671,"违规：止损风险超过本次预算","通过")))))))))))))))</f>
        <v/>
      </c>
    </row>
    <row r="672" ht="17" spans="1:18">
      <c r="A672" s="13"/>
      <c r="B672" s="14"/>
      <c r="C672" s="15"/>
      <c r="D672" s="16"/>
      <c r="E672" s="16"/>
      <c r="F672" s="16"/>
      <c r="G672" s="14"/>
      <c r="H672" s="17" t="str">
        <f t="shared" si="80"/>
        <v/>
      </c>
      <c r="I672" s="18" t="str">
        <f>IF(OR(A672="",B672=""),"",IFERROR(LOOKUP(2,1/(单次交易!$A$2:$A$201=A672),单次交易!$H$2:$H$201),0)+SUMIFS($G$2:$G$1001,$A$2:$A$1001,A672,$B$2:$B$1001,"&lt;"&amp;B672))</f>
        <v/>
      </c>
      <c r="J672" s="17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17" t="str">
        <f t="shared" si="81"/>
        <v/>
      </c>
      <c r="L672" s="18" t="str">
        <f t="shared" si="82"/>
        <v/>
      </c>
      <c r="M672" s="18" t="str">
        <f t="shared" si="83"/>
        <v/>
      </c>
      <c r="N672" s="18" t="str">
        <f t="shared" si="84"/>
        <v/>
      </c>
      <c r="O672" s="18" t="str">
        <f t="shared" si="85"/>
        <v/>
      </c>
      <c r="P672" s="17" t="str">
        <f t="shared" si="86"/>
        <v/>
      </c>
      <c r="Q672" s="17" t="str">
        <f t="shared" si="87"/>
        <v/>
      </c>
      <c r="R672" s="19" t="str">
        <f ca="1">IF(A672="","",IF(COUNTIF(_TradeIds,A672)=0,"违规：交易编号不存在",IF(OR(B672="",B672&lt;1,B672&gt;5,B672&lt;&gt;INT(B672)),"违规：加仓序号须为1到5的整数",IF(COUNTIFS($A$2:$A$1001,A672,$B$2:$B$1001,B672)&gt;1,"违规：同一交易的加仓序号重复",IF(OR(D672="",E672="",F672=""),"计划不完整：请填写加仓价、新止损价和风险预算",IF(OR(D672&lt;=0,E672&lt;=0,F672&lt;=0,D672&lt;=E672),"违规：加仓价必须高于新止损价，金额须大于0",IF(AND(B672&gt;1,COUNTIFS($A$2:$A$1001,A672,$B$2:$B$1001,B672-1,$G$2:$G$1001,"&gt;0")=0),"违规：须先完成上一次加仓",IF(AND(B672&gt;1,E672&lt;SUMIFS($E$2:$E$1001,$A$2:$A$1001,A672,$B$2:$B$1001,B672-1)),"违规：新止损价不得低于上一次",IF(AND(B672&gt;1,F672&gt;SUMIFS($F$2:$F$1001,$A$2:$A$1001,A672,$B$2:$B$1001,B672-1)),"违规：风险预算须逐次不增加",IF(OR(_LockStatus="已锁仓",_LockStatus="解锁信息不完整"),"违规：锁仓期间禁止加仓",IF(G672="","计划可执行：建议股数见N列",IF(OR(G672&lt;=0,G672&lt;&gt;INT(G672),MOD(G672,100)&lt;&gt;0),"违规：实际股数须为100股整数倍",IF(G672&gt;N672,"违规：实际股数超过风险或金字塔上限",IF(AND(B672&gt;1,G672&gt;SUMIFS($G$2:$G$1001,$A$2:$A$1001,A672,$B$2:$B$1001,B672-1)),"违规：加仓股数须逐次不增加",IF(Q672&gt;F672,"违规：止损风险超过本次预算","通过")))))))))))))))</f>
        <v/>
      </c>
    </row>
    <row r="673" ht="17" spans="1:18">
      <c r="A673" s="13"/>
      <c r="B673" s="14"/>
      <c r="C673" s="15"/>
      <c r="D673" s="16"/>
      <c r="E673" s="16"/>
      <c r="F673" s="16"/>
      <c r="G673" s="14"/>
      <c r="H673" s="17" t="str">
        <f t="shared" si="80"/>
        <v/>
      </c>
      <c r="I673" s="18" t="str">
        <f>IF(OR(A673="",B673=""),"",IFERROR(LOOKUP(2,1/(单次交易!$A$2:$A$201=A673),单次交易!$H$2:$H$201),0)+SUMIFS($G$2:$G$1001,$A$2:$A$1001,A673,$B$2:$B$1001,"&lt;"&amp;B673))</f>
        <v/>
      </c>
      <c r="J673" s="17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17" t="str">
        <f t="shared" si="81"/>
        <v/>
      </c>
      <c r="L673" s="18" t="str">
        <f t="shared" si="82"/>
        <v/>
      </c>
      <c r="M673" s="18" t="str">
        <f t="shared" si="83"/>
        <v/>
      </c>
      <c r="N673" s="18" t="str">
        <f t="shared" si="84"/>
        <v/>
      </c>
      <c r="O673" s="18" t="str">
        <f t="shared" si="85"/>
        <v/>
      </c>
      <c r="P673" s="17" t="str">
        <f t="shared" si="86"/>
        <v/>
      </c>
      <c r="Q673" s="17" t="str">
        <f t="shared" si="87"/>
        <v/>
      </c>
      <c r="R673" s="19" t="str">
        <f ca="1">IF(A673="","",IF(COUNTIF(_TradeIds,A673)=0,"违规：交易编号不存在",IF(OR(B673="",B673&lt;1,B673&gt;5,B673&lt;&gt;INT(B673)),"违规：加仓序号须为1到5的整数",IF(COUNTIFS($A$2:$A$1001,A673,$B$2:$B$1001,B673)&gt;1,"违规：同一交易的加仓序号重复",IF(OR(D673="",E673="",F673=""),"计划不完整：请填写加仓价、新止损价和风险预算",IF(OR(D673&lt;=0,E673&lt;=0,F673&lt;=0,D673&lt;=E673),"违规：加仓价必须高于新止损价，金额须大于0",IF(AND(B673&gt;1,COUNTIFS($A$2:$A$1001,A673,$B$2:$B$1001,B673-1,$G$2:$G$1001,"&gt;0")=0),"违规：须先完成上一次加仓",IF(AND(B673&gt;1,E673&lt;SUMIFS($E$2:$E$1001,$A$2:$A$1001,A673,$B$2:$B$1001,B673-1)),"违规：新止损价不得低于上一次",IF(AND(B673&gt;1,F673&gt;SUMIFS($F$2:$F$1001,$A$2:$A$1001,A673,$B$2:$B$1001,B673-1)),"违规：风险预算须逐次不增加",IF(OR(_LockStatus="已锁仓",_LockStatus="解锁信息不完整"),"违规：锁仓期间禁止加仓",IF(G673="","计划可执行：建议股数见N列",IF(OR(G673&lt;=0,G673&lt;&gt;INT(G673),MOD(G673,100)&lt;&gt;0),"违规：实际股数须为100股整数倍",IF(G673&gt;N673,"违规：实际股数超过风险或金字塔上限",IF(AND(B673&gt;1,G673&gt;SUMIFS($G$2:$G$1001,$A$2:$A$1001,A673,$B$2:$B$1001,B673-1)),"违规：加仓股数须逐次不增加",IF(Q673&gt;F673,"违规：止损风险超过本次预算","通过")))))))))))))))</f>
        <v/>
      </c>
    </row>
    <row r="674" ht="17" spans="1:18">
      <c r="A674" s="13"/>
      <c r="B674" s="14"/>
      <c r="C674" s="15"/>
      <c r="D674" s="16"/>
      <c r="E674" s="16"/>
      <c r="F674" s="16"/>
      <c r="G674" s="14"/>
      <c r="H674" s="17" t="str">
        <f t="shared" si="80"/>
        <v/>
      </c>
      <c r="I674" s="18" t="str">
        <f>IF(OR(A674="",B674=""),"",IFERROR(LOOKUP(2,1/(单次交易!$A$2:$A$201=A674),单次交易!$H$2:$H$201),0)+SUMIFS($G$2:$G$1001,$A$2:$A$1001,A674,$B$2:$B$1001,"&lt;"&amp;B674))</f>
        <v/>
      </c>
      <c r="J674" s="17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17" t="str">
        <f t="shared" si="81"/>
        <v/>
      </c>
      <c r="L674" s="18" t="str">
        <f t="shared" si="82"/>
        <v/>
      </c>
      <c r="M674" s="18" t="str">
        <f t="shared" si="83"/>
        <v/>
      </c>
      <c r="N674" s="18" t="str">
        <f t="shared" si="84"/>
        <v/>
      </c>
      <c r="O674" s="18" t="str">
        <f t="shared" si="85"/>
        <v/>
      </c>
      <c r="P674" s="17" t="str">
        <f t="shared" si="86"/>
        <v/>
      </c>
      <c r="Q674" s="17" t="str">
        <f t="shared" si="87"/>
        <v/>
      </c>
      <c r="R674" s="19" t="str">
        <f ca="1">IF(A674="","",IF(COUNTIF(_TradeIds,A674)=0,"违规：交易编号不存在",IF(OR(B674="",B674&lt;1,B674&gt;5,B674&lt;&gt;INT(B674)),"违规：加仓序号须为1到5的整数",IF(COUNTIFS($A$2:$A$1001,A674,$B$2:$B$1001,B674)&gt;1,"违规：同一交易的加仓序号重复",IF(OR(D674="",E674="",F674=""),"计划不完整：请填写加仓价、新止损价和风险预算",IF(OR(D674&lt;=0,E674&lt;=0,F674&lt;=0,D674&lt;=E674),"违规：加仓价必须高于新止损价，金额须大于0",IF(AND(B674&gt;1,COUNTIFS($A$2:$A$1001,A674,$B$2:$B$1001,B674-1,$G$2:$G$1001,"&gt;0")=0),"违规：须先完成上一次加仓",IF(AND(B674&gt;1,E674&lt;SUMIFS($E$2:$E$1001,$A$2:$A$1001,A674,$B$2:$B$1001,B674-1)),"违规：新止损价不得低于上一次",IF(AND(B674&gt;1,F674&gt;SUMIFS($F$2:$F$1001,$A$2:$A$1001,A674,$B$2:$B$1001,B674-1)),"违规：风险预算须逐次不增加",IF(OR(_LockStatus="已锁仓",_LockStatus="解锁信息不完整"),"违规：锁仓期间禁止加仓",IF(G674="","计划可执行：建议股数见N列",IF(OR(G674&lt;=0,G674&lt;&gt;INT(G674),MOD(G674,100)&lt;&gt;0),"违规：实际股数须为100股整数倍",IF(G674&gt;N674,"违规：实际股数超过风险或金字塔上限",IF(AND(B674&gt;1,G674&gt;SUMIFS($G$2:$G$1001,$A$2:$A$1001,A674,$B$2:$B$1001,B674-1)),"违规：加仓股数须逐次不增加",IF(Q674&gt;F674,"违规：止损风险超过本次预算","通过")))))))))))))))</f>
        <v/>
      </c>
    </row>
    <row r="675" ht="17" spans="1:18">
      <c r="A675" s="13"/>
      <c r="B675" s="14"/>
      <c r="C675" s="15"/>
      <c r="D675" s="16"/>
      <c r="E675" s="16"/>
      <c r="F675" s="16"/>
      <c r="G675" s="14"/>
      <c r="H675" s="17" t="str">
        <f t="shared" si="80"/>
        <v/>
      </c>
      <c r="I675" s="18" t="str">
        <f>IF(OR(A675="",B675=""),"",IFERROR(LOOKUP(2,1/(单次交易!$A$2:$A$201=A675),单次交易!$H$2:$H$201),0)+SUMIFS($G$2:$G$1001,$A$2:$A$1001,A675,$B$2:$B$1001,"&lt;"&amp;B675))</f>
        <v/>
      </c>
      <c r="J675" s="17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17" t="str">
        <f t="shared" si="81"/>
        <v/>
      </c>
      <c r="L675" s="18" t="str">
        <f t="shared" si="82"/>
        <v/>
      </c>
      <c r="M675" s="18" t="str">
        <f t="shared" si="83"/>
        <v/>
      </c>
      <c r="N675" s="18" t="str">
        <f t="shared" si="84"/>
        <v/>
      </c>
      <c r="O675" s="18" t="str">
        <f t="shared" si="85"/>
        <v/>
      </c>
      <c r="P675" s="17" t="str">
        <f t="shared" si="86"/>
        <v/>
      </c>
      <c r="Q675" s="17" t="str">
        <f t="shared" si="87"/>
        <v/>
      </c>
      <c r="R675" s="19" t="str">
        <f ca="1">IF(A675="","",IF(COUNTIF(_TradeIds,A675)=0,"违规：交易编号不存在",IF(OR(B675="",B675&lt;1,B675&gt;5,B675&lt;&gt;INT(B675)),"违规：加仓序号须为1到5的整数",IF(COUNTIFS($A$2:$A$1001,A675,$B$2:$B$1001,B675)&gt;1,"违规：同一交易的加仓序号重复",IF(OR(D675="",E675="",F675=""),"计划不完整：请填写加仓价、新止损价和风险预算",IF(OR(D675&lt;=0,E675&lt;=0,F675&lt;=0,D675&lt;=E675),"违规：加仓价必须高于新止损价，金额须大于0",IF(AND(B675&gt;1,COUNTIFS($A$2:$A$1001,A675,$B$2:$B$1001,B675-1,$G$2:$G$1001,"&gt;0")=0),"违规：须先完成上一次加仓",IF(AND(B675&gt;1,E675&lt;SUMIFS($E$2:$E$1001,$A$2:$A$1001,A675,$B$2:$B$1001,B675-1)),"违规：新止损价不得低于上一次",IF(AND(B675&gt;1,F675&gt;SUMIFS($F$2:$F$1001,$A$2:$A$1001,A675,$B$2:$B$1001,B675-1)),"违规：风险预算须逐次不增加",IF(OR(_LockStatus="已锁仓",_LockStatus="解锁信息不完整"),"违规：锁仓期间禁止加仓",IF(G675="","计划可执行：建议股数见N列",IF(OR(G675&lt;=0,G675&lt;&gt;INT(G675),MOD(G675,100)&lt;&gt;0),"违规：实际股数须为100股整数倍",IF(G675&gt;N675,"违规：实际股数超过风险或金字塔上限",IF(AND(B675&gt;1,G675&gt;SUMIFS($G$2:$G$1001,$A$2:$A$1001,A675,$B$2:$B$1001,B675-1)),"违规：加仓股数须逐次不增加",IF(Q675&gt;F675,"违规：止损风险超过本次预算","通过")))))))))))))))</f>
        <v/>
      </c>
    </row>
    <row r="676" ht="17" spans="1:18">
      <c r="A676" s="13"/>
      <c r="B676" s="14"/>
      <c r="C676" s="15"/>
      <c r="D676" s="16"/>
      <c r="E676" s="16"/>
      <c r="F676" s="16"/>
      <c r="G676" s="14"/>
      <c r="H676" s="17" t="str">
        <f t="shared" si="80"/>
        <v/>
      </c>
      <c r="I676" s="18" t="str">
        <f>IF(OR(A676="",B676=""),"",IFERROR(LOOKUP(2,1/(单次交易!$A$2:$A$201=A676),单次交易!$H$2:$H$201),0)+SUMIFS($G$2:$G$1001,$A$2:$A$1001,A676,$B$2:$B$1001,"&lt;"&amp;B676))</f>
        <v/>
      </c>
      <c r="J676" s="17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17" t="str">
        <f t="shared" si="81"/>
        <v/>
      </c>
      <c r="L676" s="18" t="str">
        <f t="shared" si="82"/>
        <v/>
      </c>
      <c r="M676" s="18" t="str">
        <f t="shared" si="83"/>
        <v/>
      </c>
      <c r="N676" s="18" t="str">
        <f t="shared" si="84"/>
        <v/>
      </c>
      <c r="O676" s="18" t="str">
        <f t="shared" si="85"/>
        <v/>
      </c>
      <c r="P676" s="17" t="str">
        <f t="shared" si="86"/>
        <v/>
      </c>
      <c r="Q676" s="17" t="str">
        <f t="shared" si="87"/>
        <v/>
      </c>
      <c r="R676" s="19" t="str">
        <f ca="1">IF(A676="","",IF(COUNTIF(_TradeIds,A676)=0,"违规：交易编号不存在",IF(OR(B676="",B676&lt;1,B676&gt;5,B676&lt;&gt;INT(B676)),"违规：加仓序号须为1到5的整数",IF(COUNTIFS($A$2:$A$1001,A676,$B$2:$B$1001,B676)&gt;1,"违规：同一交易的加仓序号重复",IF(OR(D676="",E676="",F676=""),"计划不完整：请填写加仓价、新止损价和风险预算",IF(OR(D676&lt;=0,E676&lt;=0,F676&lt;=0,D676&lt;=E676),"违规：加仓价必须高于新止损价，金额须大于0",IF(AND(B676&gt;1,COUNTIFS($A$2:$A$1001,A676,$B$2:$B$1001,B676-1,$G$2:$G$1001,"&gt;0")=0),"违规：须先完成上一次加仓",IF(AND(B676&gt;1,E676&lt;SUMIFS($E$2:$E$1001,$A$2:$A$1001,A676,$B$2:$B$1001,B676-1)),"违规：新止损价不得低于上一次",IF(AND(B676&gt;1,F676&gt;SUMIFS($F$2:$F$1001,$A$2:$A$1001,A676,$B$2:$B$1001,B676-1)),"违规：风险预算须逐次不增加",IF(OR(_LockStatus="已锁仓",_LockStatus="解锁信息不完整"),"违规：锁仓期间禁止加仓",IF(G676="","计划可执行：建议股数见N列",IF(OR(G676&lt;=0,G676&lt;&gt;INT(G676),MOD(G676,100)&lt;&gt;0),"违规：实际股数须为100股整数倍",IF(G676&gt;N676,"违规：实际股数超过风险或金字塔上限",IF(AND(B676&gt;1,G676&gt;SUMIFS($G$2:$G$1001,$A$2:$A$1001,A676,$B$2:$B$1001,B676-1)),"违规：加仓股数须逐次不增加",IF(Q676&gt;F676,"违规：止损风险超过本次预算","通过")))))))))))))))</f>
        <v/>
      </c>
    </row>
    <row r="677" ht="17" spans="1:18">
      <c r="A677" s="13"/>
      <c r="B677" s="14"/>
      <c r="C677" s="15"/>
      <c r="D677" s="16"/>
      <c r="E677" s="16"/>
      <c r="F677" s="16"/>
      <c r="G677" s="14"/>
      <c r="H677" s="17" t="str">
        <f t="shared" si="80"/>
        <v/>
      </c>
      <c r="I677" s="18" t="str">
        <f>IF(OR(A677="",B677=""),"",IFERROR(LOOKUP(2,1/(单次交易!$A$2:$A$201=A677),单次交易!$H$2:$H$201),0)+SUMIFS($G$2:$G$1001,$A$2:$A$1001,A677,$B$2:$B$1001,"&lt;"&amp;B677))</f>
        <v/>
      </c>
      <c r="J677" s="17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17" t="str">
        <f t="shared" si="81"/>
        <v/>
      </c>
      <c r="L677" s="18" t="str">
        <f t="shared" si="82"/>
        <v/>
      </c>
      <c r="M677" s="18" t="str">
        <f t="shared" si="83"/>
        <v/>
      </c>
      <c r="N677" s="18" t="str">
        <f t="shared" si="84"/>
        <v/>
      </c>
      <c r="O677" s="18" t="str">
        <f t="shared" si="85"/>
        <v/>
      </c>
      <c r="P677" s="17" t="str">
        <f t="shared" si="86"/>
        <v/>
      </c>
      <c r="Q677" s="17" t="str">
        <f t="shared" si="87"/>
        <v/>
      </c>
      <c r="R677" s="19" t="str">
        <f ca="1">IF(A677="","",IF(COUNTIF(_TradeIds,A677)=0,"违规：交易编号不存在",IF(OR(B677="",B677&lt;1,B677&gt;5,B677&lt;&gt;INT(B677)),"违规：加仓序号须为1到5的整数",IF(COUNTIFS($A$2:$A$1001,A677,$B$2:$B$1001,B677)&gt;1,"违规：同一交易的加仓序号重复",IF(OR(D677="",E677="",F677=""),"计划不完整：请填写加仓价、新止损价和风险预算",IF(OR(D677&lt;=0,E677&lt;=0,F677&lt;=0,D677&lt;=E677),"违规：加仓价必须高于新止损价，金额须大于0",IF(AND(B677&gt;1,COUNTIFS($A$2:$A$1001,A677,$B$2:$B$1001,B677-1,$G$2:$G$1001,"&gt;0")=0),"违规：须先完成上一次加仓",IF(AND(B677&gt;1,E677&lt;SUMIFS($E$2:$E$1001,$A$2:$A$1001,A677,$B$2:$B$1001,B677-1)),"违规：新止损价不得低于上一次",IF(AND(B677&gt;1,F677&gt;SUMIFS($F$2:$F$1001,$A$2:$A$1001,A677,$B$2:$B$1001,B677-1)),"违规：风险预算须逐次不增加",IF(OR(_LockStatus="已锁仓",_LockStatus="解锁信息不完整"),"违规：锁仓期间禁止加仓",IF(G677="","计划可执行：建议股数见N列",IF(OR(G677&lt;=0,G677&lt;&gt;INT(G677),MOD(G677,100)&lt;&gt;0),"违规：实际股数须为100股整数倍",IF(G677&gt;N677,"违规：实际股数超过风险或金字塔上限",IF(AND(B677&gt;1,G677&gt;SUMIFS($G$2:$G$1001,$A$2:$A$1001,A677,$B$2:$B$1001,B677-1)),"违规：加仓股数须逐次不增加",IF(Q677&gt;F677,"违规：止损风险超过本次预算","通过")))))))))))))))</f>
        <v/>
      </c>
    </row>
    <row r="678" ht="17" spans="1:18">
      <c r="A678" s="13"/>
      <c r="B678" s="14"/>
      <c r="C678" s="15"/>
      <c r="D678" s="16"/>
      <c r="E678" s="16"/>
      <c r="F678" s="16"/>
      <c r="G678" s="14"/>
      <c r="H678" s="17" t="str">
        <f t="shared" si="80"/>
        <v/>
      </c>
      <c r="I678" s="18" t="str">
        <f>IF(OR(A678="",B678=""),"",IFERROR(LOOKUP(2,1/(单次交易!$A$2:$A$201=A678),单次交易!$H$2:$H$201),0)+SUMIFS($G$2:$G$1001,$A$2:$A$1001,A678,$B$2:$B$1001,"&lt;"&amp;B678))</f>
        <v/>
      </c>
      <c r="J678" s="17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17" t="str">
        <f t="shared" si="81"/>
        <v/>
      </c>
      <c r="L678" s="18" t="str">
        <f t="shared" si="82"/>
        <v/>
      </c>
      <c r="M678" s="18" t="str">
        <f t="shared" si="83"/>
        <v/>
      </c>
      <c r="N678" s="18" t="str">
        <f t="shared" si="84"/>
        <v/>
      </c>
      <c r="O678" s="18" t="str">
        <f t="shared" si="85"/>
        <v/>
      </c>
      <c r="P678" s="17" t="str">
        <f t="shared" si="86"/>
        <v/>
      </c>
      <c r="Q678" s="17" t="str">
        <f t="shared" si="87"/>
        <v/>
      </c>
      <c r="R678" s="19" t="str">
        <f ca="1">IF(A678="","",IF(COUNTIF(_TradeIds,A678)=0,"违规：交易编号不存在",IF(OR(B678="",B678&lt;1,B678&gt;5,B678&lt;&gt;INT(B678)),"违规：加仓序号须为1到5的整数",IF(COUNTIFS($A$2:$A$1001,A678,$B$2:$B$1001,B678)&gt;1,"违规：同一交易的加仓序号重复",IF(OR(D678="",E678="",F678=""),"计划不完整：请填写加仓价、新止损价和风险预算",IF(OR(D678&lt;=0,E678&lt;=0,F678&lt;=0,D678&lt;=E678),"违规：加仓价必须高于新止损价，金额须大于0",IF(AND(B678&gt;1,COUNTIFS($A$2:$A$1001,A678,$B$2:$B$1001,B678-1,$G$2:$G$1001,"&gt;0")=0),"违规：须先完成上一次加仓",IF(AND(B678&gt;1,E678&lt;SUMIFS($E$2:$E$1001,$A$2:$A$1001,A678,$B$2:$B$1001,B678-1)),"违规：新止损价不得低于上一次",IF(AND(B678&gt;1,F678&gt;SUMIFS($F$2:$F$1001,$A$2:$A$1001,A678,$B$2:$B$1001,B678-1)),"违规：风险预算须逐次不增加",IF(OR(_LockStatus="已锁仓",_LockStatus="解锁信息不完整"),"违规：锁仓期间禁止加仓",IF(G678="","计划可执行：建议股数见N列",IF(OR(G678&lt;=0,G678&lt;&gt;INT(G678),MOD(G678,100)&lt;&gt;0),"违规：实际股数须为100股整数倍",IF(G678&gt;N678,"违规：实际股数超过风险或金字塔上限",IF(AND(B678&gt;1,G678&gt;SUMIFS($G$2:$G$1001,$A$2:$A$1001,A678,$B$2:$B$1001,B678-1)),"违规：加仓股数须逐次不增加",IF(Q678&gt;F678,"违规：止损风险超过本次预算","通过")))))))))))))))</f>
        <v/>
      </c>
    </row>
    <row r="679" ht="17" spans="1:18">
      <c r="A679" s="13"/>
      <c r="B679" s="14"/>
      <c r="C679" s="15"/>
      <c r="D679" s="16"/>
      <c r="E679" s="16"/>
      <c r="F679" s="16"/>
      <c r="G679" s="14"/>
      <c r="H679" s="17" t="str">
        <f t="shared" si="80"/>
        <v/>
      </c>
      <c r="I679" s="18" t="str">
        <f>IF(OR(A679="",B679=""),"",IFERROR(LOOKUP(2,1/(单次交易!$A$2:$A$201=A679),单次交易!$H$2:$H$201),0)+SUMIFS($G$2:$G$1001,$A$2:$A$1001,A679,$B$2:$B$1001,"&lt;"&amp;B679))</f>
        <v/>
      </c>
      <c r="J679" s="17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17" t="str">
        <f t="shared" si="81"/>
        <v/>
      </c>
      <c r="L679" s="18" t="str">
        <f t="shared" si="82"/>
        <v/>
      </c>
      <c r="M679" s="18" t="str">
        <f t="shared" si="83"/>
        <v/>
      </c>
      <c r="N679" s="18" t="str">
        <f t="shared" si="84"/>
        <v/>
      </c>
      <c r="O679" s="18" t="str">
        <f t="shared" si="85"/>
        <v/>
      </c>
      <c r="P679" s="17" t="str">
        <f t="shared" si="86"/>
        <v/>
      </c>
      <c r="Q679" s="17" t="str">
        <f t="shared" si="87"/>
        <v/>
      </c>
      <c r="R679" s="19" t="str">
        <f ca="1">IF(A679="","",IF(COUNTIF(_TradeIds,A679)=0,"违规：交易编号不存在",IF(OR(B679="",B679&lt;1,B679&gt;5,B679&lt;&gt;INT(B679)),"违规：加仓序号须为1到5的整数",IF(COUNTIFS($A$2:$A$1001,A679,$B$2:$B$1001,B679)&gt;1,"违规：同一交易的加仓序号重复",IF(OR(D679="",E679="",F679=""),"计划不完整：请填写加仓价、新止损价和风险预算",IF(OR(D679&lt;=0,E679&lt;=0,F679&lt;=0,D679&lt;=E679),"违规：加仓价必须高于新止损价，金额须大于0",IF(AND(B679&gt;1,COUNTIFS($A$2:$A$1001,A679,$B$2:$B$1001,B679-1,$G$2:$G$1001,"&gt;0")=0),"违规：须先完成上一次加仓",IF(AND(B679&gt;1,E679&lt;SUMIFS($E$2:$E$1001,$A$2:$A$1001,A679,$B$2:$B$1001,B679-1)),"违规：新止损价不得低于上一次",IF(AND(B679&gt;1,F679&gt;SUMIFS($F$2:$F$1001,$A$2:$A$1001,A679,$B$2:$B$1001,B679-1)),"违规：风险预算须逐次不增加",IF(OR(_LockStatus="已锁仓",_LockStatus="解锁信息不完整"),"违规：锁仓期间禁止加仓",IF(G679="","计划可执行：建议股数见N列",IF(OR(G679&lt;=0,G679&lt;&gt;INT(G679),MOD(G679,100)&lt;&gt;0),"违规：实际股数须为100股整数倍",IF(G679&gt;N679,"违规：实际股数超过风险或金字塔上限",IF(AND(B679&gt;1,G679&gt;SUMIFS($G$2:$G$1001,$A$2:$A$1001,A679,$B$2:$B$1001,B679-1)),"违规：加仓股数须逐次不增加",IF(Q679&gt;F679,"违规：止损风险超过本次预算","通过")))))))))))))))</f>
        <v/>
      </c>
    </row>
    <row r="680" ht="17" spans="1:18">
      <c r="A680" s="13"/>
      <c r="B680" s="14"/>
      <c r="C680" s="15"/>
      <c r="D680" s="16"/>
      <c r="E680" s="16"/>
      <c r="F680" s="16"/>
      <c r="G680" s="14"/>
      <c r="H680" s="17" t="str">
        <f t="shared" si="80"/>
        <v/>
      </c>
      <c r="I680" s="18" t="str">
        <f>IF(OR(A680="",B680=""),"",IFERROR(LOOKUP(2,1/(单次交易!$A$2:$A$201=A680),单次交易!$H$2:$H$201),0)+SUMIFS($G$2:$G$1001,$A$2:$A$1001,A680,$B$2:$B$1001,"&lt;"&amp;B680))</f>
        <v/>
      </c>
      <c r="J680" s="17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17" t="str">
        <f t="shared" si="81"/>
        <v/>
      </c>
      <c r="L680" s="18" t="str">
        <f t="shared" si="82"/>
        <v/>
      </c>
      <c r="M680" s="18" t="str">
        <f t="shared" si="83"/>
        <v/>
      </c>
      <c r="N680" s="18" t="str">
        <f t="shared" si="84"/>
        <v/>
      </c>
      <c r="O680" s="18" t="str">
        <f t="shared" si="85"/>
        <v/>
      </c>
      <c r="P680" s="17" t="str">
        <f t="shared" si="86"/>
        <v/>
      </c>
      <c r="Q680" s="17" t="str">
        <f t="shared" si="87"/>
        <v/>
      </c>
      <c r="R680" s="19" t="str">
        <f ca="1">IF(A680="","",IF(COUNTIF(_TradeIds,A680)=0,"违规：交易编号不存在",IF(OR(B680="",B680&lt;1,B680&gt;5,B680&lt;&gt;INT(B680)),"违规：加仓序号须为1到5的整数",IF(COUNTIFS($A$2:$A$1001,A680,$B$2:$B$1001,B680)&gt;1,"违规：同一交易的加仓序号重复",IF(OR(D680="",E680="",F680=""),"计划不完整：请填写加仓价、新止损价和风险预算",IF(OR(D680&lt;=0,E680&lt;=0,F680&lt;=0,D680&lt;=E680),"违规：加仓价必须高于新止损价，金额须大于0",IF(AND(B680&gt;1,COUNTIFS($A$2:$A$1001,A680,$B$2:$B$1001,B680-1,$G$2:$G$1001,"&gt;0")=0),"违规：须先完成上一次加仓",IF(AND(B680&gt;1,E680&lt;SUMIFS($E$2:$E$1001,$A$2:$A$1001,A680,$B$2:$B$1001,B680-1)),"违规：新止损价不得低于上一次",IF(AND(B680&gt;1,F680&gt;SUMIFS($F$2:$F$1001,$A$2:$A$1001,A680,$B$2:$B$1001,B680-1)),"违规：风险预算须逐次不增加",IF(OR(_LockStatus="已锁仓",_LockStatus="解锁信息不完整"),"违规：锁仓期间禁止加仓",IF(G680="","计划可执行：建议股数见N列",IF(OR(G680&lt;=0,G680&lt;&gt;INT(G680),MOD(G680,100)&lt;&gt;0),"违规：实际股数须为100股整数倍",IF(G680&gt;N680,"违规：实际股数超过风险或金字塔上限",IF(AND(B680&gt;1,G680&gt;SUMIFS($G$2:$G$1001,$A$2:$A$1001,A680,$B$2:$B$1001,B680-1)),"违规：加仓股数须逐次不增加",IF(Q680&gt;F680,"违规：止损风险超过本次预算","通过")))))))))))))))</f>
        <v/>
      </c>
    </row>
    <row r="681" ht="17" spans="1:18">
      <c r="A681" s="13"/>
      <c r="B681" s="14"/>
      <c r="C681" s="15"/>
      <c r="D681" s="16"/>
      <c r="E681" s="16"/>
      <c r="F681" s="16"/>
      <c r="G681" s="14"/>
      <c r="H681" s="17" t="str">
        <f t="shared" si="80"/>
        <v/>
      </c>
      <c r="I681" s="18" t="str">
        <f>IF(OR(A681="",B681=""),"",IFERROR(LOOKUP(2,1/(单次交易!$A$2:$A$201=A681),单次交易!$H$2:$H$201),0)+SUMIFS($G$2:$G$1001,$A$2:$A$1001,A681,$B$2:$B$1001,"&lt;"&amp;B681))</f>
        <v/>
      </c>
      <c r="J681" s="17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17" t="str">
        <f t="shared" si="81"/>
        <v/>
      </c>
      <c r="L681" s="18" t="str">
        <f t="shared" si="82"/>
        <v/>
      </c>
      <c r="M681" s="18" t="str">
        <f t="shared" si="83"/>
        <v/>
      </c>
      <c r="N681" s="18" t="str">
        <f t="shared" si="84"/>
        <v/>
      </c>
      <c r="O681" s="18" t="str">
        <f t="shared" si="85"/>
        <v/>
      </c>
      <c r="P681" s="17" t="str">
        <f t="shared" si="86"/>
        <v/>
      </c>
      <c r="Q681" s="17" t="str">
        <f t="shared" si="87"/>
        <v/>
      </c>
      <c r="R681" s="19" t="str">
        <f ca="1">IF(A681="","",IF(COUNTIF(_TradeIds,A681)=0,"违规：交易编号不存在",IF(OR(B681="",B681&lt;1,B681&gt;5,B681&lt;&gt;INT(B681)),"违规：加仓序号须为1到5的整数",IF(COUNTIFS($A$2:$A$1001,A681,$B$2:$B$1001,B681)&gt;1,"违规：同一交易的加仓序号重复",IF(OR(D681="",E681="",F681=""),"计划不完整：请填写加仓价、新止损价和风险预算",IF(OR(D681&lt;=0,E681&lt;=0,F681&lt;=0,D681&lt;=E681),"违规：加仓价必须高于新止损价，金额须大于0",IF(AND(B681&gt;1,COUNTIFS($A$2:$A$1001,A681,$B$2:$B$1001,B681-1,$G$2:$G$1001,"&gt;0")=0),"违规：须先完成上一次加仓",IF(AND(B681&gt;1,E681&lt;SUMIFS($E$2:$E$1001,$A$2:$A$1001,A681,$B$2:$B$1001,B681-1)),"违规：新止损价不得低于上一次",IF(AND(B681&gt;1,F681&gt;SUMIFS($F$2:$F$1001,$A$2:$A$1001,A681,$B$2:$B$1001,B681-1)),"违规：风险预算须逐次不增加",IF(OR(_LockStatus="已锁仓",_LockStatus="解锁信息不完整"),"违规：锁仓期间禁止加仓",IF(G681="","计划可执行：建议股数见N列",IF(OR(G681&lt;=0,G681&lt;&gt;INT(G681),MOD(G681,100)&lt;&gt;0),"违规：实际股数须为100股整数倍",IF(G681&gt;N681,"违规：实际股数超过风险或金字塔上限",IF(AND(B681&gt;1,G681&gt;SUMIFS($G$2:$G$1001,$A$2:$A$1001,A681,$B$2:$B$1001,B681-1)),"违规：加仓股数须逐次不增加",IF(Q681&gt;F681,"违规：止损风险超过本次预算","通过")))))))))))))))</f>
        <v/>
      </c>
    </row>
    <row r="682" ht="17" spans="1:18">
      <c r="A682" s="13"/>
      <c r="B682" s="14"/>
      <c r="C682" s="15"/>
      <c r="D682" s="16"/>
      <c r="E682" s="16"/>
      <c r="F682" s="16"/>
      <c r="G682" s="14"/>
      <c r="H682" s="17" t="str">
        <f t="shared" si="80"/>
        <v/>
      </c>
      <c r="I682" s="18" t="str">
        <f>IF(OR(A682="",B682=""),"",IFERROR(LOOKUP(2,1/(单次交易!$A$2:$A$201=A682),单次交易!$H$2:$H$201),0)+SUMIFS($G$2:$G$1001,$A$2:$A$1001,A682,$B$2:$B$1001,"&lt;"&amp;B682))</f>
        <v/>
      </c>
      <c r="J682" s="17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17" t="str">
        <f t="shared" si="81"/>
        <v/>
      </c>
      <c r="L682" s="18" t="str">
        <f t="shared" si="82"/>
        <v/>
      </c>
      <c r="M682" s="18" t="str">
        <f t="shared" si="83"/>
        <v/>
      </c>
      <c r="N682" s="18" t="str">
        <f t="shared" si="84"/>
        <v/>
      </c>
      <c r="O682" s="18" t="str">
        <f t="shared" si="85"/>
        <v/>
      </c>
      <c r="P682" s="17" t="str">
        <f t="shared" si="86"/>
        <v/>
      </c>
      <c r="Q682" s="17" t="str">
        <f t="shared" si="87"/>
        <v/>
      </c>
      <c r="R682" s="19" t="str">
        <f ca="1">IF(A682="","",IF(COUNTIF(_TradeIds,A682)=0,"违规：交易编号不存在",IF(OR(B682="",B682&lt;1,B682&gt;5,B682&lt;&gt;INT(B682)),"违规：加仓序号须为1到5的整数",IF(COUNTIFS($A$2:$A$1001,A682,$B$2:$B$1001,B682)&gt;1,"违规：同一交易的加仓序号重复",IF(OR(D682="",E682="",F682=""),"计划不完整：请填写加仓价、新止损价和风险预算",IF(OR(D682&lt;=0,E682&lt;=0,F682&lt;=0,D682&lt;=E682),"违规：加仓价必须高于新止损价，金额须大于0",IF(AND(B682&gt;1,COUNTIFS($A$2:$A$1001,A682,$B$2:$B$1001,B682-1,$G$2:$G$1001,"&gt;0")=0),"违规：须先完成上一次加仓",IF(AND(B682&gt;1,E682&lt;SUMIFS($E$2:$E$1001,$A$2:$A$1001,A682,$B$2:$B$1001,B682-1)),"违规：新止损价不得低于上一次",IF(AND(B682&gt;1,F682&gt;SUMIFS($F$2:$F$1001,$A$2:$A$1001,A682,$B$2:$B$1001,B682-1)),"违规：风险预算须逐次不增加",IF(OR(_LockStatus="已锁仓",_LockStatus="解锁信息不完整"),"违规：锁仓期间禁止加仓",IF(G682="","计划可执行：建议股数见N列",IF(OR(G682&lt;=0,G682&lt;&gt;INT(G682),MOD(G682,100)&lt;&gt;0),"违规：实际股数须为100股整数倍",IF(G682&gt;N682,"违规：实际股数超过风险或金字塔上限",IF(AND(B682&gt;1,G682&gt;SUMIFS($G$2:$G$1001,$A$2:$A$1001,A682,$B$2:$B$1001,B682-1)),"违规：加仓股数须逐次不增加",IF(Q682&gt;F682,"违规：止损风险超过本次预算","通过")))))))))))))))</f>
        <v/>
      </c>
    </row>
    <row r="683" ht="17" spans="1:18">
      <c r="A683" s="13"/>
      <c r="B683" s="14"/>
      <c r="C683" s="15"/>
      <c r="D683" s="16"/>
      <c r="E683" s="16"/>
      <c r="F683" s="16"/>
      <c r="G683" s="14"/>
      <c r="H683" s="17" t="str">
        <f t="shared" si="80"/>
        <v/>
      </c>
      <c r="I683" s="18" t="str">
        <f>IF(OR(A683="",B683=""),"",IFERROR(LOOKUP(2,1/(单次交易!$A$2:$A$201=A683),单次交易!$H$2:$H$201),0)+SUMIFS($G$2:$G$1001,$A$2:$A$1001,A683,$B$2:$B$1001,"&lt;"&amp;B683))</f>
        <v/>
      </c>
      <c r="J683" s="17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17" t="str">
        <f t="shared" si="81"/>
        <v/>
      </c>
      <c r="L683" s="18" t="str">
        <f t="shared" si="82"/>
        <v/>
      </c>
      <c r="M683" s="18" t="str">
        <f t="shared" si="83"/>
        <v/>
      </c>
      <c r="N683" s="18" t="str">
        <f t="shared" si="84"/>
        <v/>
      </c>
      <c r="O683" s="18" t="str">
        <f t="shared" si="85"/>
        <v/>
      </c>
      <c r="P683" s="17" t="str">
        <f t="shared" si="86"/>
        <v/>
      </c>
      <c r="Q683" s="17" t="str">
        <f t="shared" si="87"/>
        <v/>
      </c>
      <c r="R683" s="19" t="str">
        <f ca="1">IF(A683="","",IF(COUNTIF(_TradeIds,A683)=0,"违规：交易编号不存在",IF(OR(B683="",B683&lt;1,B683&gt;5,B683&lt;&gt;INT(B683)),"违规：加仓序号须为1到5的整数",IF(COUNTIFS($A$2:$A$1001,A683,$B$2:$B$1001,B683)&gt;1,"违规：同一交易的加仓序号重复",IF(OR(D683="",E683="",F683=""),"计划不完整：请填写加仓价、新止损价和风险预算",IF(OR(D683&lt;=0,E683&lt;=0,F683&lt;=0,D683&lt;=E683),"违规：加仓价必须高于新止损价，金额须大于0",IF(AND(B683&gt;1,COUNTIFS($A$2:$A$1001,A683,$B$2:$B$1001,B683-1,$G$2:$G$1001,"&gt;0")=0),"违规：须先完成上一次加仓",IF(AND(B683&gt;1,E683&lt;SUMIFS($E$2:$E$1001,$A$2:$A$1001,A683,$B$2:$B$1001,B683-1)),"违规：新止损价不得低于上一次",IF(AND(B683&gt;1,F683&gt;SUMIFS($F$2:$F$1001,$A$2:$A$1001,A683,$B$2:$B$1001,B683-1)),"违规：风险预算须逐次不增加",IF(OR(_LockStatus="已锁仓",_LockStatus="解锁信息不完整"),"违规：锁仓期间禁止加仓",IF(G683="","计划可执行：建议股数见N列",IF(OR(G683&lt;=0,G683&lt;&gt;INT(G683),MOD(G683,100)&lt;&gt;0),"违规：实际股数须为100股整数倍",IF(G683&gt;N683,"违规：实际股数超过风险或金字塔上限",IF(AND(B683&gt;1,G683&gt;SUMIFS($G$2:$G$1001,$A$2:$A$1001,A683,$B$2:$B$1001,B683-1)),"违规：加仓股数须逐次不增加",IF(Q683&gt;F683,"违规：止损风险超过本次预算","通过")))))))))))))))</f>
        <v/>
      </c>
    </row>
    <row r="684" ht="17" spans="1:18">
      <c r="A684" s="13"/>
      <c r="B684" s="14"/>
      <c r="C684" s="15"/>
      <c r="D684" s="16"/>
      <c r="E684" s="16"/>
      <c r="F684" s="16"/>
      <c r="G684" s="14"/>
      <c r="H684" s="17" t="str">
        <f t="shared" si="80"/>
        <v/>
      </c>
      <c r="I684" s="18" t="str">
        <f>IF(OR(A684="",B684=""),"",IFERROR(LOOKUP(2,1/(单次交易!$A$2:$A$201=A684),单次交易!$H$2:$H$201),0)+SUMIFS($G$2:$G$1001,$A$2:$A$1001,A684,$B$2:$B$1001,"&lt;"&amp;B684))</f>
        <v/>
      </c>
      <c r="J684" s="17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17" t="str">
        <f t="shared" si="81"/>
        <v/>
      </c>
      <c r="L684" s="18" t="str">
        <f t="shared" si="82"/>
        <v/>
      </c>
      <c r="M684" s="18" t="str">
        <f t="shared" si="83"/>
        <v/>
      </c>
      <c r="N684" s="18" t="str">
        <f t="shared" si="84"/>
        <v/>
      </c>
      <c r="O684" s="18" t="str">
        <f t="shared" si="85"/>
        <v/>
      </c>
      <c r="P684" s="17" t="str">
        <f t="shared" si="86"/>
        <v/>
      </c>
      <c r="Q684" s="17" t="str">
        <f t="shared" si="87"/>
        <v/>
      </c>
      <c r="R684" s="19" t="str">
        <f ca="1">IF(A684="","",IF(COUNTIF(_TradeIds,A684)=0,"违规：交易编号不存在",IF(OR(B684="",B684&lt;1,B684&gt;5,B684&lt;&gt;INT(B684)),"违规：加仓序号须为1到5的整数",IF(COUNTIFS($A$2:$A$1001,A684,$B$2:$B$1001,B684)&gt;1,"违规：同一交易的加仓序号重复",IF(OR(D684="",E684="",F684=""),"计划不完整：请填写加仓价、新止损价和风险预算",IF(OR(D684&lt;=0,E684&lt;=0,F684&lt;=0,D684&lt;=E684),"违规：加仓价必须高于新止损价，金额须大于0",IF(AND(B684&gt;1,COUNTIFS($A$2:$A$1001,A684,$B$2:$B$1001,B684-1,$G$2:$G$1001,"&gt;0")=0),"违规：须先完成上一次加仓",IF(AND(B684&gt;1,E684&lt;SUMIFS($E$2:$E$1001,$A$2:$A$1001,A684,$B$2:$B$1001,B684-1)),"违规：新止损价不得低于上一次",IF(AND(B684&gt;1,F684&gt;SUMIFS($F$2:$F$1001,$A$2:$A$1001,A684,$B$2:$B$1001,B684-1)),"违规：风险预算须逐次不增加",IF(OR(_LockStatus="已锁仓",_LockStatus="解锁信息不完整"),"违规：锁仓期间禁止加仓",IF(G684="","计划可执行：建议股数见N列",IF(OR(G684&lt;=0,G684&lt;&gt;INT(G684),MOD(G684,100)&lt;&gt;0),"违规：实际股数须为100股整数倍",IF(G684&gt;N684,"违规：实际股数超过风险或金字塔上限",IF(AND(B684&gt;1,G684&gt;SUMIFS($G$2:$G$1001,$A$2:$A$1001,A684,$B$2:$B$1001,B684-1)),"违规：加仓股数须逐次不增加",IF(Q684&gt;F684,"违规：止损风险超过本次预算","通过")))))))))))))))</f>
        <v/>
      </c>
    </row>
    <row r="685" ht="17" spans="1:18">
      <c r="A685" s="13"/>
      <c r="B685" s="14"/>
      <c r="C685" s="15"/>
      <c r="D685" s="16"/>
      <c r="E685" s="16"/>
      <c r="F685" s="16"/>
      <c r="G685" s="14"/>
      <c r="H685" s="17" t="str">
        <f t="shared" si="80"/>
        <v/>
      </c>
      <c r="I685" s="18" t="str">
        <f>IF(OR(A685="",B685=""),"",IFERROR(LOOKUP(2,1/(单次交易!$A$2:$A$201=A685),单次交易!$H$2:$H$201),0)+SUMIFS($G$2:$G$1001,$A$2:$A$1001,A685,$B$2:$B$1001,"&lt;"&amp;B685))</f>
        <v/>
      </c>
      <c r="J685" s="17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17" t="str">
        <f t="shared" si="81"/>
        <v/>
      </c>
      <c r="L685" s="18" t="str">
        <f t="shared" si="82"/>
        <v/>
      </c>
      <c r="M685" s="18" t="str">
        <f t="shared" si="83"/>
        <v/>
      </c>
      <c r="N685" s="18" t="str">
        <f t="shared" si="84"/>
        <v/>
      </c>
      <c r="O685" s="18" t="str">
        <f t="shared" si="85"/>
        <v/>
      </c>
      <c r="P685" s="17" t="str">
        <f t="shared" si="86"/>
        <v/>
      </c>
      <c r="Q685" s="17" t="str">
        <f t="shared" si="87"/>
        <v/>
      </c>
      <c r="R685" s="19" t="str">
        <f ca="1">IF(A685="","",IF(COUNTIF(_TradeIds,A685)=0,"违规：交易编号不存在",IF(OR(B685="",B685&lt;1,B685&gt;5,B685&lt;&gt;INT(B685)),"违规：加仓序号须为1到5的整数",IF(COUNTIFS($A$2:$A$1001,A685,$B$2:$B$1001,B685)&gt;1,"违规：同一交易的加仓序号重复",IF(OR(D685="",E685="",F685=""),"计划不完整：请填写加仓价、新止损价和风险预算",IF(OR(D685&lt;=0,E685&lt;=0,F685&lt;=0,D685&lt;=E685),"违规：加仓价必须高于新止损价，金额须大于0",IF(AND(B685&gt;1,COUNTIFS($A$2:$A$1001,A685,$B$2:$B$1001,B685-1,$G$2:$G$1001,"&gt;0")=0),"违规：须先完成上一次加仓",IF(AND(B685&gt;1,E685&lt;SUMIFS($E$2:$E$1001,$A$2:$A$1001,A685,$B$2:$B$1001,B685-1)),"违规：新止损价不得低于上一次",IF(AND(B685&gt;1,F685&gt;SUMIFS($F$2:$F$1001,$A$2:$A$1001,A685,$B$2:$B$1001,B685-1)),"违规：风险预算须逐次不增加",IF(OR(_LockStatus="已锁仓",_LockStatus="解锁信息不完整"),"违规：锁仓期间禁止加仓",IF(G685="","计划可执行：建议股数见N列",IF(OR(G685&lt;=0,G685&lt;&gt;INT(G685),MOD(G685,100)&lt;&gt;0),"违规：实际股数须为100股整数倍",IF(G685&gt;N685,"违规：实际股数超过风险或金字塔上限",IF(AND(B685&gt;1,G685&gt;SUMIFS($G$2:$G$1001,$A$2:$A$1001,A685,$B$2:$B$1001,B685-1)),"违规：加仓股数须逐次不增加",IF(Q685&gt;F685,"违规：止损风险超过本次预算","通过")))))))))))))))</f>
        <v/>
      </c>
    </row>
    <row r="686" ht="17" spans="1:18">
      <c r="A686" s="13"/>
      <c r="B686" s="14"/>
      <c r="C686" s="15"/>
      <c r="D686" s="16"/>
      <c r="E686" s="16"/>
      <c r="F686" s="16"/>
      <c r="G686" s="14"/>
      <c r="H686" s="17" t="str">
        <f t="shared" si="80"/>
        <v/>
      </c>
      <c r="I686" s="18" t="str">
        <f>IF(OR(A686="",B686=""),"",IFERROR(LOOKUP(2,1/(单次交易!$A$2:$A$201=A686),单次交易!$H$2:$H$201),0)+SUMIFS($G$2:$G$1001,$A$2:$A$1001,A686,$B$2:$B$1001,"&lt;"&amp;B686))</f>
        <v/>
      </c>
      <c r="J686" s="17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17" t="str">
        <f t="shared" si="81"/>
        <v/>
      </c>
      <c r="L686" s="18" t="str">
        <f t="shared" si="82"/>
        <v/>
      </c>
      <c r="M686" s="18" t="str">
        <f t="shared" si="83"/>
        <v/>
      </c>
      <c r="N686" s="18" t="str">
        <f t="shared" si="84"/>
        <v/>
      </c>
      <c r="O686" s="18" t="str">
        <f t="shared" si="85"/>
        <v/>
      </c>
      <c r="P686" s="17" t="str">
        <f t="shared" si="86"/>
        <v/>
      </c>
      <c r="Q686" s="17" t="str">
        <f t="shared" si="87"/>
        <v/>
      </c>
      <c r="R686" s="19" t="str">
        <f ca="1">IF(A686="","",IF(COUNTIF(_TradeIds,A686)=0,"违规：交易编号不存在",IF(OR(B686="",B686&lt;1,B686&gt;5,B686&lt;&gt;INT(B686)),"违规：加仓序号须为1到5的整数",IF(COUNTIFS($A$2:$A$1001,A686,$B$2:$B$1001,B686)&gt;1,"违规：同一交易的加仓序号重复",IF(OR(D686="",E686="",F686=""),"计划不完整：请填写加仓价、新止损价和风险预算",IF(OR(D686&lt;=0,E686&lt;=0,F686&lt;=0,D686&lt;=E686),"违规：加仓价必须高于新止损价，金额须大于0",IF(AND(B686&gt;1,COUNTIFS($A$2:$A$1001,A686,$B$2:$B$1001,B686-1,$G$2:$G$1001,"&gt;0")=0),"违规：须先完成上一次加仓",IF(AND(B686&gt;1,E686&lt;SUMIFS($E$2:$E$1001,$A$2:$A$1001,A686,$B$2:$B$1001,B686-1)),"违规：新止损价不得低于上一次",IF(AND(B686&gt;1,F686&gt;SUMIFS($F$2:$F$1001,$A$2:$A$1001,A686,$B$2:$B$1001,B686-1)),"违规：风险预算须逐次不增加",IF(OR(_LockStatus="已锁仓",_LockStatus="解锁信息不完整"),"违规：锁仓期间禁止加仓",IF(G686="","计划可执行：建议股数见N列",IF(OR(G686&lt;=0,G686&lt;&gt;INT(G686),MOD(G686,100)&lt;&gt;0),"违规：实际股数须为100股整数倍",IF(G686&gt;N686,"违规：实际股数超过风险或金字塔上限",IF(AND(B686&gt;1,G686&gt;SUMIFS($G$2:$G$1001,$A$2:$A$1001,A686,$B$2:$B$1001,B686-1)),"违规：加仓股数须逐次不增加",IF(Q686&gt;F686,"违规：止损风险超过本次预算","通过")))))))))))))))</f>
        <v/>
      </c>
    </row>
    <row r="687" ht="17" spans="1:18">
      <c r="A687" s="13"/>
      <c r="B687" s="14"/>
      <c r="C687" s="15"/>
      <c r="D687" s="16"/>
      <c r="E687" s="16"/>
      <c r="F687" s="16"/>
      <c r="G687" s="14"/>
      <c r="H687" s="17" t="str">
        <f t="shared" si="80"/>
        <v/>
      </c>
      <c r="I687" s="18" t="str">
        <f>IF(OR(A687="",B687=""),"",IFERROR(LOOKUP(2,1/(单次交易!$A$2:$A$201=A687),单次交易!$H$2:$H$201),0)+SUMIFS($G$2:$G$1001,$A$2:$A$1001,A687,$B$2:$B$1001,"&lt;"&amp;B687))</f>
        <v/>
      </c>
      <c r="J687" s="17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17" t="str">
        <f t="shared" si="81"/>
        <v/>
      </c>
      <c r="L687" s="18" t="str">
        <f t="shared" si="82"/>
        <v/>
      </c>
      <c r="M687" s="18" t="str">
        <f t="shared" si="83"/>
        <v/>
      </c>
      <c r="N687" s="18" t="str">
        <f t="shared" si="84"/>
        <v/>
      </c>
      <c r="O687" s="18" t="str">
        <f t="shared" si="85"/>
        <v/>
      </c>
      <c r="P687" s="17" t="str">
        <f t="shared" si="86"/>
        <v/>
      </c>
      <c r="Q687" s="17" t="str">
        <f t="shared" si="87"/>
        <v/>
      </c>
      <c r="R687" s="19" t="str">
        <f ca="1">IF(A687="","",IF(COUNTIF(_TradeIds,A687)=0,"违规：交易编号不存在",IF(OR(B687="",B687&lt;1,B687&gt;5,B687&lt;&gt;INT(B687)),"违规：加仓序号须为1到5的整数",IF(COUNTIFS($A$2:$A$1001,A687,$B$2:$B$1001,B687)&gt;1,"违规：同一交易的加仓序号重复",IF(OR(D687="",E687="",F687=""),"计划不完整：请填写加仓价、新止损价和风险预算",IF(OR(D687&lt;=0,E687&lt;=0,F687&lt;=0,D687&lt;=E687),"违规：加仓价必须高于新止损价，金额须大于0",IF(AND(B687&gt;1,COUNTIFS($A$2:$A$1001,A687,$B$2:$B$1001,B687-1,$G$2:$G$1001,"&gt;0")=0),"违规：须先完成上一次加仓",IF(AND(B687&gt;1,E687&lt;SUMIFS($E$2:$E$1001,$A$2:$A$1001,A687,$B$2:$B$1001,B687-1)),"违规：新止损价不得低于上一次",IF(AND(B687&gt;1,F687&gt;SUMIFS($F$2:$F$1001,$A$2:$A$1001,A687,$B$2:$B$1001,B687-1)),"违规：风险预算须逐次不增加",IF(OR(_LockStatus="已锁仓",_LockStatus="解锁信息不完整"),"违规：锁仓期间禁止加仓",IF(G687="","计划可执行：建议股数见N列",IF(OR(G687&lt;=0,G687&lt;&gt;INT(G687),MOD(G687,100)&lt;&gt;0),"违规：实际股数须为100股整数倍",IF(G687&gt;N687,"违规：实际股数超过风险或金字塔上限",IF(AND(B687&gt;1,G687&gt;SUMIFS($G$2:$G$1001,$A$2:$A$1001,A687,$B$2:$B$1001,B687-1)),"违规：加仓股数须逐次不增加",IF(Q687&gt;F687,"违规：止损风险超过本次预算","通过")))))))))))))))</f>
        <v/>
      </c>
    </row>
    <row r="688" ht="17" spans="1:18">
      <c r="A688" s="13"/>
      <c r="B688" s="14"/>
      <c r="C688" s="15"/>
      <c r="D688" s="16"/>
      <c r="E688" s="16"/>
      <c r="F688" s="16"/>
      <c r="G688" s="14"/>
      <c r="H688" s="17" t="str">
        <f t="shared" si="80"/>
        <v/>
      </c>
      <c r="I688" s="18" t="str">
        <f>IF(OR(A688="",B688=""),"",IFERROR(LOOKUP(2,1/(单次交易!$A$2:$A$201=A688),单次交易!$H$2:$H$201),0)+SUMIFS($G$2:$G$1001,$A$2:$A$1001,A688,$B$2:$B$1001,"&lt;"&amp;B688))</f>
        <v/>
      </c>
      <c r="J688" s="17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17" t="str">
        <f t="shared" si="81"/>
        <v/>
      </c>
      <c r="L688" s="18" t="str">
        <f t="shared" si="82"/>
        <v/>
      </c>
      <c r="M688" s="18" t="str">
        <f t="shared" si="83"/>
        <v/>
      </c>
      <c r="N688" s="18" t="str">
        <f t="shared" si="84"/>
        <v/>
      </c>
      <c r="O688" s="18" t="str">
        <f t="shared" si="85"/>
        <v/>
      </c>
      <c r="P688" s="17" t="str">
        <f t="shared" si="86"/>
        <v/>
      </c>
      <c r="Q688" s="17" t="str">
        <f t="shared" si="87"/>
        <v/>
      </c>
      <c r="R688" s="19" t="str">
        <f ca="1">IF(A688="","",IF(COUNTIF(_TradeIds,A688)=0,"违规：交易编号不存在",IF(OR(B688="",B688&lt;1,B688&gt;5,B688&lt;&gt;INT(B688)),"违规：加仓序号须为1到5的整数",IF(COUNTIFS($A$2:$A$1001,A688,$B$2:$B$1001,B688)&gt;1,"违规：同一交易的加仓序号重复",IF(OR(D688="",E688="",F688=""),"计划不完整：请填写加仓价、新止损价和风险预算",IF(OR(D688&lt;=0,E688&lt;=0,F688&lt;=0,D688&lt;=E688),"违规：加仓价必须高于新止损价，金额须大于0",IF(AND(B688&gt;1,COUNTIFS($A$2:$A$1001,A688,$B$2:$B$1001,B688-1,$G$2:$G$1001,"&gt;0")=0),"违规：须先完成上一次加仓",IF(AND(B688&gt;1,E688&lt;SUMIFS($E$2:$E$1001,$A$2:$A$1001,A688,$B$2:$B$1001,B688-1)),"违规：新止损价不得低于上一次",IF(AND(B688&gt;1,F688&gt;SUMIFS($F$2:$F$1001,$A$2:$A$1001,A688,$B$2:$B$1001,B688-1)),"违规：风险预算须逐次不增加",IF(OR(_LockStatus="已锁仓",_LockStatus="解锁信息不完整"),"违规：锁仓期间禁止加仓",IF(G688="","计划可执行：建议股数见N列",IF(OR(G688&lt;=0,G688&lt;&gt;INT(G688),MOD(G688,100)&lt;&gt;0),"违规：实际股数须为100股整数倍",IF(G688&gt;N688,"违规：实际股数超过风险或金字塔上限",IF(AND(B688&gt;1,G688&gt;SUMIFS($G$2:$G$1001,$A$2:$A$1001,A688,$B$2:$B$1001,B688-1)),"违规：加仓股数须逐次不增加",IF(Q688&gt;F688,"违规：止损风险超过本次预算","通过")))))))))))))))</f>
        <v/>
      </c>
    </row>
    <row r="689" ht="17" spans="1:18">
      <c r="A689" s="13"/>
      <c r="B689" s="14"/>
      <c r="C689" s="15"/>
      <c r="D689" s="16"/>
      <c r="E689" s="16"/>
      <c r="F689" s="16"/>
      <c r="G689" s="14"/>
      <c r="H689" s="17" t="str">
        <f t="shared" si="80"/>
        <v/>
      </c>
      <c r="I689" s="18" t="str">
        <f>IF(OR(A689="",B689=""),"",IFERROR(LOOKUP(2,1/(单次交易!$A$2:$A$201=A689),单次交易!$H$2:$H$201),0)+SUMIFS($G$2:$G$1001,$A$2:$A$1001,A689,$B$2:$B$1001,"&lt;"&amp;B689))</f>
        <v/>
      </c>
      <c r="J689" s="17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17" t="str">
        <f t="shared" si="81"/>
        <v/>
      </c>
      <c r="L689" s="18" t="str">
        <f t="shared" si="82"/>
        <v/>
      </c>
      <c r="M689" s="18" t="str">
        <f t="shared" si="83"/>
        <v/>
      </c>
      <c r="N689" s="18" t="str">
        <f t="shared" si="84"/>
        <v/>
      </c>
      <c r="O689" s="18" t="str">
        <f t="shared" si="85"/>
        <v/>
      </c>
      <c r="P689" s="17" t="str">
        <f t="shared" si="86"/>
        <v/>
      </c>
      <c r="Q689" s="17" t="str">
        <f t="shared" si="87"/>
        <v/>
      </c>
      <c r="R689" s="19" t="str">
        <f ca="1">IF(A689="","",IF(COUNTIF(_TradeIds,A689)=0,"违规：交易编号不存在",IF(OR(B689="",B689&lt;1,B689&gt;5,B689&lt;&gt;INT(B689)),"违规：加仓序号须为1到5的整数",IF(COUNTIFS($A$2:$A$1001,A689,$B$2:$B$1001,B689)&gt;1,"违规：同一交易的加仓序号重复",IF(OR(D689="",E689="",F689=""),"计划不完整：请填写加仓价、新止损价和风险预算",IF(OR(D689&lt;=0,E689&lt;=0,F689&lt;=0,D689&lt;=E689),"违规：加仓价必须高于新止损价，金额须大于0",IF(AND(B689&gt;1,COUNTIFS($A$2:$A$1001,A689,$B$2:$B$1001,B689-1,$G$2:$G$1001,"&gt;0")=0),"违规：须先完成上一次加仓",IF(AND(B689&gt;1,E689&lt;SUMIFS($E$2:$E$1001,$A$2:$A$1001,A689,$B$2:$B$1001,B689-1)),"违规：新止损价不得低于上一次",IF(AND(B689&gt;1,F689&gt;SUMIFS($F$2:$F$1001,$A$2:$A$1001,A689,$B$2:$B$1001,B689-1)),"违规：风险预算须逐次不增加",IF(OR(_LockStatus="已锁仓",_LockStatus="解锁信息不完整"),"违规：锁仓期间禁止加仓",IF(G689="","计划可执行：建议股数见N列",IF(OR(G689&lt;=0,G689&lt;&gt;INT(G689),MOD(G689,100)&lt;&gt;0),"违规：实际股数须为100股整数倍",IF(G689&gt;N689,"违规：实际股数超过风险或金字塔上限",IF(AND(B689&gt;1,G689&gt;SUMIFS($G$2:$G$1001,$A$2:$A$1001,A689,$B$2:$B$1001,B689-1)),"违规：加仓股数须逐次不增加",IF(Q689&gt;F689,"违规：止损风险超过本次预算","通过")))))))))))))))</f>
        <v/>
      </c>
    </row>
    <row r="690" ht="17" spans="1:18">
      <c r="A690" s="13"/>
      <c r="B690" s="14"/>
      <c r="C690" s="15"/>
      <c r="D690" s="16"/>
      <c r="E690" s="16"/>
      <c r="F690" s="16"/>
      <c r="G690" s="14"/>
      <c r="H690" s="17" t="str">
        <f t="shared" si="80"/>
        <v/>
      </c>
      <c r="I690" s="18" t="str">
        <f>IF(OR(A690="",B690=""),"",IFERROR(LOOKUP(2,1/(单次交易!$A$2:$A$201=A690),单次交易!$H$2:$H$201),0)+SUMIFS($G$2:$G$1001,$A$2:$A$1001,A690,$B$2:$B$1001,"&lt;"&amp;B690))</f>
        <v/>
      </c>
      <c r="J690" s="17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17" t="str">
        <f t="shared" si="81"/>
        <v/>
      </c>
      <c r="L690" s="18" t="str">
        <f t="shared" si="82"/>
        <v/>
      </c>
      <c r="M690" s="18" t="str">
        <f t="shared" si="83"/>
        <v/>
      </c>
      <c r="N690" s="18" t="str">
        <f t="shared" si="84"/>
        <v/>
      </c>
      <c r="O690" s="18" t="str">
        <f t="shared" si="85"/>
        <v/>
      </c>
      <c r="P690" s="17" t="str">
        <f t="shared" si="86"/>
        <v/>
      </c>
      <c r="Q690" s="17" t="str">
        <f t="shared" si="87"/>
        <v/>
      </c>
      <c r="R690" s="19" t="str">
        <f ca="1">IF(A690="","",IF(COUNTIF(_TradeIds,A690)=0,"违规：交易编号不存在",IF(OR(B690="",B690&lt;1,B690&gt;5,B690&lt;&gt;INT(B690)),"违规：加仓序号须为1到5的整数",IF(COUNTIFS($A$2:$A$1001,A690,$B$2:$B$1001,B690)&gt;1,"违规：同一交易的加仓序号重复",IF(OR(D690="",E690="",F690=""),"计划不完整：请填写加仓价、新止损价和风险预算",IF(OR(D690&lt;=0,E690&lt;=0,F690&lt;=0,D690&lt;=E690),"违规：加仓价必须高于新止损价，金额须大于0",IF(AND(B690&gt;1,COUNTIFS($A$2:$A$1001,A690,$B$2:$B$1001,B690-1,$G$2:$G$1001,"&gt;0")=0),"违规：须先完成上一次加仓",IF(AND(B690&gt;1,E690&lt;SUMIFS($E$2:$E$1001,$A$2:$A$1001,A690,$B$2:$B$1001,B690-1)),"违规：新止损价不得低于上一次",IF(AND(B690&gt;1,F690&gt;SUMIFS($F$2:$F$1001,$A$2:$A$1001,A690,$B$2:$B$1001,B690-1)),"违规：风险预算须逐次不增加",IF(OR(_LockStatus="已锁仓",_LockStatus="解锁信息不完整"),"违规：锁仓期间禁止加仓",IF(G690="","计划可执行：建议股数见N列",IF(OR(G690&lt;=0,G690&lt;&gt;INT(G690),MOD(G690,100)&lt;&gt;0),"违规：实际股数须为100股整数倍",IF(G690&gt;N690,"违规：实际股数超过风险或金字塔上限",IF(AND(B690&gt;1,G690&gt;SUMIFS($G$2:$G$1001,$A$2:$A$1001,A690,$B$2:$B$1001,B690-1)),"违规：加仓股数须逐次不增加",IF(Q690&gt;F690,"违规：止损风险超过本次预算","通过")))))))))))))))</f>
        <v/>
      </c>
    </row>
    <row r="691" ht="17" spans="1:18">
      <c r="A691" s="13"/>
      <c r="B691" s="14"/>
      <c r="C691" s="15"/>
      <c r="D691" s="16"/>
      <c r="E691" s="16"/>
      <c r="F691" s="16"/>
      <c r="G691" s="14"/>
      <c r="H691" s="17" t="str">
        <f t="shared" si="80"/>
        <v/>
      </c>
      <c r="I691" s="18" t="str">
        <f>IF(OR(A691="",B691=""),"",IFERROR(LOOKUP(2,1/(单次交易!$A$2:$A$201=A691),单次交易!$H$2:$H$201),0)+SUMIFS($G$2:$G$1001,$A$2:$A$1001,A691,$B$2:$B$1001,"&lt;"&amp;B691))</f>
        <v/>
      </c>
      <c r="J691" s="17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17" t="str">
        <f t="shared" si="81"/>
        <v/>
      </c>
      <c r="L691" s="18" t="str">
        <f t="shared" si="82"/>
        <v/>
      </c>
      <c r="M691" s="18" t="str">
        <f t="shared" si="83"/>
        <v/>
      </c>
      <c r="N691" s="18" t="str">
        <f t="shared" si="84"/>
        <v/>
      </c>
      <c r="O691" s="18" t="str">
        <f t="shared" si="85"/>
        <v/>
      </c>
      <c r="P691" s="17" t="str">
        <f t="shared" si="86"/>
        <v/>
      </c>
      <c r="Q691" s="17" t="str">
        <f t="shared" si="87"/>
        <v/>
      </c>
      <c r="R691" s="19" t="str">
        <f ca="1">IF(A691="","",IF(COUNTIF(_TradeIds,A691)=0,"违规：交易编号不存在",IF(OR(B691="",B691&lt;1,B691&gt;5,B691&lt;&gt;INT(B691)),"违规：加仓序号须为1到5的整数",IF(COUNTIFS($A$2:$A$1001,A691,$B$2:$B$1001,B691)&gt;1,"违规：同一交易的加仓序号重复",IF(OR(D691="",E691="",F691=""),"计划不完整：请填写加仓价、新止损价和风险预算",IF(OR(D691&lt;=0,E691&lt;=0,F691&lt;=0,D691&lt;=E691),"违规：加仓价必须高于新止损价，金额须大于0",IF(AND(B691&gt;1,COUNTIFS($A$2:$A$1001,A691,$B$2:$B$1001,B691-1,$G$2:$G$1001,"&gt;0")=0),"违规：须先完成上一次加仓",IF(AND(B691&gt;1,E691&lt;SUMIFS($E$2:$E$1001,$A$2:$A$1001,A691,$B$2:$B$1001,B691-1)),"违规：新止损价不得低于上一次",IF(AND(B691&gt;1,F691&gt;SUMIFS($F$2:$F$1001,$A$2:$A$1001,A691,$B$2:$B$1001,B691-1)),"违规：风险预算须逐次不增加",IF(OR(_LockStatus="已锁仓",_LockStatus="解锁信息不完整"),"违规：锁仓期间禁止加仓",IF(G691="","计划可执行：建议股数见N列",IF(OR(G691&lt;=0,G691&lt;&gt;INT(G691),MOD(G691,100)&lt;&gt;0),"违规：实际股数须为100股整数倍",IF(G691&gt;N691,"违规：实际股数超过风险或金字塔上限",IF(AND(B691&gt;1,G691&gt;SUMIFS($G$2:$G$1001,$A$2:$A$1001,A691,$B$2:$B$1001,B691-1)),"违规：加仓股数须逐次不增加",IF(Q691&gt;F691,"违规：止损风险超过本次预算","通过")))))))))))))))</f>
        <v/>
      </c>
    </row>
    <row r="692" ht="17" spans="1:18">
      <c r="A692" s="13"/>
      <c r="B692" s="14"/>
      <c r="C692" s="15"/>
      <c r="D692" s="16"/>
      <c r="E692" s="16"/>
      <c r="F692" s="16"/>
      <c r="G692" s="14"/>
      <c r="H692" s="17" t="str">
        <f t="shared" si="80"/>
        <v/>
      </c>
      <c r="I692" s="18" t="str">
        <f>IF(OR(A692="",B692=""),"",IFERROR(LOOKUP(2,1/(单次交易!$A$2:$A$201=A692),单次交易!$H$2:$H$201),0)+SUMIFS($G$2:$G$1001,$A$2:$A$1001,A692,$B$2:$B$1001,"&lt;"&amp;B692))</f>
        <v/>
      </c>
      <c r="J692" s="17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17" t="str">
        <f t="shared" si="81"/>
        <v/>
      </c>
      <c r="L692" s="18" t="str">
        <f t="shared" si="82"/>
        <v/>
      </c>
      <c r="M692" s="18" t="str">
        <f t="shared" si="83"/>
        <v/>
      </c>
      <c r="N692" s="18" t="str">
        <f t="shared" si="84"/>
        <v/>
      </c>
      <c r="O692" s="18" t="str">
        <f t="shared" si="85"/>
        <v/>
      </c>
      <c r="P692" s="17" t="str">
        <f t="shared" si="86"/>
        <v/>
      </c>
      <c r="Q692" s="17" t="str">
        <f t="shared" si="87"/>
        <v/>
      </c>
      <c r="R692" s="19" t="str">
        <f ca="1">IF(A692="","",IF(COUNTIF(_TradeIds,A692)=0,"违规：交易编号不存在",IF(OR(B692="",B692&lt;1,B692&gt;5,B692&lt;&gt;INT(B692)),"违规：加仓序号须为1到5的整数",IF(COUNTIFS($A$2:$A$1001,A692,$B$2:$B$1001,B692)&gt;1,"违规：同一交易的加仓序号重复",IF(OR(D692="",E692="",F692=""),"计划不完整：请填写加仓价、新止损价和风险预算",IF(OR(D692&lt;=0,E692&lt;=0,F692&lt;=0,D692&lt;=E692),"违规：加仓价必须高于新止损价，金额须大于0",IF(AND(B692&gt;1,COUNTIFS($A$2:$A$1001,A692,$B$2:$B$1001,B692-1,$G$2:$G$1001,"&gt;0")=0),"违规：须先完成上一次加仓",IF(AND(B692&gt;1,E692&lt;SUMIFS($E$2:$E$1001,$A$2:$A$1001,A692,$B$2:$B$1001,B692-1)),"违规：新止损价不得低于上一次",IF(AND(B692&gt;1,F692&gt;SUMIFS($F$2:$F$1001,$A$2:$A$1001,A692,$B$2:$B$1001,B692-1)),"违规：风险预算须逐次不增加",IF(OR(_LockStatus="已锁仓",_LockStatus="解锁信息不完整"),"违规：锁仓期间禁止加仓",IF(G692="","计划可执行：建议股数见N列",IF(OR(G692&lt;=0,G692&lt;&gt;INT(G692),MOD(G692,100)&lt;&gt;0),"违规：实际股数须为100股整数倍",IF(G692&gt;N692,"违规：实际股数超过风险或金字塔上限",IF(AND(B692&gt;1,G692&gt;SUMIFS($G$2:$G$1001,$A$2:$A$1001,A692,$B$2:$B$1001,B692-1)),"违规：加仓股数须逐次不增加",IF(Q692&gt;F692,"违规：止损风险超过本次预算","通过")))))))))))))))</f>
        <v/>
      </c>
    </row>
    <row r="693" ht="17" spans="1:18">
      <c r="A693" s="13"/>
      <c r="B693" s="14"/>
      <c r="C693" s="15"/>
      <c r="D693" s="16"/>
      <c r="E693" s="16"/>
      <c r="F693" s="16"/>
      <c r="G693" s="14"/>
      <c r="H693" s="17" t="str">
        <f t="shared" si="80"/>
        <v/>
      </c>
      <c r="I693" s="18" t="str">
        <f>IF(OR(A693="",B693=""),"",IFERROR(LOOKUP(2,1/(单次交易!$A$2:$A$201=A693),单次交易!$H$2:$H$201),0)+SUMIFS($G$2:$G$1001,$A$2:$A$1001,A693,$B$2:$B$1001,"&lt;"&amp;B693))</f>
        <v/>
      </c>
      <c r="J693" s="17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17" t="str">
        <f t="shared" si="81"/>
        <v/>
      </c>
      <c r="L693" s="18" t="str">
        <f t="shared" si="82"/>
        <v/>
      </c>
      <c r="M693" s="18" t="str">
        <f t="shared" si="83"/>
        <v/>
      </c>
      <c r="N693" s="18" t="str">
        <f t="shared" si="84"/>
        <v/>
      </c>
      <c r="O693" s="18" t="str">
        <f t="shared" si="85"/>
        <v/>
      </c>
      <c r="P693" s="17" t="str">
        <f t="shared" si="86"/>
        <v/>
      </c>
      <c r="Q693" s="17" t="str">
        <f t="shared" si="87"/>
        <v/>
      </c>
      <c r="R693" s="19" t="str">
        <f ca="1">IF(A693="","",IF(COUNTIF(_TradeIds,A693)=0,"违规：交易编号不存在",IF(OR(B693="",B693&lt;1,B693&gt;5,B693&lt;&gt;INT(B693)),"违规：加仓序号须为1到5的整数",IF(COUNTIFS($A$2:$A$1001,A693,$B$2:$B$1001,B693)&gt;1,"违规：同一交易的加仓序号重复",IF(OR(D693="",E693="",F693=""),"计划不完整：请填写加仓价、新止损价和风险预算",IF(OR(D693&lt;=0,E693&lt;=0,F693&lt;=0,D693&lt;=E693),"违规：加仓价必须高于新止损价，金额须大于0",IF(AND(B693&gt;1,COUNTIFS($A$2:$A$1001,A693,$B$2:$B$1001,B693-1,$G$2:$G$1001,"&gt;0")=0),"违规：须先完成上一次加仓",IF(AND(B693&gt;1,E693&lt;SUMIFS($E$2:$E$1001,$A$2:$A$1001,A693,$B$2:$B$1001,B693-1)),"违规：新止损价不得低于上一次",IF(AND(B693&gt;1,F693&gt;SUMIFS($F$2:$F$1001,$A$2:$A$1001,A693,$B$2:$B$1001,B693-1)),"违规：风险预算须逐次不增加",IF(OR(_LockStatus="已锁仓",_LockStatus="解锁信息不完整"),"违规：锁仓期间禁止加仓",IF(G693="","计划可执行：建议股数见N列",IF(OR(G693&lt;=0,G693&lt;&gt;INT(G693),MOD(G693,100)&lt;&gt;0),"违规：实际股数须为100股整数倍",IF(G693&gt;N693,"违规：实际股数超过风险或金字塔上限",IF(AND(B693&gt;1,G693&gt;SUMIFS($G$2:$G$1001,$A$2:$A$1001,A693,$B$2:$B$1001,B693-1)),"违规：加仓股数须逐次不增加",IF(Q693&gt;F693,"违规：止损风险超过本次预算","通过")))))))))))))))</f>
        <v/>
      </c>
    </row>
    <row r="694" ht="17" spans="1:18">
      <c r="A694" s="13"/>
      <c r="B694" s="14"/>
      <c r="C694" s="15"/>
      <c r="D694" s="16"/>
      <c r="E694" s="16"/>
      <c r="F694" s="16"/>
      <c r="G694" s="14"/>
      <c r="H694" s="17" t="str">
        <f t="shared" si="80"/>
        <v/>
      </c>
      <c r="I694" s="18" t="str">
        <f>IF(OR(A694="",B694=""),"",IFERROR(LOOKUP(2,1/(单次交易!$A$2:$A$201=A694),单次交易!$H$2:$H$201),0)+SUMIFS($G$2:$G$1001,$A$2:$A$1001,A694,$B$2:$B$1001,"&lt;"&amp;B694))</f>
        <v/>
      </c>
      <c r="J694" s="17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17" t="str">
        <f t="shared" si="81"/>
        <v/>
      </c>
      <c r="L694" s="18" t="str">
        <f t="shared" si="82"/>
        <v/>
      </c>
      <c r="M694" s="18" t="str">
        <f t="shared" si="83"/>
        <v/>
      </c>
      <c r="N694" s="18" t="str">
        <f t="shared" si="84"/>
        <v/>
      </c>
      <c r="O694" s="18" t="str">
        <f t="shared" si="85"/>
        <v/>
      </c>
      <c r="P694" s="17" t="str">
        <f t="shared" si="86"/>
        <v/>
      </c>
      <c r="Q694" s="17" t="str">
        <f t="shared" si="87"/>
        <v/>
      </c>
      <c r="R694" s="19" t="str">
        <f ca="1">IF(A694="","",IF(COUNTIF(_TradeIds,A694)=0,"违规：交易编号不存在",IF(OR(B694="",B694&lt;1,B694&gt;5,B694&lt;&gt;INT(B694)),"违规：加仓序号须为1到5的整数",IF(COUNTIFS($A$2:$A$1001,A694,$B$2:$B$1001,B694)&gt;1,"违规：同一交易的加仓序号重复",IF(OR(D694="",E694="",F694=""),"计划不完整：请填写加仓价、新止损价和风险预算",IF(OR(D694&lt;=0,E694&lt;=0,F694&lt;=0,D694&lt;=E694),"违规：加仓价必须高于新止损价，金额须大于0",IF(AND(B694&gt;1,COUNTIFS($A$2:$A$1001,A694,$B$2:$B$1001,B694-1,$G$2:$G$1001,"&gt;0")=0),"违规：须先完成上一次加仓",IF(AND(B694&gt;1,E694&lt;SUMIFS($E$2:$E$1001,$A$2:$A$1001,A694,$B$2:$B$1001,B694-1)),"违规：新止损价不得低于上一次",IF(AND(B694&gt;1,F694&gt;SUMIFS($F$2:$F$1001,$A$2:$A$1001,A694,$B$2:$B$1001,B694-1)),"违规：风险预算须逐次不增加",IF(OR(_LockStatus="已锁仓",_LockStatus="解锁信息不完整"),"违规：锁仓期间禁止加仓",IF(G694="","计划可执行：建议股数见N列",IF(OR(G694&lt;=0,G694&lt;&gt;INT(G694),MOD(G694,100)&lt;&gt;0),"违规：实际股数须为100股整数倍",IF(G694&gt;N694,"违规：实际股数超过风险或金字塔上限",IF(AND(B694&gt;1,G694&gt;SUMIFS($G$2:$G$1001,$A$2:$A$1001,A694,$B$2:$B$1001,B694-1)),"违规：加仓股数须逐次不增加",IF(Q694&gt;F694,"违规：止损风险超过本次预算","通过")))))))))))))))</f>
        <v/>
      </c>
    </row>
    <row r="695" ht="17" spans="1:18">
      <c r="A695" s="13"/>
      <c r="B695" s="14"/>
      <c r="C695" s="15"/>
      <c r="D695" s="16"/>
      <c r="E695" s="16"/>
      <c r="F695" s="16"/>
      <c r="G695" s="14"/>
      <c r="H695" s="17" t="str">
        <f t="shared" si="80"/>
        <v/>
      </c>
      <c r="I695" s="18" t="str">
        <f>IF(OR(A695="",B695=""),"",IFERROR(LOOKUP(2,1/(单次交易!$A$2:$A$201=A695),单次交易!$H$2:$H$201),0)+SUMIFS($G$2:$G$1001,$A$2:$A$1001,A695,$B$2:$B$1001,"&lt;"&amp;B695))</f>
        <v/>
      </c>
      <c r="J695" s="17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17" t="str">
        <f t="shared" si="81"/>
        <v/>
      </c>
      <c r="L695" s="18" t="str">
        <f t="shared" si="82"/>
        <v/>
      </c>
      <c r="M695" s="18" t="str">
        <f t="shared" si="83"/>
        <v/>
      </c>
      <c r="N695" s="18" t="str">
        <f t="shared" si="84"/>
        <v/>
      </c>
      <c r="O695" s="18" t="str">
        <f t="shared" si="85"/>
        <v/>
      </c>
      <c r="P695" s="17" t="str">
        <f t="shared" si="86"/>
        <v/>
      </c>
      <c r="Q695" s="17" t="str">
        <f t="shared" si="87"/>
        <v/>
      </c>
      <c r="R695" s="19" t="str">
        <f ca="1">IF(A695="","",IF(COUNTIF(_TradeIds,A695)=0,"违规：交易编号不存在",IF(OR(B695="",B695&lt;1,B695&gt;5,B695&lt;&gt;INT(B695)),"违规：加仓序号须为1到5的整数",IF(COUNTIFS($A$2:$A$1001,A695,$B$2:$B$1001,B695)&gt;1,"违规：同一交易的加仓序号重复",IF(OR(D695="",E695="",F695=""),"计划不完整：请填写加仓价、新止损价和风险预算",IF(OR(D695&lt;=0,E695&lt;=0,F695&lt;=0,D695&lt;=E695),"违规：加仓价必须高于新止损价，金额须大于0",IF(AND(B695&gt;1,COUNTIFS($A$2:$A$1001,A695,$B$2:$B$1001,B695-1,$G$2:$G$1001,"&gt;0")=0),"违规：须先完成上一次加仓",IF(AND(B695&gt;1,E695&lt;SUMIFS($E$2:$E$1001,$A$2:$A$1001,A695,$B$2:$B$1001,B695-1)),"违规：新止损价不得低于上一次",IF(AND(B695&gt;1,F695&gt;SUMIFS($F$2:$F$1001,$A$2:$A$1001,A695,$B$2:$B$1001,B695-1)),"违规：风险预算须逐次不增加",IF(OR(_LockStatus="已锁仓",_LockStatus="解锁信息不完整"),"违规：锁仓期间禁止加仓",IF(G695="","计划可执行：建议股数见N列",IF(OR(G695&lt;=0,G695&lt;&gt;INT(G695),MOD(G695,100)&lt;&gt;0),"违规：实际股数须为100股整数倍",IF(G695&gt;N695,"违规：实际股数超过风险或金字塔上限",IF(AND(B695&gt;1,G695&gt;SUMIFS($G$2:$G$1001,$A$2:$A$1001,A695,$B$2:$B$1001,B695-1)),"违规：加仓股数须逐次不增加",IF(Q695&gt;F695,"违规：止损风险超过本次预算","通过")))))))))))))))</f>
        <v/>
      </c>
    </row>
    <row r="696" ht="17" spans="1:18">
      <c r="A696" s="13"/>
      <c r="B696" s="14"/>
      <c r="C696" s="15"/>
      <c r="D696" s="16"/>
      <c r="E696" s="16"/>
      <c r="F696" s="16"/>
      <c r="G696" s="14"/>
      <c r="H696" s="17" t="str">
        <f t="shared" si="80"/>
        <v/>
      </c>
      <c r="I696" s="18" t="str">
        <f>IF(OR(A696="",B696=""),"",IFERROR(LOOKUP(2,1/(单次交易!$A$2:$A$201=A696),单次交易!$H$2:$H$201),0)+SUMIFS($G$2:$G$1001,$A$2:$A$1001,A696,$B$2:$B$1001,"&lt;"&amp;B696))</f>
        <v/>
      </c>
      <c r="J696" s="17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17" t="str">
        <f t="shared" si="81"/>
        <v/>
      </c>
      <c r="L696" s="18" t="str">
        <f t="shared" si="82"/>
        <v/>
      </c>
      <c r="M696" s="18" t="str">
        <f t="shared" si="83"/>
        <v/>
      </c>
      <c r="N696" s="18" t="str">
        <f t="shared" si="84"/>
        <v/>
      </c>
      <c r="O696" s="18" t="str">
        <f t="shared" si="85"/>
        <v/>
      </c>
      <c r="P696" s="17" t="str">
        <f t="shared" si="86"/>
        <v/>
      </c>
      <c r="Q696" s="17" t="str">
        <f t="shared" si="87"/>
        <v/>
      </c>
      <c r="R696" s="19" t="str">
        <f ca="1">IF(A696="","",IF(COUNTIF(_TradeIds,A696)=0,"违规：交易编号不存在",IF(OR(B696="",B696&lt;1,B696&gt;5,B696&lt;&gt;INT(B696)),"违规：加仓序号须为1到5的整数",IF(COUNTIFS($A$2:$A$1001,A696,$B$2:$B$1001,B696)&gt;1,"违规：同一交易的加仓序号重复",IF(OR(D696="",E696="",F696=""),"计划不完整：请填写加仓价、新止损价和风险预算",IF(OR(D696&lt;=0,E696&lt;=0,F696&lt;=0,D696&lt;=E696),"违规：加仓价必须高于新止损价，金额须大于0",IF(AND(B696&gt;1,COUNTIFS($A$2:$A$1001,A696,$B$2:$B$1001,B696-1,$G$2:$G$1001,"&gt;0")=0),"违规：须先完成上一次加仓",IF(AND(B696&gt;1,E696&lt;SUMIFS($E$2:$E$1001,$A$2:$A$1001,A696,$B$2:$B$1001,B696-1)),"违规：新止损价不得低于上一次",IF(AND(B696&gt;1,F696&gt;SUMIFS($F$2:$F$1001,$A$2:$A$1001,A696,$B$2:$B$1001,B696-1)),"违规：风险预算须逐次不增加",IF(OR(_LockStatus="已锁仓",_LockStatus="解锁信息不完整"),"违规：锁仓期间禁止加仓",IF(G696="","计划可执行：建议股数见N列",IF(OR(G696&lt;=0,G696&lt;&gt;INT(G696),MOD(G696,100)&lt;&gt;0),"违规：实际股数须为100股整数倍",IF(G696&gt;N696,"违规：实际股数超过风险或金字塔上限",IF(AND(B696&gt;1,G696&gt;SUMIFS($G$2:$G$1001,$A$2:$A$1001,A696,$B$2:$B$1001,B696-1)),"违规：加仓股数须逐次不增加",IF(Q696&gt;F696,"违规：止损风险超过本次预算","通过")))))))))))))))</f>
        <v/>
      </c>
    </row>
    <row r="697" ht="17" spans="1:18">
      <c r="A697" s="13"/>
      <c r="B697" s="14"/>
      <c r="C697" s="15"/>
      <c r="D697" s="16"/>
      <c r="E697" s="16"/>
      <c r="F697" s="16"/>
      <c r="G697" s="14"/>
      <c r="H697" s="17" t="str">
        <f t="shared" si="80"/>
        <v/>
      </c>
      <c r="I697" s="18" t="str">
        <f>IF(OR(A697="",B697=""),"",IFERROR(LOOKUP(2,1/(单次交易!$A$2:$A$201=A697),单次交易!$H$2:$H$201),0)+SUMIFS($G$2:$G$1001,$A$2:$A$1001,A697,$B$2:$B$1001,"&lt;"&amp;B697))</f>
        <v/>
      </c>
      <c r="J697" s="17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17" t="str">
        <f t="shared" si="81"/>
        <v/>
      </c>
      <c r="L697" s="18" t="str">
        <f t="shared" si="82"/>
        <v/>
      </c>
      <c r="M697" s="18" t="str">
        <f t="shared" si="83"/>
        <v/>
      </c>
      <c r="N697" s="18" t="str">
        <f t="shared" si="84"/>
        <v/>
      </c>
      <c r="O697" s="18" t="str">
        <f t="shared" si="85"/>
        <v/>
      </c>
      <c r="P697" s="17" t="str">
        <f t="shared" si="86"/>
        <v/>
      </c>
      <c r="Q697" s="17" t="str">
        <f t="shared" si="87"/>
        <v/>
      </c>
      <c r="R697" s="19" t="str">
        <f ca="1">IF(A697="","",IF(COUNTIF(_TradeIds,A697)=0,"违规：交易编号不存在",IF(OR(B697="",B697&lt;1,B697&gt;5,B697&lt;&gt;INT(B697)),"违规：加仓序号须为1到5的整数",IF(COUNTIFS($A$2:$A$1001,A697,$B$2:$B$1001,B697)&gt;1,"违规：同一交易的加仓序号重复",IF(OR(D697="",E697="",F697=""),"计划不完整：请填写加仓价、新止损价和风险预算",IF(OR(D697&lt;=0,E697&lt;=0,F697&lt;=0,D697&lt;=E697),"违规：加仓价必须高于新止损价，金额须大于0",IF(AND(B697&gt;1,COUNTIFS($A$2:$A$1001,A697,$B$2:$B$1001,B697-1,$G$2:$G$1001,"&gt;0")=0),"违规：须先完成上一次加仓",IF(AND(B697&gt;1,E697&lt;SUMIFS($E$2:$E$1001,$A$2:$A$1001,A697,$B$2:$B$1001,B697-1)),"违规：新止损价不得低于上一次",IF(AND(B697&gt;1,F697&gt;SUMIFS($F$2:$F$1001,$A$2:$A$1001,A697,$B$2:$B$1001,B697-1)),"违规：风险预算须逐次不增加",IF(OR(_LockStatus="已锁仓",_LockStatus="解锁信息不完整"),"违规：锁仓期间禁止加仓",IF(G697="","计划可执行：建议股数见N列",IF(OR(G697&lt;=0,G697&lt;&gt;INT(G697),MOD(G697,100)&lt;&gt;0),"违规：实际股数须为100股整数倍",IF(G697&gt;N697,"违规：实际股数超过风险或金字塔上限",IF(AND(B697&gt;1,G697&gt;SUMIFS($G$2:$G$1001,$A$2:$A$1001,A697,$B$2:$B$1001,B697-1)),"违规：加仓股数须逐次不增加",IF(Q697&gt;F697,"违规：止损风险超过本次预算","通过")))))))))))))))</f>
        <v/>
      </c>
    </row>
    <row r="698" ht="17" spans="1:18">
      <c r="A698" s="13"/>
      <c r="B698" s="14"/>
      <c r="C698" s="15"/>
      <c r="D698" s="16"/>
      <c r="E698" s="16"/>
      <c r="F698" s="16"/>
      <c r="G698" s="14"/>
      <c r="H698" s="17" t="str">
        <f t="shared" si="80"/>
        <v/>
      </c>
      <c r="I698" s="18" t="str">
        <f>IF(OR(A698="",B698=""),"",IFERROR(LOOKUP(2,1/(单次交易!$A$2:$A$201=A698),单次交易!$H$2:$H$201),0)+SUMIFS($G$2:$G$1001,$A$2:$A$1001,A698,$B$2:$B$1001,"&lt;"&amp;B698))</f>
        <v/>
      </c>
      <c r="J698" s="17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17" t="str">
        <f t="shared" si="81"/>
        <v/>
      </c>
      <c r="L698" s="18" t="str">
        <f t="shared" si="82"/>
        <v/>
      </c>
      <c r="M698" s="18" t="str">
        <f t="shared" si="83"/>
        <v/>
      </c>
      <c r="N698" s="18" t="str">
        <f t="shared" si="84"/>
        <v/>
      </c>
      <c r="O698" s="18" t="str">
        <f t="shared" si="85"/>
        <v/>
      </c>
      <c r="P698" s="17" t="str">
        <f t="shared" si="86"/>
        <v/>
      </c>
      <c r="Q698" s="17" t="str">
        <f t="shared" si="87"/>
        <v/>
      </c>
      <c r="R698" s="19" t="str">
        <f ca="1">IF(A698="","",IF(COUNTIF(_TradeIds,A698)=0,"违规：交易编号不存在",IF(OR(B698="",B698&lt;1,B698&gt;5,B698&lt;&gt;INT(B698)),"违规：加仓序号须为1到5的整数",IF(COUNTIFS($A$2:$A$1001,A698,$B$2:$B$1001,B698)&gt;1,"违规：同一交易的加仓序号重复",IF(OR(D698="",E698="",F698=""),"计划不完整：请填写加仓价、新止损价和风险预算",IF(OR(D698&lt;=0,E698&lt;=0,F698&lt;=0,D698&lt;=E698),"违规：加仓价必须高于新止损价，金额须大于0",IF(AND(B698&gt;1,COUNTIFS($A$2:$A$1001,A698,$B$2:$B$1001,B698-1,$G$2:$G$1001,"&gt;0")=0),"违规：须先完成上一次加仓",IF(AND(B698&gt;1,E698&lt;SUMIFS($E$2:$E$1001,$A$2:$A$1001,A698,$B$2:$B$1001,B698-1)),"违规：新止损价不得低于上一次",IF(AND(B698&gt;1,F698&gt;SUMIFS($F$2:$F$1001,$A$2:$A$1001,A698,$B$2:$B$1001,B698-1)),"违规：风险预算须逐次不增加",IF(OR(_LockStatus="已锁仓",_LockStatus="解锁信息不完整"),"违规：锁仓期间禁止加仓",IF(G698="","计划可执行：建议股数见N列",IF(OR(G698&lt;=0,G698&lt;&gt;INT(G698),MOD(G698,100)&lt;&gt;0),"违规：实际股数须为100股整数倍",IF(G698&gt;N698,"违规：实际股数超过风险或金字塔上限",IF(AND(B698&gt;1,G698&gt;SUMIFS($G$2:$G$1001,$A$2:$A$1001,A698,$B$2:$B$1001,B698-1)),"违规：加仓股数须逐次不增加",IF(Q698&gt;F698,"违规：止损风险超过本次预算","通过")))))))))))))))</f>
        <v/>
      </c>
    </row>
    <row r="699" ht="17" spans="1:18">
      <c r="A699" s="13"/>
      <c r="B699" s="14"/>
      <c r="C699" s="15"/>
      <c r="D699" s="16"/>
      <c r="E699" s="16"/>
      <c r="F699" s="16"/>
      <c r="G699" s="14"/>
      <c r="H699" s="17" t="str">
        <f t="shared" si="80"/>
        <v/>
      </c>
      <c r="I699" s="18" t="str">
        <f>IF(OR(A699="",B699=""),"",IFERROR(LOOKUP(2,1/(单次交易!$A$2:$A$201=A699),单次交易!$H$2:$H$201),0)+SUMIFS($G$2:$G$1001,$A$2:$A$1001,A699,$B$2:$B$1001,"&lt;"&amp;B699))</f>
        <v/>
      </c>
      <c r="J699" s="17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17" t="str">
        <f t="shared" si="81"/>
        <v/>
      </c>
      <c r="L699" s="18" t="str">
        <f t="shared" si="82"/>
        <v/>
      </c>
      <c r="M699" s="18" t="str">
        <f t="shared" si="83"/>
        <v/>
      </c>
      <c r="N699" s="18" t="str">
        <f t="shared" si="84"/>
        <v/>
      </c>
      <c r="O699" s="18" t="str">
        <f t="shared" si="85"/>
        <v/>
      </c>
      <c r="P699" s="17" t="str">
        <f t="shared" si="86"/>
        <v/>
      </c>
      <c r="Q699" s="17" t="str">
        <f t="shared" si="87"/>
        <v/>
      </c>
      <c r="R699" s="19" t="str">
        <f ca="1">IF(A699="","",IF(COUNTIF(_TradeIds,A699)=0,"违规：交易编号不存在",IF(OR(B699="",B699&lt;1,B699&gt;5,B699&lt;&gt;INT(B699)),"违规：加仓序号须为1到5的整数",IF(COUNTIFS($A$2:$A$1001,A699,$B$2:$B$1001,B699)&gt;1,"违规：同一交易的加仓序号重复",IF(OR(D699="",E699="",F699=""),"计划不完整：请填写加仓价、新止损价和风险预算",IF(OR(D699&lt;=0,E699&lt;=0,F699&lt;=0,D699&lt;=E699),"违规：加仓价必须高于新止损价，金额须大于0",IF(AND(B699&gt;1,COUNTIFS($A$2:$A$1001,A699,$B$2:$B$1001,B699-1,$G$2:$G$1001,"&gt;0")=0),"违规：须先完成上一次加仓",IF(AND(B699&gt;1,E699&lt;SUMIFS($E$2:$E$1001,$A$2:$A$1001,A699,$B$2:$B$1001,B699-1)),"违规：新止损价不得低于上一次",IF(AND(B699&gt;1,F699&gt;SUMIFS($F$2:$F$1001,$A$2:$A$1001,A699,$B$2:$B$1001,B699-1)),"违规：风险预算须逐次不增加",IF(OR(_LockStatus="已锁仓",_LockStatus="解锁信息不完整"),"违规：锁仓期间禁止加仓",IF(G699="","计划可执行：建议股数见N列",IF(OR(G699&lt;=0,G699&lt;&gt;INT(G699),MOD(G699,100)&lt;&gt;0),"违规：实际股数须为100股整数倍",IF(G699&gt;N699,"违规：实际股数超过风险或金字塔上限",IF(AND(B699&gt;1,G699&gt;SUMIFS($G$2:$G$1001,$A$2:$A$1001,A699,$B$2:$B$1001,B699-1)),"违规：加仓股数须逐次不增加",IF(Q699&gt;F699,"违规：止损风险超过本次预算","通过")))))))))))))))</f>
        <v/>
      </c>
    </row>
    <row r="700" ht="17" spans="1:18">
      <c r="A700" s="13"/>
      <c r="B700" s="14"/>
      <c r="C700" s="15"/>
      <c r="D700" s="16"/>
      <c r="E700" s="16"/>
      <c r="F700" s="16"/>
      <c r="G700" s="14"/>
      <c r="H700" s="17" t="str">
        <f t="shared" si="80"/>
        <v/>
      </c>
      <c r="I700" s="18" t="str">
        <f>IF(OR(A700="",B700=""),"",IFERROR(LOOKUP(2,1/(单次交易!$A$2:$A$201=A700),单次交易!$H$2:$H$201),0)+SUMIFS($G$2:$G$1001,$A$2:$A$1001,A700,$B$2:$B$1001,"&lt;"&amp;B700))</f>
        <v/>
      </c>
      <c r="J700" s="17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17" t="str">
        <f t="shared" si="81"/>
        <v/>
      </c>
      <c r="L700" s="18" t="str">
        <f t="shared" si="82"/>
        <v/>
      </c>
      <c r="M700" s="18" t="str">
        <f t="shared" si="83"/>
        <v/>
      </c>
      <c r="N700" s="18" t="str">
        <f t="shared" si="84"/>
        <v/>
      </c>
      <c r="O700" s="18" t="str">
        <f t="shared" si="85"/>
        <v/>
      </c>
      <c r="P700" s="17" t="str">
        <f t="shared" si="86"/>
        <v/>
      </c>
      <c r="Q700" s="17" t="str">
        <f t="shared" si="87"/>
        <v/>
      </c>
      <c r="R700" s="19" t="str">
        <f ca="1">IF(A700="","",IF(COUNTIF(_TradeIds,A700)=0,"违规：交易编号不存在",IF(OR(B700="",B700&lt;1,B700&gt;5,B700&lt;&gt;INT(B700)),"违规：加仓序号须为1到5的整数",IF(COUNTIFS($A$2:$A$1001,A700,$B$2:$B$1001,B700)&gt;1,"违规：同一交易的加仓序号重复",IF(OR(D700="",E700="",F700=""),"计划不完整：请填写加仓价、新止损价和风险预算",IF(OR(D700&lt;=0,E700&lt;=0,F700&lt;=0,D700&lt;=E700),"违规：加仓价必须高于新止损价，金额须大于0",IF(AND(B700&gt;1,COUNTIFS($A$2:$A$1001,A700,$B$2:$B$1001,B700-1,$G$2:$G$1001,"&gt;0")=0),"违规：须先完成上一次加仓",IF(AND(B700&gt;1,E700&lt;SUMIFS($E$2:$E$1001,$A$2:$A$1001,A700,$B$2:$B$1001,B700-1)),"违规：新止损价不得低于上一次",IF(AND(B700&gt;1,F700&gt;SUMIFS($F$2:$F$1001,$A$2:$A$1001,A700,$B$2:$B$1001,B700-1)),"违规：风险预算须逐次不增加",IF(OR(_LockStatus="已锁仓",_LockStatus="解锁信息不完整"),"违规：锁仓期间禁止加仓",IF(G700="","计划可执行：建议股数见N列",IF(OR(G700&lt;=0,G700&lt;&gt;INT(G700),MOD(G700,100)&lt;&gt;0),"违规：实际股数须为100股整数倍",IF(G700&gt;N700,"违规：实际股数超过风险或金字塔上限",IF(AND(B700&gt;1,G700&gt;SUMIFS($G$2:$G$1001,$A$2:$A$1001,A700,$B$2:$B$1001,B700-1)),"违规：加仓股数须逐次不增加",IF(Q700&gt;F700,"违规：止损风险超过本次预算","通过")))))))))))))))</f>
        <v/>
      </c>
    </row>
    <row r="701" ht="17" spans="1:18">
      <c r="A701" s="13"/>
      <c r="B701" s="14"/>
      <c r="C701" s="15"/>
      <c r="D701" s="16"/>
      <c r="E701" s="16"/>
      <c r="F701" s="16"/>
      <c r="G701" s="14"/>
      <c r="H701" s="17" t="str">
        <f t="shared" si="80"/>
        <v/>
      </c>
      <c r="I701" s="18" t="str">
        <f>IF(OR(A701="",B701=""),"",IFERROR(LOOKUP(2,1/(单次交易!$A$2:$A$201=A701),单次交易!$H$2:$H$201),0)+SUMIFS($G$2:$G$1001,$A$2:$A$1001,A701,$B$2:$B$1001,"&lt;"&amp;B701))</f>
        <v/>
      </c>
      <c r="J701" s="17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17" t="str">
        <f t="shared" si="81"/>
        <v/>
      </c>
      <c r="L701" s="18" t="str">
        <f t="shared" si="82"/>
        <v/>
      </c>
      <c r="M701" s="18" t="str">
        <f t="shared" si="83"/>
        <v/>
      </c>
      <c r="N701" s="18" t="str">
        <f t="shared" si="84"/>
        <v/>
      </c>
      <c r="O701" s="18" t="str">
        <f t="shared" si="85"/>
        <v/>
      </c>
      <c r="P701" s="17" t="str">
        <f t="shared" si="86"/>
        <v/>
      </c>
      <c r="Q701" s="17" t="str">
        <f t="shared" si="87"/>
        <v/>
      </c>
      <c r="R701" s="19" t="str">
        <f ca="1">IF(A701="","",IF(COUNTIF(_TradeIds,A701)=0,"违规：交易编号不存在",IF(OR(B701="",B701&lt;1,B701&gt;5,B701&lt;&gt;INT(B701)),"违规：加仓序号须为1到5的整数",IF(COUNTIFS($A$2:$A$1001,A701,$B$2:$B$1001,B701)&gt;1,"违规：同一交易的加仓序号重复",IF(OR(D701="",E701="",F701=""),"计划不完整：请填写加仓价、新止损价和风险预算",IF(OR(D701&lt;=0,E701&lt;=0,F701&lt;=0,D701&lt;=E701),"违规：加仓价必须高于新止损价，金额须大于0",IF(AND(B701&gt;1,COUNTIFS($A$2:$A$1001,A701,$B$2:$B$1001,B701-1,$G$2:$G$1001,"&gt;0")=0),"违规：须先完成上一次加仓",IF(AND(B701&gt;1,E701&lt;SUMIFS($E$2:$E$1001,$A$2:$A$1001,A701,$B$2:$B$1001,B701-1)),"违规：新止损价不得低于上一次",IF(AND(B701&gt;1,F701&gt;SUMIFS($F$2:$F$1001,$A$2:$A$1001,A701,$B$2:$B$1001,B701-1)),"违规：风险预算须逐次不增加",IF(OR(_LockStatus="已锁仓",_LockStatus="解锁信息不完整"),"违规：锁仓期间禁止加仓",IF(G701="","计划可执行：建议股数见N列",IF(OR(G701&lt;=0,G701&lt;&gt;INT(G701),MOD(G701,100)&lt;&gt;0),"违规：实际股数须为100股整数倍",IF(G701&gt;N701,"违规：实际股数超过风险或金字塔上限",IF(AND(B701&gt;1,G701&gt;SUMIFS($G$2:$G$1001,$A$2:$A$1001,A701,$B$2:$B$1001,B701-1)),"违规：加仓股数须逐次不增加",IF(Q701&gt;F701,"违规：止损风险超过本次预算","通过")))))))))))))))</f>
        <v/>
      </c>
    </row>
    <row r="702" ht="17" spans="1:18">
      <c r="A702" s="13"/>
      <c r="B702" s="14"/>
      <c r="C702" s="15"/>
      <c r="D702" s="16"/>
      <c r="E702" s="16"/>
      <c r="F702" s="16"/>
      <c r="G702" s="14"/>
      <c r="H702" s="17" t="str">
        <f t="shared" si="80"/>
        <v/>
      </c>
      <c r="I702" s="18" t="str">
        <f>IF(OR(A702="",B702=""),"",IFERROR(LOOKUP(2,1/(单次交易!$A$2:$A$201=A702),单次交易!$H$2:$H$201),0)+SUMIFS($G$2:$G$1001,$A$2:$A$1001,A702,$B$2:$B$1001,"&lt;"&amp;B702))</f>
        <v/>
      </c>
      <c r="J702" s="17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17" t="str">
        <f t="shared" si="81"/>
        <v/>
      </c>
      <c r="L702" s="18" t="str">
        <f t="shared" si="82"/>
        <v/>
      </c>
      <c r="M702" s="18" t="str">
        <f t="shared" si="83"/>
        <v/>
      </c>
      <c r="N702" s="18" t="str">
        <f t="shared" si="84"/>
        <v/>
      </c>
      <c r="O702" s="18" t="str">
        <f t="shared" si="85"/>
        <v/>
      </c>
      <c r="P702" s="17" t="str">
        <f t="shared" si="86"/>
        <v/>
      </c>
      <c r="Q702" s="17" t="str">
        <f t="shared" si="87"/>
        <v/>
      </c>
      <c r="R702" s="19" t="str">
        <f ca="1">IF(A702="","",IF(COUNTIF(_TradeIds,A702)=0,"违规：交易编号不存在",IF(OR(B702="",B702&lt;1,B702&gt;5,B702&lt;&gt;INT(B702)),"违规：加仓序号须为1到5的整数",IF(COUNTIFS($A$2:$A$1001,A702,$B$2:$B$1001,B702)&gt;1,"违规：同一交易的加仓序号重复",IF(OR(D702="",E702="",F702=""),"计划不完整：请填写加仓价、新止损价和风险预算",IF(OR(D702&lt;=0,E702&lt;=0,F702&lt;=0,D702&lt;=E702),"违规：加仓价必须高于新止损价，金额须大于0",IF(AND(B702&gt;1,COUNTIFS($A$2:$A$1001,A702,$B$2:$B$1001,B702-1,$G$2:$G$1001,"&gt;0")=0),"违规：须先完成上一次加仓",IF(AND(B702&gt;1,E702&lt;SUMIFS($E$2:$E$1001,$A$2:$A$1001,A702,$B$2:$B$1001,B702-1)),"违规：新止损价不得低于上一次",IF(AND(B702&gt;1,F702&gt;SUMIFS($F$2:$F$1001,$A$2:$A$1001,A702,$B$2:$B$1001,B702-1)),"违规：风险预算须逐次不增加",IF(OR(_LockStatus="已锁仓",_LockStatus="解锁信息不完整"),"违规：锁仓期间禁止加仓",IF(G702="","计划可执行：建议股数见N列",IF(OR(G702&lt;=0,G702&lt;&gt;INT(G702),MOD(G702,100)&lt;&gt;0),"违规：实际股数须为100股整数倍",IF(G702&gt;N702,"违规：实际股数超过风险或金字塔上限",IF(AND(B702&gt;1,G702&gt;SUMIFS($G$2:$G$1001,$A$2:$A$1001,A702,$B$2:$B$1001,B702-1)),"违规：加仓股数须逐次不增加",IF(Q702&gt;F702,"违规：止损风险超过本次预算","通过")))))))))))))))</f>
        <v/>
      </c>
    </row>
    <row r="703" ht="17" spans="1:18">
      <c r="A703" s="13"/>
      <c r="B703" s="14"/>
      <c r="C703" s="15"/>
      <c r="D703" s="16"/>
      <c r="E703" s="16"/>
      <c r="F703" s="16"/>
      <c r="G703" s="14"/>
      <c r="H703" s="17" t="str">
        <f t="shared" si="80"/>
        <v/>
      </c>
      <c r="I703" s="18" t="str">
        <f>IF(OR(A703="",B703=""),"",IFERROR(LOOKUP(2,1/(单次交易!$A$2:$A$201=A703),单次交易!$H$2:$H$201),0)+SUMIFS($G$2:$G$1001,$A$2:$A$1001,A703,$B$2:$B$1001,"&lt;"&amp;B703))</f>
        <v/>
      </c>
      <c r="J703" s="17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17" t="str">
        <f t="shared" si="81"/>
        <v/>
      </c>
      <c r="L703" s="18" t="str">
        <f t="shared" si="82"/>
        <v/>
      </c>
      <c r="M703" s="18" t="str">
        <f t="shared" si="83"/>
        <v/>
      </c>
      <c r="N703" s="18" t="str">
        <f t="shared" si="84"/>
        <v/>
      </c>
      <c r="O703" s="18" t="str">
        <f t="shared" si="85"/>
        <v/>
      </c>
      <c r="P703" s="17" t="str">
        <f t="shared" si="86"/>
        <v/>
      </c>
      <c r="Q703" s="17" t="str">
        <f t="shared" si="87"/>
        <v/>
      </c>
      <c r="R703" s="19" t="str">
        <f ca="1">IF(A703="","",IF(COUNTIF(_TradeIds,A703)=0,"违规：交易编号不存在",IF(OR(B703="",B703&lt;1,B703&gt;5,B703&lt;&gt;INT(B703)),"违规：加仓序号须为1到5的整数",IF(COUNTIFS($A$2:$A$1001,A703,$B$2:$B$1001,B703)&gt;1,"违规：同一交易的加仓序号重复",IF(OR(D703="",E703="",F703=""),"计划不完整：请填写加仓价、新止损价和风险预算",IF(OR(D703&lt;=0,E703&lt;=0,F703&lt;=0,D703&lt;=E703),"违规：加仓价必须高于新止损价，金额须大于0",IF(AND(B703&gt;1,COUNTIFS($A$2:$A$1001,A703,$B$2:$B$1001,B703-1,$G$2:$G$1001,"&gt;0")=0),"违规：须先完成上一次加仓",IF(AND(B703&gt;1,E703&lt;SUMIFS($E$2:$E$1001,$A$2:$A$1001,A703,$B$2:$B$1001,B703-1)),"违规：新止损价不得低于上一次",IF(AND(B703&gt;1,F703&gt;SUMIFS($F$2:$F$1001,$A$2:$A$1001,A703,$B$2:$B$1001,B703-1)),"违规：风险预算须逐次不增加",IF(OR(_LockStatus="已锁仓",_LockStatus="解锁信息不完整"),"违规：锁仓期间禁止加仓",IF(G703="","计划可执行：建议股数见N列",IF(OR(G703&lt;=0,G703&lt;&gt;INT(G703),MOD(G703,100)&lt;&gt;0),"违规：实际股数须为100股整数倍",IF(G703&gt;N703,"违规：实际股数超过风险或金字塔上限",IF(AND(B703&gt;1,G703&gt;SUMIFS($G$2:$G$1001,$A$2:$A$1001,A703,$B$2:$B$1001,B703-1)),"违规：加仓股数须逐次不增加",IF(Q703&gt;F703,"违规：止损风险超过本次预算","通过")))))))))))))))</f>
        <v/>
      </c>
    </row>
    <row r="704" ht="17" spans="1:18">
      <c r="A704" s="13"/>
      <c r="B704" s="14"/>
      <c r="C704" s="15"/>
      <c r="D704" s="16"/>
      <c r="E704" s="16"/>
      <c r="F704" s="16"/>
      <c r="G704" s="14"/>
      <c r="H704" s="17" t="str">
        <f t="shared" si="80"/>
        <v/>
      </c>
      <c r="I704" s="18" t="str">
        <f>IF(OR(A704="",B704=""),"",IFERROR(LOOKUP(2,1/(单次交易!$A$2:$A$201=A704),单次交易!$H$2:$H$201),0)+SUMIFS($G$2:$G$1001,$A$2:$A$1001,A704,$B$2:$B$1001,"&lt;"&amp;B704))</f>
        <v/>
      </c>
      <c r="J704" s="17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17" t="str">
        <f t="shared" si="81"/>
        <v/>
      </c>
      <c r="L704" s="18" t="str">
        <f t="shared" si="82"/>
        <v/>
      </c>
      <c r="M704" s="18" t="str">
        <f t="shared" si="83"/>
        <v/>
      </c>
      <c r="N704" s="18" t="str">
        <f t="shared" si="84"/>
        <v/>
      </c>
      <c r="O704" s="18" t="str">
        <f t="shared" si="85"/>
        <v/>
      </c>
      <c r="P704" s="17" t="str">
        <f t="shared" si="86"/>
        <v/>
      </c>
      <c r="Q704" s="17" t="str">
        <f t="shared" si="87"/>
        <v/>
      </c>
      <c r="R704" s="19" t="str">
        <f ca="1">IF(A704="","",IF(COUNTIF(_TradeIds,A704)=0,"违规：交易编号不存在",IF(OR(B704="",B704&lt;1,B704&gt;5,B704&lt;&gt;INT(B704)),"违规：加仓序号须为1到5的整数",IF(COUNTIFS($A$2:$A$1001,A704,$B$2:$B$1001,B704)&gt;1,"违规：同一交易的加仓序号重复",IF(OR(D704="",E704="",F704=""),"计划不完整：请填写加仓价、新止损价和风险预算",IF(OR(D704&lt;=0,E704&lt;=0,F704&lt;=0,D704&lt;=E704),"违规：加仓价必须高于新止损价，金额须大于0",IF(AND(B704&gt;1,COUNTIFS($A$2:$A$1001,A704,$B$2:$B$1001,B704-1,$G$2:$G$1001,"&gt;0")=0),"违规：须先完成上一次加仓",IF(AND(B704&gt;1,E704&lt;SUMIFS($E$2:$E$1001,$A$2:$A$1001,A704,$B$2:$B$1001,B704-1)),"违规：新止损价不得低于上一次",IF(AND(B704&gt;1,F704&gt;SUMIFS($F$2:$F$1001,$A$2:$A$1001,A704,$B$2:$B$1001,B704-1)),"违规：风险预算须逐次不增加",IF(OR(_LockStatus="已锁仓",_LockStatus="解锁信息不完整"),"违规：锁仓期间禁止加仓",IF(G704="","计划可执行：建议股数见N列",IF(OR(G704&lt;=0,G704&lt;&gt;INT(G704),MOD(G704,100)&lt;&gt;0),"违规：实际股数须为100股整数倍",IF(G704&gt;N704,"违规：实际股数超过风险或金字塔上限",IF(AND(B704&gt;1,G704&gt;SUMIFS($G$2:$G$1001,$A$2:$A$1001,A704,$B$2:$B$1001,B704-1)),"违规：加仓股数须逐次不增加",IF(Q704&gt;F704,"违规：止损风险超过本次预算","通过")))))))))))))))</f>
        <v/>
      </c>
    </row>
    <row r="705" ht="17" spans="1:18">
      <c r="A705" s="13"/>
      <c r="B705" s="14"/>
      <c r="C705" s="15"/>
      <c r="D705" s="16"/>
      <c r="E705" s="16"/>
      <c r="F705" s="16"/>
      <c r="G705" s="14"/>
      <c r="H705" s="17" t="str">
        <f t="shared" si="80"/>
        <v/>
      </c>
      <c r="I705" s="18" t="str">
        <f>IF(OR(A705="",B705=""),"",IFERROR(LOOKUP(2,1/(单次交易!$A$2:$A$201=A705),单次交易!$H$2:$H$201),0)+SUMIFS($G$2:$G$1001,$A$2:$A$1001,A705,$B$2:$B$1001,"&lt;"&amp;B705))</f>
        <v/>
      </c>
      <c r="J705" s="17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17" t="str">
        <f t="shared" si="81"/>
        <v/>
      </c>
      <c r="L705" s="18" t="str">
        <f t="shared" si="82"/>
        <v/>
      </c>
      <c r="M705" s="18" t="str">
        <f t="shared" si="83"/>
        <v/>
      </c>
      <c r="N705" s="18" t="str">
        <f t="shared" si="84"/>
        <v/>
      </c>
      <c r="O705" s="18" t="str">
        <f t="shared" si="85"/>
        <v/>
      </c>
      <c r="P705" s="17" t="str">
        <f t="shared" si="86"/>
        <v/>
      </c>
      <c r="Q705" s="17" t="str">
        <f t="shared" si="87"/>
        <v/>
      </c>
      <c r="R705" s="19" t="str">
        <f ca="1">IF(A705="","",IF(COUNTIF(_TradeIds,A705)=0,"违规：交易编号不存在",IF(OR(B705="",B705&lt;1,B705&gt;5,B705&lt;&gt;INT(B705)),"违规：加仓序号须为1到5的整数",IF(COUNTIFS($A$2:$A$1001,A705,$B$2:$B$1001,B705)&gt;1,"违规：同一交易的加仓序号重复",IF(OR(D705="",E705="",F705=""),"计划不完整：请填写加仓价、新止损价和风险预算",IF(OR(D705&lt;=0,E705&lt;=0,F705&lt;=0,D705&lt;=E705),"违规：加仓价必须高于新止损价，金额须大于0",IF(AND(B705&gt;1,COUNTIFS($A$2:$A$1001,A705,$B$2:$B$1001,B705-1,$G$2:$G$1001,"&gt;0")=0),"违规：须先完成上一次加仓",IF(AND(B705&gt;1,E705&lt;SUMIFS($E$2:$E$1001,$A$2:$A$1001,A705,$B$2:$B$1001,B705-1)),"违规：新止损价不得低于上一次",IF(AND(B705&gt;1,F705&gt;SUMIFS($F$2:$F$1001,$A$2:$A$1001,A705,$B$2:$B$1001,B705-1)),"违规：风险预算须逐次不增加",IF(OR(_LockStatus="已锁仓",_LockStatus="解锁信息不完整"),"违规：锁仓期间禁止加仓",IF(G705="","计划可执行：建议股数见N列",IF(OR(G705&lt;=0,G705&lt;&gt;INT(G705),MOD(G705,100)&lt;&gt;0),"违规：实际股数须为100股整数倍",IF(G705&gt;N705,"违规：实际股数超过风险或金字塔上限",IF(AND(B705&gt;1,G705&gt;SUMIFS($G$2:$G$1001,$A$2:$A$1001,A705,$B$2:$B$1001,B705-1)),"违规：加仓股数须逐次不增加",IF(Q705&gt;F705,"违规：止损风险超过本次预算","通过")))))))))))))))</f>
        <v/>
      </c>
    </row>
    <row r="706" ht="17" spans="1:18">
      <c r="A706" s="13"/>
      <c r="B706" s="14"/>
      <c r="C706" s="15"/>
      <c r="D706" s="16"/>
      <c r="E706" s="16"/>
      <c r="F706" s="16"/>
      <c r="G706" s="14"/>
      <c r="H706" s="17" t="str">
        <f t="shared" ref="H706:H769" si="88">IF(OR(A706="",D706="",G706=""),"",D706*G706)</f>
        <v/>
      </c>
      <c r="I706" s="18" t="str">
        <f>IF(OR(A706="",B706=""),"",IFERROR(LOOKUP(2,1/(单次交易!$A$2:$A$201=A706),单次交易!$H$2:$H$201),0)+SUMIFS($G$2:$G$1001,$A$2:$A$1001,A706,$B$2:$B$1001,"&lt;"&amp;B706))</f>
        <v/>
      </c>
      <c r="J706" s="17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17" t="str">
        <f t="shared" ref="K706:K769" si="89">IF(OR(E706="",I706="",J706=""),"",MAX(E706*I706-J706,0))</f>
        <v/>
      </c>
      <c r="L706" s="18" t="str">
        <f t="shared" ref="L706:L769" si="90">IF(OR(D706="",E706="",F706="",D706&lt;=E706),"",FLOOR((F706+K706)/(D706-E706),100))</f>
        <v/>
      </c>
      <c r="M706" s="18" t="str">
        <f t="shared" ref="M706:M769" si="91">IF(OR(A706="",B706="",L706=""),"",IF(B706=1,L706,IFERROR(SUMIFS($G$2:$G$1001,$A$2:$A$1001,A706,$B$2:$B$1001,B706-1),0)))</f>
        <v/>
      </c>
      <c r="N706" s="18" t="str">
        <f t="shared" ref="N706:N769" si="92">IF(OR(L706="",M706=""),"",MIN(L706,M706))</f>
        <v/>
      </c>
      <c r="O706" s="18" t="str">
        <f t="shared" ref="O706:O769" si="93">IF(OR(I706="",G706=""),"",I706+G706)</f>
        <v/>
      </c>
      <c r="P706" s="17" t="str">
        <f t="shared" ref="P706:P769" si="94">IF(OR(O706="",O706=0),"",(J706+H706)/O706)</f>
        <v/>
      </c>
      <c r="Q706" s="17" t="str">
        <f t="shared" ref="Q706:Q769" si="95">IF(OR(O706="",E706=""),"",MAX(J706+H706-E706*O706,0))</f>
        <v/>
      </c>
      <c r="R706" s="19" t="str">
        <f ca="1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ht="17" spans="1:18">
      <c r="A707" s="13"/>
      <c r="B707" s="14"/>
      <c r="C707" s="15"/>
      <c r="D707" s="16"/>
      <c r="E707" s="16"/>
      <c r="F707" s="16"/>
      <c r="G707" s="14"/>
      <c r="H707" s="17" t="str">
        <f t="shared" si="88"/>
        <v/>
      </c>
      <c r="I707" s="18" t="str">
        <f>IF(OR(A707="",B707=""),"",IFERROR(LOOKUP(2,1/(单次交易!$A$2:$A$201=A707),单次交易!$H$2:$H$201),0)+SUMIFS($G$2:$G$1001,$A$2:$A$1001,A707,$B$2:$B$1001,"&lt;"&amp;B707))</f>
        <v/>
      </c>
      <c r="J707" s="17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17" t="str">
        <f t="shared" si="89"/>
        <v/>
      </c>
      <c r="L707" s="18" t="str">
        <f t="shared" si="90"/>
        <v/>
      </c>
      <c r="M707" s="18" t="str">
        <f t="shared" si="91"/>
        <v/>
      </c>
      <c r="N707" s="18" t="str">
        <f t="shared" si="92"/>
        <v/>
      </c>
      <c r="O707" s="18" t="str">
        <f t="shared" si="93"/>
        <v/>
      </c>
      <c r="P707" s="17" t="str">
        <f t="shared" si="94"/>
        <v/>
      </c>
      <c r="Q707" s="17" t="str">
        <f t="shared" si="95"/>
        <v/>
      </c>
      <c r="R707" s="19" t="str">
        <f ca="1">IF(A707="","",IF(COUNTIF(_TradeIds,A707)=0,"违规：交易编号不存在",IF(OR(B707="",B707&lt;1,B707&gt;5,B707&lt;&gt;INT(B707)),"违规：加仓序号须为1到5的整数",IF(COUNTIFS($A$2:$A$1001,A707,$B$2:$B$1001,B707)&gt;1,"违规：同一交易的加仓序号重复",IF(OR(D707="",E707="",F707=""),"计划不完整：请填写加仓价、新止损价和风险预算",IF(OR(D707&lt;=0,E707&lt;=0,F707&lt;=0,D707&lt;=E707),"违规：加仓价必须高于新止损价，金额须大于0",IF(AND(B707&gt;1,COUNTIFS($A$2:$A$1001,A707,$B$2:$B$1001,B707-1,$G$2:$G$1001,"&gt;0")=0),"违规：须先完成上一次加仓",IF(AND(B707&gt;1,E707&lt;SUMIFS($E$2:$E$1001,$A$2:$A$1001,A707,$B$2:$B$1001,B707-1)),"违规：新止损价不得低于上一次",IF(AND(B707&gt;1,F707&gt;SUMIFS($F$2:$F$1001,$A$2:$A$1001,A707,$B$2:$B$1001,B707-1)),"违规：风险预算须逐次不增加",IF(OR(_LockStatus="已锁仓",_LockStatus="解锁信息不完整"),"违规：锁仓期间禁止加仓",IF(G707="","计划可执行：建议股数见N列",IF(OR(G707&lt;=0,G707&lt;&gt;INT(G707),MOD(G707,100)&lt;&gt;0),"违规：实际股数须为100股整数倍",IF(G707&gt;N707,"违规：实际股数超过风险或金字塔上限",IF(AND(B707&gt;1,G707&gt;SUMIFS($G$2:$G$1001,$A$2:$A$1001,A707,$B$2:$B$1001,B707-1)),"违规：加仓股数须逐次不增加",IF(Q707&gt;F707,"违规：止损风险超过本次预算","通过")))))))))))))))</f>
        <v/>
      </c>
    </row>
    <row r="708" ht="17" spans="1:18">
      <c r="A708" s="13"/>
      <c r="B708" s="14"/>
      <c r="C708" s="15"/>
      <c r="D708" s="16"/>
      <c r="E708" s="16"/>
      <c r="F708" s="16"/>
      <c r="G708" s="14"/>
      <c r="H708" s="17" t="str">
        <f t="shared" si="88"/>
        <v/>
      </c>
      <c r="I708" s="18" t="str">
        <f>IF(OR(A708="",B708=""),"",IFERROR(LOOKUP(2,1/(单次交易!$A$2:$A$201=A708),单次交易!$H$2:$H$201),0)+SUMIFS($G$2:$G$1001,$A$2:$A$1001,A708,$B$2:$B$1001,"&lt;"&amp;B708))</f>
        <v/>
      </c>
      <c r="J708" s="17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17" t="str">
        <f t="shared" si="89"/>
        <v/>
      </c>
      <c r="L708" s="18" t="str">
        <f t="shared" si="90"/>
        <v/>
      </c>
      <c r="M708" s="18" t="str">
        <f t="shared" si="91"/>
        <v/>
      </c>
      <c r="N708" s="18" t="str">
        <f t="shared" si="92"/>
        <v/>
      </c>
      <c r="O708" s="18" t="str">
        <f t="shared" si="93"/>
        <v/>
      </c>
      <c r="P708" s="17" t="str">
        <f t="shared" si="94"/>
        <v/>
      </c>
      <c r="Q708" s="17" t="str">
        <f t="shared" si="95"/>
        <v/>
      </c>
      <c r="R708" s="19" t="str">
        <f ca="1">IF(A708="","",IF(COUNTIF(_TradeIds,A708)=0,"违规：交易编号不存在",IF(OR(B708="",B708&lt;1,B708&gt;5,B708&lt;&gt;INT(B708)),"违规：加仓序号须为1到5的整数",IF(COUNTIFS($A$2:$A$1001,A708,$B$2:$B$1001,B708)&gt;1,"违规：同一交易的加仓序号重复",IF(OR(D708="",E708="",F708=""),"计划不完整：请填写加仓价、新止损价和风险预算",IF(OR(D708&lt;=0,E708&lt;=0,F708&lt;=0,D708&lt;=E708),"违规：加仓价必须高于新止损价，金额须大于0",IF(AND(B708&gt;1,COUNTIFS($A$2:$A$1001,A708,$B$2:$B$1001,B708-1,$G$2:$G$1001,"&gt;0")=0),"违规：须先完成上一次加仓",IF(AND(B708&gt;1,E708&lt;SUMIFS($E$2:$E$1001,$A$2:$A$1001,A708,$B$2:$B$1001,B708-1)),"违规：新止损价不得低于上一次",IF(AND(B708&gt;1,F708&gt;SUMIFS($F$2:$F$1001,$A$2:$A$1001,A708,$B$2:$B$1001,B708-1)),"违规：风险预算须逐次不增加",IF(OR(_LockStatus="已锁仓",_LockStatus="解锁信息不完整"),"违规：锁仓期间禁止加仓",IF(G708="","计划可执行：建议股数见N列",IF(OR(G708&lt;=0,G708&lt;&gt;INT(G708),MOD(G708,100)&lt;&gt;0),"违规：实际股数须为100股整数倍",IF(G708&gt;N708,"违规：实际股数超过风险或金字塔上限",IF(AND(B708&gt;1,G708&gt;SUMIFS($G$2:$G$1001,$A$2:$A$1001,A708,$B$2:$B$1001,B708-1)),"违规：加仓股数须逐次不增加",IF(Q708&gt;F708,"违规：止损风险超过本次预算","通过")))))))))))))))</f>
        <v/>
      </c>
    </row>
    <row r="709" ht="17" spans="1:18">
      <c r="A709" s="13"/>
      <c r="B709" s="14"/>
      <c r="C709" s="15"/>
      <c r="D709" s="16"/>
      <c r="E709" s="16"/>
      <c r="F709" s="16"/>
      <c r="G709" s="14"/>
      <c r="H709" s="17" t="str">
        <f t="shared" si="88"/>
        <v/>
      </c>
      <c r="I709" s="18" t="str">
        <f>IF(OR(A709="",B709=""),"",IFERROR(LOOKUP(2,1/(单次交易!$A$2:$A$201=A709),单次交易!$H$2:$H$201),0)+SUMIFS($G$2:$G$1001,$A$2:$A$1001,A709,$B$2:$B$1001,"&lt;"&amp;B709))</f>
        <v/>
      </c>
      <c r="J709" s="17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17" t="str">
        <f t="shared" si="89"/>
        <v/>
      </c>
      <c r="L709" s="18" t="str">
        <f t="shared" si="90"/>
        <v/>
      </c>
      <c r="M709" s="18" t="str">
        <f t="shared" si="91"/>
        <v/>
      </c>
      <c r="N709" s="18" t="str">
        <f t="shared" si="92"/>
        <v/>
      </c>
      <c r="O709" s="18" t="str">
        <f t="shared" si="93"/>
        <v/>
      </c>
      <c r="P709" s="17" t="str">
        <f t="shared" si="94"/>
        <v/>
      </c>
      <c r="Q709" s="17" t="str">
        <f t="shared" si="95"/>
        <v/>
      </c>
      <c r="R709" s="19" t="str">
        <f ca="1">IF(A709="","",IF(COUNTIF(_TradeIds,A709)=0,"违规：交易编号不存在",IF(OR(B709="",B709&lt;1,B709&gt;5,B709&lt;&gt;INT(B709)),"违规：加仓序号须为1到5的整数",IF(COUNTIFS($A$2:$A$1001,A709,$B$2:$B$1001,B709)&gt;1,"违规：同一交易的加仓序号重复",IF(OR(D709="",E709="",F709=""),"计划不完整：请填写加仓价、新止损价和风险预算",IF(OR(D709&lt;=0,E709&lt;=0,F709&lt;=0,D709&lt;=E709),"违规：加仓价必须高于新止损价，金额须大于0",IF(AND(B709&gt;1,COUNTIFS($A$2:$A$1001,A709,$B$2:$B$1001,B709-1,$G$2:$G$1001,"&gt;0")=0),"违规：须先完成上一次加仓",IF(AND(B709&gt;1,E709&lt;SUMIFS($E$2:$E$1001,$A$2:$A$1001,A709,$B$2:$B$1001,B709-1)),"违规：新止损价不得低于上一次",IF(AND(B709&gt;1,F709&gt;SUMIFS($F$2:$F$1001,$A$2:$A$1001,A709,$B$2:$B$1001,B709-1)),"违规：风险预算须逐次不增加",IF(OR(_LockStatus="已锁仓",_LockStatus="解锁信息不完整"),"违规：锁仓期间禁止加仓",IF(G709="","计划可执行：建议股数见N列",IF(OR(G709&lt;=0,G709&lt;&gt;INT(G709),MOD(G709,100)&lt;&gt;0),"违规：实际股数须为100股整数倍",IF(G709&gt;N709,"违规：实际股数超过风险或金字塔上限",IF(AND(B709&gt;1,G709&gt;SUMIFS($G$2:$G$1001,$A$2:$A$1001,A709,$B$2:$B$1001,B709-1)),"违规：加仓股数须逐次不增加",IF(Q709&gt;F709,"违规：止损风险超过本次预算","通过")))))))))))))))</f>
        <v/>
      </c>
    </row>
    <row r="710" ht="17" spans="1:18">
      <c r="A710" s="13"/>
      <c r="B710" s="14"/>
      <c r="C710" s="15"/>
      <c r="D710" s="16"/>
      <c r="E710" s="16"/>
      <c r="F710" s="16"/>
      <c r="G710" s="14"/>
      <c r="H710" s="17" t="str">
        <f t="shared" si="88"/>
        <v/>
      </c>
      <c r="I710" s="18" t="str">
        <f>IF(OR(A710="",B710=""),"",IFERROR(LOOKUP(2,1/(单次交易!$A$2:$A$201=A710),单次交易!$H$2:$H$201),0)+SUMIFS($G$2:$G$1001,$A$2:$A$1001,A710,$B$2:$B$1001,"&lt;"&amp;B710))</f>
        <v/>
      </c>
      <c r="J710" s="17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17" t="str">
        <f t="shared" si="89"/>
        <v/>
      </c>
      <c r="L710" s="18" t="str">
        <f t="shared" si="90"/>
        <v/>
      </c>
      <c r="M710" s="18" t="str">
        <f t="shared" si="91"/>
        <v/>
      </c>
      <c r="N710" s="18" t="str">
        <f t="shared" si="92"/>
        <v/>
      </c>
      <c r="O710" s="18" t="str">
        <f t="shared" si="93"/>
        <v/>
      </c>
      <c r="P710" s="17" t="str">
        <f t="shared" si="94"/>
        <v/>
      </c>
      <c r="Q710" s="17" t="str">
        <f t="shared" si="95"/>
        <v/>
      </c>
      <c r="R710" s="19" t="str">
        <f ca="1">IF(A710="","",IF(COUNTIF(_TradeIds,A710)=0,"违规：交易编号不存在",IF(OR(B710="",B710&lt;1,B710&gt;5,B710&lt;&gt;INT(B710)),"违规：加仓序号须为1到5的整数",IF(COUNTIFS($A$2:$A$1001,A710,$B$2:$B$1001,B710)&gt;1,"违规：同一交易的加仓序号重复",IF(OR(D710="",E710="",F710=""),"计划不完整：请填写加仓价、新止损价和风险预算",IF(OR(D710&lt;=0,E710&lt;=0,F710&lt;=0,D710&lt;=E710),"违规：加仓价必须高于新止损价，金额须大于0",IF(AND(B710&gt;1,COUNTIFS($A$2:$A$1001,A710,$B$2:$B$1001,B710-1,$G$2:$G$1001,"&gt;0")=0),"违规：须先完成上一次加仓",IF(AND(B710&gt;1,E710&lt;SUMIFS($E$2:$E$1001,$A$2:$A$1001,A710,$B$2:$B$1001,B710-1)),"违规：新止损价不得低于上一次",IF(AND(B710&gt;1,F710&gt;SUMIFS($F$2:$F$1001,$A$2:$A$1001,A710,$B$2:$B$1001,B710-1)),"违规：风险预算须逐次不增加",IF(OR(_LockStatus="已锁仓",_LockStatus="解锁信息不完整"),"违规：锁仓期间禁止加仓",IF(G710="","计划可执行：建议股数见N列",IF(OR(G710&lt;=0,G710&lt;&gt;INT(G710),MOD(G710,100)&lt;&gt;0),"违规：实际股数须为100股整数倍",IF(G710&gt;N710,"违规：实际股数超过风险或金字塔上限",IF(AND(B710&gt;1,G710&gt;SUMIFS($G$2:$G$1001,$A$2:$A$1001,A710,$B$2:$B$1001,B710-1)),"违规：加仓股数须逐次不增加",IF(Q710&gt;F710,"违规：止损风险超过本次预算","通过")))))))))))))))</f>
        <v/>
      </c>
    </row>
    <row r="711" ht="17" spans="1:18">
      <c r="A711" s="13"/>
      <c r="B711" s="14"/>
      <c r="C711" s="15"/>
      <c r="D711" s="16"/>
      <c r="E711" s="16"/>
      <c r="F711" s="16"/>
      <c r="G711" s="14"/>
      <c r="H711" s="17" t="str">
        <f t="shared" si="88"/>
        <v/>
      </c>
      <c r="I711" s="18" t="str">
        <f>IF(OR(A711="",B711=""),"",IFERROR(LOOKUP(2,1/(单次交易!$A$2:$A$201=A711),单次交易!$H$2:$H$201),0)+SUMIFS($G$2:$G$1001,$A$2:$A$1001,A711,$B$2:$B$1001,"&lt;"&amp;B711))</f>
        <v/>
      </c>
      <c r="J711" s="17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17" t="str">
        <f t="shared" si="89"/>
        <v/>
      </c>
      <c r="L711" s="18" t="str">
        <f t="shared" si="90"/>
        <v/>
      </c>
      <c r="M711" s="18" t="str">
        <f t="shared" si="91"/>
        <v/>
      </c>
      <c r="N711" s="18" t="str">
        <f t="shared" si="92"/>
        <v/>
      </c>
      <c r="O711" s="18" t="str">
        <f t="shared" si="93"/>
        <v/>
      </c>
      <c r="P711" s="17" t="str">
        <f t="shared" si="94"/>
        <v/>
      </c>
      <c r="Q711" s="17" t="str">
        <f t="shared" si="95"/>
        <v/>
      </c>
      <c r="R711" s="19" t="str">
        <f ca="1">IF(A711="","",IF(COUNTIF(_TradeIds,A711)=0,"违规：交易编号不存在",IF(OR(B711="",B711&lt;1,B711&gt;5,B711&lt;&gt;INT(B711)),"违规：加仓序号须为1到5的整数",IF(COUNTIFS($A$2:$A$1001,A711,$B$2:$B$1001,B711)&gt;1,"违规：同一交易的加仓序号重复",IF(OR(D711="",E711="",F711=""),"计划不完整：请填写加仓价、新止损价和风险预算",IF(OR(D711&lt;=0,E711&lt;=0,F711&lt;=0,D711&lt;=E711),"违规：加仓价必须高于新止损价，金额须大于0",IF(AND(B711&gt;1,COUNTIFS($A$2:$A$1001,A711,$B$2:$B$1001,B711-1,$G$2:$G$1001,"&gt;0")=0),"违规：须先完成上一次加仓",IF(AND(B711&gt;1,E711&lt;SUMIFS($E$2:$E$1001,$A$2:$A$1001,A711,$B$2:$B$1001,B711-1)),"违规：新止损价不得低于上一次",IF(AND(B711&gt;1,F711&gt;SUMIFS($F$2:$F$1001,$A$2:$A$1001,A711,$B$2:$B$1001,B711-1)),"违规：风险预算须逐次不增加",IF(OR(_LockStatus="已锁仓",_LockStatus="解锁信息不完整"),"违规：锁仓期间禁止加仓",IF(G711="","计划可执行：建议股数见N列",IF(OR(G711&lt;=0,G711&lt;&gt;INT(G711),MOD(G711,100)&lt;&gt;0),"违规：实际股数须为100股整数倍",IF(G711&gt;N711,"违规：实际股数超过风险或金字塔上限",IF(AND(B711&gt;1,G711&gt;SUMIFS($G$2:$G$1001,$A$2:$A$1001,A711,$B$2:$B$1001,B711-1)),"违规：加仓股数须逐次不增加",IF(Q711&gt;F711,"违规：止损风险超过本次预算","通过")))))))))))))))</f>
        <v/>
      </c>
    </row>
    <row r="712" ht="17" spans="1:18">
      <c r="A712" s="13"/>
      <c r="B712" s="14"/>
      <c r="C712" s="15"/>
      <c r="D712" s="16"/>
      <c r="E712" s="16"/>
      <c r="F712" s="16"/>
      <c r="G712" s="14"/>
      <c r="H712" s="17" t="str">
        <f t="shared" si="88"/>
        <v/>
      </c>
      <c r="I712" s="18" t="str">
        <f>IF(OR(A712="",B712=""),"",IFERROR(LOOKUP(2,1/(单次交易!$A$2:$A$201=A712),单次交易!$H$2:$H$201),0)+SUMIFS($G$2:$G$1001,$A$2:$A$1001,A712,$B$2:$B$1001,"&lt;"&amp;B712))</f>
        <v/>
      </c>
      <c r="J712" s="17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17" t="str">
        <f t="shared" si="89"/>
        <v/>
      </c>
      <c r="L712" s="18" t="str">
        <f t="shared" si="90"/>
        <v/>
      </c>
      <c r="M712" s="18" t="str">
        <f t="shared" si="91"/>
        <v/>
      </c>
      <c r="N712" s="18" t="str">
        <f t="shared" si="92"/>
        <v/>
      </c>
      <c r="O712" s="18" t="str">
        <f t="shared" si="93"/>
        <v/>
      </c>
      <c r="P712" s="17" t="str">
        <f t="shared" si="94"/>
        <v/>
      </c>
      <c r="Q712" s="17" t="str">
        <f t="shared" si="95"/>
        <v/>
      </c>
      <c r="R712" s="19" t="str">
        <f ca="1">IF(A712="","",IF(COUNTIF(_TradeIds,A712)=0,"违规：交易编号不存在",IF(OR(B712="",B712&lt;1,B712&gt;5,B712&lt;&gt;INT(B712)),"违规：加仓序号须为1到5的整数",IF(COUNTIFS($A$2:$A$1001,A712,$B$2:$B$1001,B712)&gt;1,"违规：同一交易的加仓序号重复",IF(OR(D712="",E712="",F712=""),"计划不完整：请填写加仓价、新止损价和风险预算",IF(OR(D712&lt;=0,E712&lt;=0,F712&lt;=0,D712&lt;=E712),"违规：加仓价必须高于新止损价，金额须大于0",IF(AND(B712&gt;1,COUNTIFS($A$2:$A$1001,A712,$B$2:$B$1001,B712-1,$G$2:$G$1001,"&gt;0")=0),"违规：须先完成上一次加仓",IF(AND(B712&gt;1,E712&lt;SUMIFS($E$2:$E$1001,$A$2:$A$1001,A712,$B$2:$B$1001,B712-1)),"违规：新止损价不得低于上一次",IF(AND(B712&gt;1,F712&gt;SUMIFS($F$2:$F$1001,$A$2:$A$1001,A712,$B$2:$B$1001,B712-1)),"违规：风险预算须逐次不增加",IF(OR(_LockStatus="已锁仓",_LockStatus="解锁信息不完整"),"违规：锁仓期间禁止加仓",IF(G712="","计划可执行：建议股数见N列",IF(OR(G712&lt;=0,G712&lt;&gt;INT(G712),MOD(G712,100)&lt;&gt;0),"违规：实际股数须为100股整数倍",IF(G712&gt;N712,"违规：实际股数超过风险或金字塔上限",IF(AND(B712&gt;1,G712&gt;SUMIFS($G$2:$G$1001,$A$2:$A$1001,A712,$B$2:$B$1001,B712-1)),"违规：加仓股数须逐次不增加",IF(Q712&gt;F712,"违规：止损风险超过本次预算","通过")))))))))))))))</f>
        <v/>
      </c>
    </row>
    <row r="713" ht="17" spans="1:18">
      <c r="A713" s="13"/>
      <c r="B713" s="14"/>
      <c r="C713" s="15"/>
      <c r="D713" s="16"/>
      <c r="E713" s="16"/>
      <c r="F713" s="16"/>
      <c r="G713" s="14"/>
      <c r="H713" s="17" t="str">
        <f t="shared" si="88"/>
        <v/>
      </c>
      <c r="I713" s="18" t="str">
        <f>IF(OR(A713="",B713=""),"",IFERROR(LOOKUP(2,1/(单次交易!$A$2:$A$201=A713),单次交易!$H$2:$H$201),0)+SUMIFS($G$2:$G$1001,$A$2:$A$1001,A713,$B$2:$B$1001,"&lt;"&amp;B713))</f>
        <v/>
      </c>
      <c r="J713" s="17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17" t="str">
        <f t="shared" si="89"/>
        <v/>
      </c>
      <c r="L713" s="18" t="str">
        <f t="shared" si="90"/>
        <v/>
      </c>
      <c r="M713" s="18" t="str">
        <f t="shared" si="91"/>
        <v/>
      </c>
      <c r="N713" s="18" t="str">
        <f t="shared" si="92"/>
        <v/>
      </c>
      <c r="O713" s="18" t="str">
        <f t="shared" si="93"/>
        <v/>
      </c>
      <c r="P713" s="17" t="str">
        <f t="shared" si="94"/>
        <v/>
      </c>
      <c r="Q713" s="17" t="str">
        <f t="shared" si="95"/>
        <v/>
      </c>
      <c r="R713" s="19" t="str">
        <f ca="1">IF(A713="","",IF(COUNTIF(_TradeIds,A713)=0,"违规：交易编号不存在",IF(OR(B713="",B713&lt;1,B713&gt;5,B713&lt;&gt;INT(B713)),"违规：加仓序号须为1到5的整数",IF(COUNTIFS($A$2:$A$1001,A713,$B$2:$B$1001,B713)&gt;1,"违规：同一交易的加仓序号重复",IF(OR(D713="",E713="",F713=""),"计划不完整：请填写加仓价、新止损价和风险预算",IF(OR(D713&lt;=0,E713&lt;=0,F713&lt;=0,D713&lt;=E713),"违规：加仓价必须高于新止损价，金额须大于0",IF(AND(B713&gt;1,COUNTIFS($A$2:$A$1001,A713,$B$2:$B$1001,B713-1,$G$2:$G$1001,"&gt;0")=0),"违规：须先完成上一次加仓",IF(AND(B713&gt;1,E713&lt;SUMIFS($E$2:$E$1001,$A$2:$A$1001,A713,$B$2:$B$1001,B713-1)),"违规：新止损价不得低于上一次",IF(AND(B713&gt;1,F713&gt;SUMIFS($F$2:$F$1001,$A$2:$A$1001,A713,$B$2:$B$1001,B713-1)),"违规：风险预算须逐次不增加",IF(OR(_LockStatus="已锁仓",_LockStatus="解锁信息不完整"),"违规：锁仓期间禁止加仓",IF(G713="","计划可执行：建议股数见N列",IF(OR(G713&lt;=0,G713&lt;&gt;INT(G713),MOD(G713,100)&lt;&gt;0),"违规：实际股数须为100股整数倍",IF(G713&gt;N713,"违规：实际股数超过风险或金字塔上限",IF(AND(B713&gt;1,G713&gt;SUMIFS($G$2:$G$1001,$A$2:$A$1001,A713,$B$2:$B$1001,B713-1)),"违规：加仓股数须逐次不增加",IF(Q713&gt;F713,"违规：止损风险超过本次预算","通过")))))))))))))))</f>
        <v/>
      </c>
    </row>
    <row r="714" ht="17" spans="1:18">
      <c r="A714" s="13"/>
      <c r="B714" s="14"/>
      <c r="C714" s="15"/>
      <c r="D714" s="16"/>
      <c r="E714" s="16"/>
      <c r="F714" s="16"/>
      <c r="G714" s="14"/>
      <c r="H714" s="17" t="str">
        <f t="shared" si="88"/>
        <v/>
      </c>
      <c r="I714" s="18" t="str">
        <f>IF(OR(A714="",B714=""),"",IFERROR(LOOKUP(2,1/(单次交易!$A$2:$A$201=A714),单次交易!$H$2:$H$201),0)+SUMIFS($G$2:$G$1001,$A$2:$A$1001,A714,$B$2:$B$1001,"&lt;"&amp;B714))</f>
        <v/>
      </c>
      <c r="J714" s="17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17" t="str">
        <f t="shared" si="89"/>
        <v/>
      </c>
      <c r="L714" s="18" t="str">
        <f t="shared" si="90"/>
        <v/>
      </c>
      <c r="M714" s="18" t="str">
        <f t="shared" si="91"/>
        <v/>
      </c>
      <c r="N714" s="18" t="str">
        <f t="shared" si="92"/>
        <v/>
      </c>
      <c r="O714" s="18" t="str">
        <f t="shared" si="93"/>
        <v/>
      </c>
      <c r="P714" s="17" t="str">
        <f t="shared" si="94"/>
        <v/>
      </c>
      <c r="Q714" s="17" t="str">
        <f t="shared" si="95"/>
        <v/>
      </c>
      <c r="R714" s="19" t="str">
        <f ca="1">IF(A714="","",IF(COUNTIF(_TradeIds,A714)=0,"违规：交易编号不存在",IF(OR(B714="",B714&lt;1,B714&gt;5,B714&lt;&gt;INT(B714)),"违规：加仓序号须为1到5的整数",IF(COUNTIFS($A$2:$A$1001,A714,$B$2:$B$1001,B714)&gt;1,"违规：同一交易的加仓序号重复",IF(OR(D714="",E714="",F714=""),"计划不完整：请填写加仓价、新止损价和风险预算",IF(OR(D714&lt;=0,E714&lt;=0,F714&lt;=0,D714&lt;=E714),"违规：加仓价必须高于新止损价，金额须大于0",IF(AND(B714&gt;1,COUNTIFS($A$2:$A$1001,A714,$B$2:$B$1001,B714-1,$G$2:$G$1001,"&gt;0")=0),"违规：须先完成上一次加仓",IF(AND(B714&gt;1,E714&lt;SUMIFS($E$2:$E$1001,$A$2:$A$1001,A714,$B$2:$B$1001,B714-1)),"违规：新止损价不得低于上一次",IF(AND(B714&gt;1,F714&gt;SUMIFS($F$2:$F$1001,$A$2:$A$1001,A714,$B$2:$B$1001,B714-1)),"违规：风险预算须逐次不增加",IF(OR(_LockStatus="已锁仓",_LockStatus="解锁信息不完整"),"违规：锁仓期间禁止加仓",IF(G714="","计划可执行：建议股数见N列",IF(OR(G714&lt;=0,G714&lt;&gt;INT(G714),MOD(G714,100)&lt;&gt;0),"违规：实际股数须为100股整数倍",IF(G714&gt;N714,"违规：实际股数超过风险或金字塔上限",IF(AND(B714&gt;1,G714&gt;SUMIFS($G$2:$G$1001,$A$2:$A$1001,A714,$B$2:$B$1001,B714-1)),"违规：加仓股数须逐次不增加",IF(Q714&gt;F714,"违规：止损风险超过本次预算","通过")))))))))))))))</f>
        <v/>
      </c>
    </row>
    <row r="715" ht="17" spans="1:18">
      <c r="A715" s="13"/>
      <c r="B715" s="14"/>
      <c r="C715" s="15"/>
      <c r="D715" s="16"/>
      <c r="E715" s="16"/>
      <c r="F715" s="16"/>
      <c r="G715" s="14"/>
      <c r="H715" s="17" t="str">
        <f t="shared" si="88"/>
        <v/>
      </c>
      <c r="I715" s="18" t="str">
        <f>IF(OR(A715="",B715=""),"",IFERROR(LOOKUP(2,1/(单次交易!$A$2:$A$201=A715),单次交易!$H$2:$H$201),0)+SUMIFS($G$2:$G$1001,$A$2:$A$1001,A715,$B$2:$B$1001,"&lt;"&amp;B715))</f>
        <v/>
      </c>
      <c r="J715" s="17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17" t="str">
        <f t="shared" si="89"/>
        <v/>
      </c>
      <c r="L715" s="18" t="str">
        <f t="shared" si="90"/>
        <v/>
      </c>
      <c r="M715" s="18" t="str">
        <f t="shared" si="91"/>
        <v/>
      </c>
      <c r="N715" s="18" t="str">
        <f t="shared" si="92"/>
        <v/>
      </c>
      <c r="O715" s="18" t="str">
        <f t="shared" si="93"/>
        <v/>
      </c>
      <c r="P715" s="17" t="str">
        <f t="shared" si="94"/>
        <v/>
      </c>
      <c r="Q715" s="17" t="str">
        <f t="shared" si="95"/>
        <v/>
      </c>
      <c r="R715" s="19" t="str">
        <f ca="1">IF(A715="","",IF(COUNTIF(_TradeIds,A715)=0,"违规：交易编号不存在",IF(OR(B715="",B715&lt;1,B715&gt;5,B715&lt;&gt;INT(B715)),"违规：加仓序号须为1到5的整数",IF(COUNTIFS($A$2:$A$1001,A715,$B$2:$B$1001,B715)&gt;1,"违规：同一交易的加仓序号重复",IF(OR(D715="",E715="",F715=""),"计划不完整：请填写加仓价、新止损价和风险预算",IF(OR(D715&lt;=0,E715&lt;=0,F715&lt;=0,D715&lt;=E715),"违规：加仓价必须高于新止损价，金额须大于0",IF(AND(B715&gt;1,COUNTIFS($A$2:$A$1001,A715,$B$2:$B$1001,B715-1,$G$2:$G$1001,"&gt;0")=0),"违规：须先完成上一次加仓",IF(AND(B715&gt;1,E715&lt;SUMIFS($E$2:$E$1001,$A$2:$A$1001,A715,$B$2:$B$1001,B715-1)),"违规：新止损价不得低于上一次",IF(AND(B715&gt;1,F715&gt;SUMIFS($F$2:$F$1001,$A$2:$A$1001,A715,$B$2:$B$1001,B715-1)),"违规：风险预算须逐次不增加",IF(OR(_LockStatus="已锁仓",_LockStatus="解锁信息不完整"),"违规：锁仓期间禁止加仓",IF(G715="","计划可执行：建议股数见N列",IF(OR(G715&lt;=0,G715&lt;&gt;INT(G715),MOD(G715,100)&lt;&gt;0),"违规：实际股数须为100股整数倍",IF(G715&gt;N715,"违规：实际股数超过风险或金字塔上限",IF(AND(B715&gt;1,G715&gt;SUMIFS($G$2:$G$1001,$A$2:$A$1001,A715,$B$2:$B$1001,B715-1)),"违规：加仓股数须逐次不增加",IF(Q715&gt;F715,"违规：止损风险超过本次预算","通过")))))))))))))))</f>
        <v/>
      </c>
    </row>
    <row r="716" ht="17" spans="1:18">
      <c r="A716" s="13"/>
      <c r="B716" s="14"/>
      <c r="C716" s="15"/>
      <c r="D716" s="16"/>
      <c r="E716" s="16"/>
      <c r="F716" s="16"/>
      <c r="G716" s="14"/>
      <c r="H716" s="17" t="str">
        <f t="shared" si="88"/>
        <v/>
      </c>
      <c r="I716" s="18" t="str">
        <f>IF(OR(A716="",B716=""),"",IFERROR(LOOKUP(2,1/(单次交易!$A$2:$A$201=A716),单次交易!$H$2:$H$201),0)+SUMIFS($G$2:$G$1001,$A$2:$A$1001,A716,$B$2:$B$1001,"&lt;"&amp;B716))</f>
        <v/>
      </c>
      <c r="J716" s="17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17" t="str">
        <f t="shared" si="89"/>
        <v/>
      </c>
      <c r="L716" s="18" t="str">
        <f t="shared" si="90"/>
        <v/>
      </c>
      <c r="M716" s="18" t="str">
        <f t="shared" si="91"/>
        <v/>
      </c>
      <c r="N716" s="18" t="str">
        <f t="shared" si="92"/>
        <v/>
      </c>
      <c r="O716" s="18" t="str">
        <f t="shared" si="93"/>
        <v/>
      </c>
      <c r="P716" s="17" t="str">
        <f t="shared" si="94"/>
        <v/>
      </c>
      <c r="Q716" s="17" t="str">
        <f t="shared" si="95"/>
        <v/>
      </c>
      <c r="R716" s="19" t="str">
        <f ca="1">IF(A716="","",IF(COUNTIF(_TradeIds,A716)=0,"违规：交易编号不存在",IF(OR(B716="",B716&lt;1,B716&gt;5,B716&lt;&gt;INT(B716)),"违规：加仓序号须为1到5的整数",IF(COUNTIFS($A$2:$A$1001,A716,$B$2:$B$1001,B716)&gt;1,"违规：同一交易的加仓序号重复",IF(OR(D716="",E716="",F716=""),"计划不完整：请填写加仓价、新止损价和风险预算",IF(OR(D716&lt;=0,E716&lt;=0,F716&lt;=0,D716&lt;=E716),"违规：加仓价必须高于新止损价，金额须大于0",IF(AND(B716&gt;1,COUNTIFS($A$2:$A$1001,A716,$B$2:$B$1001,B716-1,$G$2:$G$1001,"&gt;0")=0),"违规：须先完成上一次加仓",IF(AND(B716&gt;1,E716&lt;SUMIFS($E$2:$E$1001,$A$2:$A$1001,A716,$B$2:$B$1001,B716-1)),"违规：新止损价不得低于上一次",IF(AND(B716&gt;1,F716&gt;SUMIFS($F$2:$F$1001,$A$2:$A$1001,A716,$B$2:$B$1001,B716-1)),"违规：风险预算须逐次不增加",IF(OR(_LockStatus="已锁仓",_LockStatus="解锁信息不完整"),"违规：锁仓期间禁止加仓",IF(G716="","计划可执行：建议股数见N列",IF(OR(G716&lt;=0,G716&lt;&gt;INT(G716),MOD(G716,100)&lt;&gt;0),"违规：实际股数须为100股整数倍",IF(G716&gt;N716,"违规：实际股数超过风险或金字塔上限",IF(AND(B716&gt;1,G716&gt;SUMIFS($G$2:$G$1001,$A$2:$A$1001,A716,$B$2:$B$1001,B716-1)),"违规：加仓股数须逐次不增加",IF(Q716&gt;F716,"违规：止损风险超过本次预算","通过")))))))))))))))</f>
        <v/>
      </c>
    </row>
    <row r="717" ht="17" spans="1:18">
      <c r="A717" s="13"/>
      <c r="B717" s="14"/>
      <c r="C717" s="15"/>
      <c r="D717" s="16"/>
      <c r="E717" s="16"/>
      <c r="F717" s="16"/>
      <c r="G717" s="14"/>
      <c r="H717" s="17" t="str">
        <f t="shared" si="88"/>
        <v/>
      </c>
      <c r="I717" s="18" t="str">
        <f>IF(OR(A717="",B717=""),"",IFERROR(LOOKUP(2,1/(单次交易!$A$2:$A$201=A717),单次交易!$H$2:$H$201),0)+SUMIFS($G$2:$G$1001,$A$2:$A$1001,A717,$B$2:$B$1001,"&lt;"&amp;B717))</f>
        <v/>
      </c>
      <c r="J717" s="17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17" t="str">
        <f t="shared" si="89"/>
        <v/>
      </c>
      <c r="L717" s="18" t="str">
        <f t="shared" si="90"/>
        <v/>
      </c>
      <c r="M717" s="18" t="str">
        <f t="shared" si="91"/>
        <v/>
      </c>
      <c r="N717" s="18" t="str">
        <f t="shared" si="92"/>
        <v/>
      </c>
      <c r="O717" s="18" t="str">
        <f t="shared" si="93"/>
        <v/>
      </c>
      <c r="P717" s="17" t="str">
        <f t="shared" si="94"/>
        <v/>
      </c>
      <c r="Q717" s="17" t="str">
        <f t="shared" si="95"/>
        <v/>
      </c>
      <c r="R717" s="19" t="str">
        <f ca="1">IF(A717="","",IF(COUNTIF(_TradeIds,A717)=0,"违规：交易编号不存在",IF(OR(B717="",B717&lt;1,B717&gt;5,B717&lt;&gt;INT(B717)),"违规：加仓序号须为1到5的整数",IF(COUNTIFS($A$2:$A$1001,A717,$B$2:$B$1001,B717)&gt;1,"违规：同一交易的加仓序号重复",IF(OR(D717="",E717="",F717=""),"计划不完整：请填写加仓价、新止损价和风险预算",IF(OR(D717&lt;=0,E717&lt;=0,F717&lt;=0,D717&lt;=E717),"违规：加仓价必须高于新止损价，金额须大于0",IF(AND(B717&gt;1,COUNTIFS($A$2:$A$1001,A717,$B$2:$B$1001,B717-1,$G$2:$G$1001,"&gt;0")=0),"违规：须先完成上一次加仓",IF(AND(B717&gt;1,E717&lt;SUMIFS($E$2:$E$1001,$A$2:$A$1001,A717,$B$2:$B$1001,B717-1)),"违规：新止损价不得低于上一次",IF(AND(B717&gt;1,F717&gt;SUMIFS($F$2:$F$1001,$A$2:$A$1001,A717,$B$2:$B$1001,B717-1)),"违规：风险预算须逐次不增加",IF(OR(_LockStatus="已锁仓",_LockStatus="解锁信息不完整"),"违规：锁仓期间禁止加仓",IF(G717="","计划可执行：建议股数见N列",IF(OR(G717&lt;=0,G717&lt;&gt;INT(G717),MOD(G717,100)&lt;&gt;0),"违规：实际股数须为100股整数倍",IF(G717&gt;N717,"违规：实际股数超过风险或金字塔上限",IF(AND(B717&gt;1,G717&gt;SUMIFS($G$2:$G$1001,$A$2:$A$1001,A717,$B$2:$B$1001,B717-1)),"违规：加仓股数须逐次不增加",IF(Q717&gt;F717,"违规：止损风险超过本次预算","通过")))))))))))))))</f>
        <v/>
      </c>
    </row>
    <row r="718" ht="17" spans="1:18">
      <c r="A718" s="13"/>
      <c r="B718" s="14"/>
      <c r="C718" s="15"/>
      <c r="D718" s="16"/>
      <c r="E718" s="16"/>
      <c r="F718" s="16"/>
      <c r="G718" s="14"/>
      <c r="H718" s="17" t="str">
        <f t="shared" si="88"/>
        <v/>
      </c>
      <c r="I718" s="18" t="str">
        <f>IF(OR(A718="",B718=""),"",IFERROR(LOOKUP(2,1/(单次交易!$A$2:$A$201=A718),单次交易!$H$2:$H$201),0)+SUMIFS($G$2:$G$1001,$A$2:$A$1001,A718,$B$2:$B$1001,"&lt;"&amp;B718))</f>
        <v/>
      </c>
      <c r="J718" s="17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17" t="str">
        <f t="shared" si="89"/>
        <v/>
      </c>
      <c r="L718" s="18" t="str">
        <f t="shared" si="90"/>
        <v/>
      </c>
      <c r="M718" s="18" t="str">
        <f t="shared" si="91"/>
        <v/>
      </c>
      <c r="N718" s="18" t="str">
        <f t="shared" si="92"/>
        <v/>
      </c>
      <c r="O718" s="18" t="str">
        <f t="shared" si="93"/>
        <v/>
      </c>
      <c r="P718" s="17" t="str">
        <f t="shared" si="94"/>
        <v/>
      </c>
      <c r="Q718" s="17" t="str">
        <f t="shared" si="95"/>
        <v/>
      </c>
      <c r="R718" s="19" t="str">
        <f ca="1">IF(A718="","",IF(COUNTIF(_TradeIds,A718)=0,"违规：交易编号不存在",IF(OR(B718="",B718&lt;1,B718&gt;5,B718&lt;&gt;INT(B718)),"违规：加仓序号须为1到5的整数",IF(COUNTIFS($A$2:$A$1001,A718,$B$2:$B$1001,B718)&gt;1,"违规：同一交易的加仓序号重复",IF(OR(D718="",E718="",F718=""),"计划不完整：请填写加仓价、新止损价和风险预算",IF(OR(D718&lt;=0,E718&lt;=0,F718&lt;=0,D718&lt;=E718),"违规：加仓价必须高于新止损价，金额须大于0",IF(AND(B718&gt;1,COUNTIFS($A$2:$A$1001,A718,$B$2:$B$1001,B718-1,$G$2:$G$1001,"&gt;0")=0),"违规：须先完成上一次加仓",IF(AND(B718&gt;1,E718&lt;SUMIFS($E$2:$E$1001,$A$2:$A$1001,A718,$B$2:$B$1001,B718-1)),"违规：新止损价不得低于上一次",IF(AND(B718&gt;1,F718&gt;SUMIFS($F$2:$F$1001,$A$2:$A$1001,A718,$B$2:$B$1001,B718-1)),"违规：风险预算须逐次不增加",IF(OR(_LockStatus="已锁仓",_LockStatus="解锁信息不完整"),"违规：锁仓期间禁止加仓",IF(G718="","计划可执行：建议股数见N列",IF(OR(G718&lt;=0,G718&lt;&gt;INT(G718),MOD(G718,100)&lt;&gt;0),"违规：实际股数须为100股整数倍",IF(G718&gt;N718,"违规：实际股数超过风险或金字塔上限",IF(AND(B718&gt;1,G718&gt;SUMIFS($G$2:$G$1001,$A$2:$A$1001,A718,$B$2:$B$1001,B718-1)),"违规：加仓股数须逐次不增加",IF(Q718&gt;F718,"违规：止损风险超过本次预算","通过")))))))))))))))</f>
        <v/>
      </c>
    </row>
    <row r="719" ht="17" spans="1:18">
      <c r="A719" s="13"/>
      <c r="B719" s="14"/>
      <c r="C719" s="15"/>
      <c r="D719" s="16"/>
      <c r="E719" s="16"/>
      <c r="F719" s="16"/>
      <c r="G719" s="14"/>
      <c r="H719" s="17" t="str">
        <f t="shared" si="88"/>
        <v/>
      </c>
      <c r="I719" s="18" t="str">
        <f>IF(OR(A719="",B719=""),"",IFERROR(LOOKUP(2,1/(单次交易!$A$2:$A$201=A719),单次交易!$H$2:$H$201),0)+SUMIFS($G$2:$G$1001,$A$2:$A$1001,A719,$B$2:$B$1001,"&lt;"&amp;B719))</f>
        <v/>
      </c>
      <c r="J719" s="17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17" t="str">
        <f t="shared" si="89"/>
        <v/>
      </c>
      <c r="L719" s="18" t="str">
        <f t="shared" si="90"/>
        <v/>
      </c>
      <c r="M719" s="18" t="str">
        <f t="shared" si="91"/>
        <v/>
      </c>
      <c r="N719" s="18" t="str">
        <f t="shared" si="92"/>
        <v/>
      </c>
      <c r="O719" s="18" t="str">
        <f t="shared" si="93"/>
        <v/>
      </c>
      <c r="P719" s="17" t="str">
        <f t="shared" si="94"/>
        <v/>
      </c>
      <c r="Q719" s="17" t="str">
        <f t="shared" si="95"/>
        <v/>
      </c>
      <c r="R719" s="19" t="str">
        <f ca="1">IF(A719="","",IF(COUNTIF(_TradeIds,A719)=0,"违规：交易编号不存在",IF(OR(B719="",B719&lt;1,B719&gt;5,B719&lt;&gt;INT(B719)),"违规：加仓序号须为1到5的整数",IF(COUNTIFS($A$2:$A$1001,A719,$B$2:$B$1001,B719)&gt;1,"违规：同一交易的加仓序号重复",IF(OR(D719="",E719="",F719=""),"计划不完整：请填写加仓价、新止损价和风险预算",IF(OR(D719&lt;=0,E719&lt;=0,F719&lt;=0,D719&lt;=E719),"违规：加仓价必须高于新止损价，金额须大于0",IF(AND(B719&gt;1,COUNTIFS($A$2:$A$1001,A719,$B$2:$B$1001,B719-1,$G$2:$G$1001,"&gt;0")=0),"违规：须先完成上一次加仓",IF(AND(B719&gt;1,E719&lt;SUMIFS($E$2:$E$1001,$A$2:$A$1001,A719,$B$2:$B$1001,B719-1)),"违规：新止损价不得低于上一次",IF(AND(B719&gt;1,F719&gt;SUMIFS($F$2:$F$1001,$A$2:$A$1001,A719,$B$2:$B$1001,B719-1)),"违规：风险预算须逐次不增加",IF(OR(_LockStatus="已锁仓",_LockStatus="解锁信息不完整"),"违规：锁仓期间禁止加仓",IF(G719="","计划可执行：建议股数见N列",IF(OR(G719&lt;=0,G719&lt;&gt;INT(G719),MOD(G719,100)&lt;&gt;0),"违规：实际股数须为100股整数倍",IF(G719&gt;N719,"违规：实际股数超过风险或金字塔上限",IF(AND(B719&gt;1,G719&gt;SUMIFS($G$2:$G$1001,$A$2:$A$1001,A719,$B$2:$B$1001,B719-1)),"违规：加仓股数须逐次不增加",IF(Q719&gt;F719,"违规：止损风险超过本次预算","通过")))))))))))))))</f>
        <v/>
      </c>
    </row>
    <row r="720" ht="17" spans="1:18">
      <c r="A720" s="13"/>
      <c r="B720" s="14"/>
      <c r="C720" s="15"/>
      <c r="D720" s="16"/>
      <c r="E720" s="16"/>
      <c r="F720" s="16"/>
      <c r="G720" s="14"/>
      <c r="H720" s="17" t="str">
        <f t="shared" si="88"/>
        <v/>
      </c>
      <c r="I720" s="18" t="str">
        <f>IF(OR(A720="",B720=""),"",IFERROR(LOOKUP(2,1/(单次交易!$A$2:$A$201=A720),单次交易!$H$2:$H$201),0)+SUMIFS($G$2:$G$1001,$A$2:$A$1001,A720,$B$2:$B$1001,"&lt;"&amp;B720))</f>
        <v/>
      </c>
      <c r="J720" s="17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17" t="str">
        <f t="shared" si="89"/>
        <v/>
      </c>
      <c r="L720" s="18" t="str">
        <f t="shared" si="90"/>
        <v/>
      </c>
      <c r="M720" s="18" t="str">
        <f t="shared" si="91"/>
        <v/>
      </c>
      <c r="N720" s="18" t="str">
        <f t="shared" si="92"/>
        <v/>
      </c>
      <c r="O720" s="18" t="str">
        <f t="shared" si="93"/>
        <v/>
      </c>
      <c r="P720" s="17" t="str">
        <f t="shared" si="94"/>
        <v/>
      </c>
      <c r="Q720" s="17" t="str">
        <f t="shared" si="95"/>
        <v/>
      </c>
      <c r="R720" s="19" t="str">
        <f ca="1">IF(A720="","",IF(COUNTIF(_TradeIds,A720)=0,"违规：交易编号不存在",IF(OR(B720="",B720&lt;1,B720&gt;5,B720&lt;&gt;INT(B720)),"违规：加仓序号须为1到5的整数",IF(COUNTIFS($A$2:$A$1001,A720,$B$2:$B$1001,B720)&gt;1,"违规：同一交易的加仓序号重复",IF(OR(D720="",E720="",F720=""),"计划不完整：请填写加仓价、新止损价和风险预算",IF(OR(D720&lt;=0,E720&lt;=0,F720&lt;=0,D720&lt;=E720),"违规：加仓价必须高于新止损价，金额须大于0",IF(AND(B720&gt;1,COUNTIFS($A$2:$A$1001,A720,$B$2:$B$1001,B720-1,$G$2:$G$1001,"&gt;0")=0),"违规：须先完成上一次加仓",IF(AND(B720&gt;1,E720&lt;SUMIFS($E$2:$E$1001,$A$2:$A$1001,A720,$B$2:$B$1001,B720-1)),"违规：新止损价不得低于上一次",IF(AND(B720&gt;1,F720&gt;SUMIFS($F$2:$F$1001,$A$2:$A$1001,A720,$B$2:$B$1001,B720-1)),"违规：风险预算须逐次不增加",IF(OR(_LockStatus="已锁仓",_LockStatus="解锁信息不完整"),"违规：锁仓期间禁止加仓",IF(G720="","计划可执行：建议股数见N列",IF(OR(G720&lt;=0,G720&lt;&gt;INT(G720),MOD(G720,100)&lt;&gt;0),"违规：实际股数须为100股整数倍",IF(G720&gt;N720,"违规：实际股数超过风险或金字塔上限",IF(AND(B720&gt;1,G720&gt;SUMIFS($G$2:$G$1001,$A$2:$A$1001,A720,$B$2:$B$1001,B720-1)),"违规：加仓股数须逐次不增加",IF(Q720&gt;F720,"违规：止损风险超过本次预算","通过")))))))))))))))</f>
        <v/>
      </c>
    </row>
    <row r="721" ht="17" spans="1:18">
      <c r="A721" s="13"/>
      <c r="B721" s="14"/>
      <c r="C721" s="15"/>
      <c r="D721" s="16"/>
      <c r="E721" s="16"/>
      <c r="F721" s="16"/>
      <c r="G721" s="14"/>
      <c r="H721" s="17" t="str">
        <f t="shared" si="88"/>
        <v/>
      </c>
      <c r="I721" s="18" t="str">
        <f>IF(OR(A721="",B721=""),"",IFERROR(LOOKUP(2,1/(单次交易!$A$2:$A$201=A721),单次交易!$H$2:$H$201),0)+SUMIFS($G$2:$G$1001,$A$2:$A$1001,A721,$B$2:$B$1001,"&lt;"&amp;B721))</f>
        <v/>
      </c>
      <c r="J721" s="17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17" t="str">
        <f t="shared" si="89"/>
        <v/>
      </c>
      <c r="L721" s="18" t="str">
        <f t="shared" si="90"/>
        <v/>
      </c>
      <c r="M721" s="18" t="str">
        <f t="shared" si="91"/>
        <v/>
      </c>
      <c r="N721" s="18" t="str">
        <f t="shared" si="92"/>
        <v/>
      </c>
      <c r="O721" s="18" t="str">
        <f t="shared" si="93"/>
        <v/>
      </c>
      <c r="P721" s="17" t="str">
        <f t="shared" si="94"/>
        <v/>
      </c>
      <c r="Q721" s="17" t="str">
        <f t="shared" si="95"/>
        <v/>
      </c>
      <c r="R721" s="19" t="str">
        <f ca="1">IF(A721="","",IF(COUNTIF(_TradeIds,A721)=0,"违规：交易编号不存在",IF(OR(B721="",B721&lt;1,B721&gt;5,B721&lt;&gt;INT(B721)),"违规：加仓序号须为1到5的整数",IF(COUNTIFS($A$2:$A$1001,A721,$B$2:$B$1001,B721)&gt;1,"违规：同一交易的加仓序号重复",IF(OR(D721="",E721="",F721=""),"计划不完整：请填写加仓价、新止损价和风险预算",IF(OR(D721&lt;=0,E721&lt;=0,F721&lt;=0,D721&lt;=E721),"违规：加仓价必须高于新止损价，金额须大于0",IF(AND(B721&gt;1,COUNTIFS($A$2:$A$1001,A721,$B$2:$B$1001,B721-1,$G$2:$G$1001,"&gt;0")=0),"违规：须先完成上一次加仓",IF(AND(B721&gt;1,E721&lt;SUMIFS($E$2:$E$1001,$A$2:$A$1001,A721,$B$2:$B$1001,B721-1)),"违规：新止损价不得低于上一次",IF(AND(B721&gt;1,F721&gt;SUMIFS($F$2:$F$1001,$A$2:$A$1001,A721,$B$2:$B$1001,B721-1)),"违规：风险预算须逐次不增加",IF(OR(_LockStatus="已锁仓",_LockStatus="解锁信息不完整"),"违规：锁仓期间禁止加仓",IF(G721="","计划可执行：建议股数见N列",IF(OR(G721&lt;=0,G721&lt;&gt;INT(G721),MOD(G721,100)&lt;&gt;0),"违规：实际股数须为100股整数倍",IF(G721&gt;N721,"违规：实际股数超过风险或金字塔上限",IF(AND(B721&gt;1,G721&gt;SUMIFS($G$2:$G$1001,$A$2:$A$1001,A721,$B$2:$B$1001,B721-1)),"违规：加仓股数须逐次不增加",IF(Q721&gt;F721,"违规：止损风险超过本次预算","通过")))))))))))))))</f>
        <v/>
      </c>
    </row>
    <row r="722" ht="17" spans="1:18">
      <c r="A722" s="13"/>
      <c r="B722" s="14"/>
      <c r="C722" s="15"/>
      <c r="D722" s="16"/>
      <c r="E722" s="16"/>
      <c r="F722" s="16"/>
      <c r="G722" s="14"/>
      <c r="H722" s="17" t="str">
        <f t="shared" si="88"/>
        <v/>
      </c>
      <c r="I722" s="18" t="str">
        <f>IF(OR(A722="",B722=""),"",IFERROR(LOOKUP(2,1/(单次交易!$A$2:$A$201=A722),单次交易!$H$2:$H$201),0)+SUMIFS($G$2:$G$1001,$A$2:$A$1001,A722,$B$2:$B$1001,"&lt;"&amp;B722))</f>
        <v/>
      </c>
      <c r="J722" s="17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17" t="str">
        <f t="shared" si="89"/>
        <v/>
      </c>
      <c r="L722" s="18" t="str">
        <f t="shared" si="90"/>
        <v/>
      </c>
      <c r="M722" s="18" t="str">
        <f t="shared" si="91"/>
        <v/>
      </c>
      <c r="N722" s="18" t="str">
        <f t="shared" si="92"/>
        <v/>
      </c>
      <c r="O722" s="18" t="str">
        <f t="shared" si="93"/>
        <v/>
      </c>
      <c r="P722" s="17" t="str">
        <f t="shared" si="94"/>
        <v/>
      </c>
      <c r="Q722" s="17" t="str">
        <f t="shared" si="95"/>
        <v/>
      </c>
      <c r="R722" s="19" t="str">
        <f ca="1">IF(A722="","",IF(COUNTIF(_TradeIds,A722)=0,"违规：交易编号不存在",IF(OR(B722="",B722&lt;1,B722&gt;5,B722&lt;&gt;INT(B722)),"违规：加仓序号须为1到5的整数",IF(COUNTIFS($A$2:$A$1001,A722,$B$2:$B$1001,B722)&gt;1,"违规：同一交易的加仓序号重复",IF(OR(D722="",E722="",F722=""),"计划不完整：请填写加仓价、新止损价和风险预算",IF(OR(D722&lt;=0,E722&lt;=0,F722&lt;=0,D722&lt;=E722),"违规：加仓价必须高于新止损价，金额须大于0",IF(AND(B722&gt;1,COUNTIFS($A$2:$A$1001,A722,$B$2:$B$1001,B722-1,$G$2:$G$1001,"&gt;0")=0),"违规：须先完成上一次加仓",IF(AND(B722&gt;1,E722&lt;SUMIFS($E$2:$E$1001,$A$2:$A$1001,A722,$B$2:$B$1001,B722-1)),"违规：新止损价不得低于上一次",IF(AND(B722&gt;1,F722&gt;SUMIFS($F$2:$F$1001,$A$2:$A$1001,A722,$B$2:$B$1001,B722-1)),"违规：风险预算须逐次不增加",IF(OR(_LockStatus="已锁仓",_LockStatus="解锁信息不完整"),"违规：锁仓期间禁止加仓",IF(G722="","计划可执行：建议股数见N列",IF(OR(G722&lt;=0,G722&lt;&gt;INT(G722),MOD(G722,100)&lt;&gt;0),"违规：实际股数须为100股整数倍",IF(G722&gt;N722,"违规：实际股数超过风险或金字塔上限",IF(AND(B722&gt;1,G722&gt;SUMIFS($G$2:$G$1001,$A$2:$A$1001,A722,$B$2:$B$1001,B722-1)),"违规：加仓股数须逐次不增加",IF(Q722&gt;F722,"违规：止损风险超过本次预算","通过")))))))))))))))</f>
        <v/>
      </c>
    </row>
    <row r="723" ht="17" spans="1:18">
      <c r="A723" s="13"/>
      <c r="B723" s="14"/>
      <c r="C723" s="15"/>
      <c r="D723" s="16"/>
      <c r="E723" s="16"/>
      <c r="F723" s="16"/>
      <c r="G723" s="14"/>
      <c r="H723" s="17" t="str">
        <f t="shared" si="88"/>
        <v/>
      </c>
      <c r="I723" s="18" t="str">
        <f>IF(OR(A723="",B723=""),"",IFERROR(LOOKUP(2,1/(单次交易!$A$2:$A$201=A723),单次交易!$H$2:$H$201),0)+SUMIFS($G$2:$G$1001,$A$2:$A$1001,A723,$B$2:$B$1001,"&lt;"&amp;B723))</f>
        <v/>
      </c>
      <c r="J723" s="17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17" t="str">
        <f t="shared" si="89"/>
        <v/>
      </c>
      <c r="L723" s="18" t="str">
        <f t="shared" si="90"/>
        <v/>
      </c>
      <c r="M723" s="18" t="str">
        <f t="shared" si="91"/>
        <v/>
      </c>
      <c r="N723" s="18" t="str">
        <f t="shared" si="92"/>
        <v/>
      </c>
      <c r="O723" s="18" t="str">
        <f t="shared" si="93"/>
        <v/>
      </c>
      <c r="P723" s="17" t="str">
        <f t="shared" si="94"/>
        <v/>
      </c>
      <c r="Q723" s="17" t="str">
        <f t="shared" si="95"/>
        <v/>
      </c>
      <c r="R723" s="19" t="str">
        <f ca="1">IF(A723="","",IF(COUNTIF(_TradeIds,A723)=0,"违规：交易编号不存在",IF(OR(B723="",B723&lt;1,B723&gt;5,B723&lt;&gt;INT(B723)),"违规：加仓序号须为1到5的整数",IF(COUNTIFS($A$2:$A$1001,A723,$B$2:$B$1001,B723)&gt;1,"违规：同一交易的加仓序号重复",IF(OR(D723="",E723="",F723=""),"计划不完整：请填写加仓价、新止损价和风险预算",IF(OR(D723&lt;=0,E723&lt;=0,F723&lt;=0,D723&lt;=E723),"违规：加仓价必须高于新止损价，金额须大于0",IF(AND(B723&gt;1,COUNTIFS($A$2:$A$1001,A723,$B$2:$B$1001,B723-1,$G$2:$G$1001,"&gt;0")=0),"违规：须先完成上一次加仓",IF(AND(B723&gt;1,E723&lt;SUMIFS($E$2:$E$1001,$A$2:$A$1001,A723,$B$2:$B$1001,B723-1)),"违规：新止损价不得低于上一次",IF(AND(B723&gt;1,F723&gt;SUMIFS($F$2:$F$1001,$A$2:$A$1001,A723,$B$2:$B$1001,B723-1)),"违规：风险预算须逐次不增加",IF(OR(_LockStatus="已锁仓",_LockStatus="解锁信息不完整"),"违规：锁仓期间禁止加仓",IF(G723="","计划可执行：建议股数见N列",IF(OR(G723&lt;=0,G723&lt;&gt;INT(G723),MOD(G723,100)&lt;&gt;0),"违规：实际股数须为100股整数倍",IF(G723&gt;N723,"违规：实际股数超过风险或金字塔上限",IF(AND(B723&gt;1,G723&gt;SUMIFS($G$2:$G$1001,$A$2:$A$1001,A723,$B$2:$B$1001,B723-1)),"违规：加仓股数须逐次不增加",IF(Q723&gt;F723,"违规：止损风险超过本次预算","通过")))))))))))))))</f>
        <v/>
      </c>
    </row>
    <row r="724" ht="17" spans="1:18">
      <c r="A724" s="13"/>
      <c r="B724" s="14"/>
      <c r="C724" s="15"/>
      <c r="D724" s="16"/>
      <c r="E724" s="16"/>
      <c r="F724" s="16"/>
      <c r="G724" s="14"/>
      <c r="H724" s="17" t="str">
        <f t="shared" si="88"/>
        <v/>
      </c>
      <c r="I724" s="18" t="str">
        <f>IF(OR(A724="",B724=""),"",IFERROR(LOOKUP(2,1/(单次交易!$A$2:$A$201=A724),单次交易!$H$2:$H$201),0)+SUMIFS($G$2:$G$1001,$A$2:$A$1001,A724,$B$2:$B$1001,"&lt;"&amp;B724))</f>
        <v/>
      </c>
      <c r="J724" s="17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17" t="str">
        <f t="shared" si="89"/>
        <v/>
      </c>
      <c r="L724" s="18" t="str">
        <f t="shared" si="90"/>
        <v/>
      </c>
      <c r="M724" s="18" t="str">
        <f t="shared" si="91"/>
        <v/>
      </c>
      <c r="N724" s="18" t="str">
        <f t="shared" si="92"/>
        <v/>
      </c>
      <c r="O724" s="18" t="str">
        <f t="shared" si="93"/>
        <v/>
      </c>
      <c r="P724" s="17" t="str">
        <f t="shared" si="94"/>
        <v/>
      </c>
      <c r="Q724" s="17" t="str">
        <f t="shared" si="95"/>
        <v/>
      </c>
      <c r="R724" s="19" t="str">
        <f ca="1">IF(A724="","",IF(COUNTIF(_TradeIds,A724)=0,"违规：交易编号不存在",IF(OR(B724="",B724&lt;1,B724&gt;5,B724&lt;&gt;INT(B724)),"违规：加仓序号须为1到5的整数",IF(COUNTIFS($A$2:$A$1001,A724,$B$2:$B$1001,B724)&gt;1,"违规：同一交易的加仓序号重复",IF(OR(D724="",E724="",F724=""),"计划不完整：请填写加仓价、新止损价和风险预算",IF(OR(D724&lt;=0,E724&lt;=0,F724&lt;=0,D724&lt;=E724),"违规：加仓价必须高于新止损价，金额须大于0",IF(AND(B724&gt;1,COUNTIFS($A$2:$A$1001,A724,$B$2:$B$1001,B724-1,$G$2:$G$1001,"&gt;0")=0),"违规：须先完成上一次加仓",IF(AND(B724&gt;1,E724&lt;SUMIFS($E$2:$E$1001,$A$2:$A$1001,A724,$B$2:$B$1001,B724-1)),"违规：新止损价不得低于上一次",IF(AND(B724&gt;1,F724&gt;SUMIFS($F$2:$F$1001,$A$2:$A$1001,A724,$B$2:$B$1001,B724-1)),"违规：风险预算须逐次不增加",IF(OR(_LockStatus="已锁仓",_LockStatus="解锁信息不完整"),"违规：锁仓期间禁止加仓",IF(G724="","计划可执行：建议股数见N列",IF(OR(G724&lt;=0,G724&lt;&gt;INT(G724),MOD(G724,100)&lt;&gt;0),"违规：实际股数须为100股整数倍",IF(G724&gt;N724,"违规：实际股数超过风险或金字塔上限",IF(AND(B724&gt;1,G724&gt;SUMIFS($G$2:$G$1001,$A$2:$A$1001,A724,$B$2:$B$1001,B724-1)),"违规：加仓股数须逐次不增加",IF(Q724&gt;F724,"违规：止损风险超过本次预算","通过")))))))))))))))</f>
        <v/>
      </c>
    </row>
    <row r="725" ht="17" spans="1:18">
      <c r="A725" s="13"/>
      <c r="B725" s="14"/>
      <c r="C725" s="15"/>
      <c r="D725" s="16"/>
      <c r="E725" s="16"/>
      <c r="F725" s="16"/>
      <c r="G725" s="14"/>
      <c r="H725" s="17" t="str">
        <f t="shared" si="88"/>
        <v/>
      </c>
      <c r="I725" s="18" t="str">
        <f>IF(OR(A725="",B725=""),"",IFERROR(LOOKUP(2,1/(单次交易!$A$2:$A$201=A725),单次交易!$H$2:$H$201),0)+SUMIFS($G$2:$G$1001,$A$2:$A$1001,A725,$B$2:$B$1001,"&lt;"&amp;B725))</f>
        <v/>
      </c>
      <c r="J725" s="17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17" t="str">
        <f t="shared" si="89"/>
        <v/>
      </c>
      <c r="L725" s="18" t="str">
        <f t="shared" si="90"/>
        <v/>
      </c>
      <c r="M725" s="18" t="str">
        <f t="shared" si="91"/>
        <v/>
      </c>
      <c r="N725" s="18" t="str">
        <f t="shared" si="92"/>
        <v/>
      </c>
      <c r="O725" s="18" t="str">
        <f t="shared" si="93"/>
        <v/>
      </c>
      <c r="P725" s="17" t="str">
        <f t="shared" si="94"/>
        <v/>
      </c>
      <c r="Q725" s="17" t="str">
        <f t="shared" si="95"/>
        <v/>
      </c>
      <c r="R725" s="19" t="str">
        <f ca="1">IF(A725="","",IF(COUNTIF(_TradeIds,A725)=0,"违规：交易编号不存在",IF(OR(B725="",B725&lt;1,B725&gt;5,B725&lt;&gt;INT(B725)),"违规：加仓序号须为1到5的整数",IF(COUNTIFS($A$2:$A$1001,A725,$B$2:$B$1001,B725)&gt;1,"违规：同一交易的加仓序号重复",IF(OR(D725="",E725="",F725=""),"计划不完整：请填写加仓价、新止损价和风险预算",IF(OR(D725&lt;=0,E725&lt;=0,F725&lt;=0,D725&lt;=E725),"违规：加仓价必须高于新止损价，金额须大于0",IF(AND(B725&gt;1,COUNTIFS($A$2:$A$1001,A725,$B$2:$B$1001,B725-1,$G$2:$G$1001,"&gt;0")=0),"违规：须先完成上一次加仓",IF(AND(B725&gt;1,E725&lt;SUMIFS($E$2:$E$1001,$A$2:$A$1001,A725,$B$2:$B$1001,B725-1)),"违规：新止损价不得低于上一次",IF(AND(B725&gt;1,F725&gt;SUMIFS($F$2:$F$1001,$A$2:$A$1001,A725,$B$2:$B$1001,B725-1)),"违规：风险预算须逐次不增加",IF(OR(_LockStatus="已锁仓",_LockStatus="解锁信息不完整"),"违规：锁仓期间禁止加仓",IF(G725="","计划可执行：建议股数见N列",IF(OR(G725&lt;=0,G725&lt;&gt;INT(G725),MOD(G725,100)&lt;&gt;0),"违规：实际股数须为100股整数倍",IF(G725&gt;N725,"违规：实际股数超过风险或金字塔上限",IF(AND(B725&gt;1,G725&gt;SUMIFS($G$2:$G$1001,$A$2:$A$1001,A725,$B$2:$B$1001,B725-1)),"违规：加仓股数须逐次不增加",IF(Q725&gt;F725,"违规：止损风险超过本次预算","通过")))))))))))))))</f>
        <v/>
      </c>
    </row>
    <row r="726" ht="17" spans="1:18">
      <c r="A726" s="13"/>
      <c r="B726" s="14"/>
      <c r="C726" s="15"/>
      <c r="D726" s="16"/>
      <c r="E726" s="16"/>
      <c r="F726" s="16"/>
      <c r="G726" s="14"/>
      <c r="H726" s="17" t="str">
        <f t="shared" si="88"/>
        <v/>
      </c>
      <c r="I726" s="18" t="str">
        <f>IF(OR(A726="",B726=""),"",IFERROR(LOOKUP(2,1/(单次交易!$A$2:$A$201=A726),单次交易!$H$2:$H$201),0)+SUMIFS($G$2:$G$1001,$A$2:$A$1001,A726,$B$2:$B$1001,"&lt;"&amp;B726))</f>
        <v/>
      </c>
      <c r="J726" s="17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17" t="str">
        <f t="shared" si="89"/>
        <v/>
      </c>
      <c r="L726" s="18" t="str">
        <f t="shared" si="90"/>
        <v/>
      </c>
      <c r="M726" s="18" t="str">
        <f t="shared" si="91"/>
        <v/>
      </c>
      <c r="N726" s="18" t="str">
        <f t="shared" si="92"/>
        <v/>
      </c>
      <c r="O726" s="18" t="str">
        <f t="shared" si="93"/>
        <v/>
      </c>
      <c r="P726" s="17" t="str">
        <f t="shared" si="94"/>
        <v/>
      </c>
      <c r="Q726" s="17" t="str">
        <f t="shared" si="95"/>
        <v/>
      </c>
      <c r="R726" s="19" t="str">
        <f ca="1">IF(A726="","",IF(COUNTIF(_TradeIds,A726)=0,"违规：交易编号不存在",IF(OR(B726="",B726&lt;1,B726&gt;5,B726&lt;&gt;INT(B726)),"违规：加仓序号须为1到5的整数",IF(COUNTIFS($A$2:$A$1001,A726,$B$2:$B$1001,B726)&gt;1,"违规：同一交易的加仓序号重复",IF(OR(D726="",E726="",F726=""),"计划不完整：请填写加仓价、新止损价和风险预算",IF(OR(D726&lt;=0,E726&lt;=0,F726&lt;=0,D726&lt;=E726),"违规：加仓价必须高于新止损价，金额须大于0",IF(AND(B726&gt;1,COUNTIFS($A$2:$A$1001,A726,$B$2:$B$1001,B726-1,$G$2:$G$1001,"&gt;0")=0),"违规：须先完成上一次加仓",IF(AND(B726&gt;1,E726&lt;SUMIFS($E$2:$E$1001,$A$2:$A$1001,A726,$B$2:$B$1001,B726-1)),"违规：新止损价不得低于上一次",IF(AND(B726&gt;1,F726&gt;SUMIFS($F$2:$F$1001,$A$2:$A$1001,A726,$B$2:$B$1001,B726-1)),"违规：风险预算须逐次不增加",IF(OR(_LockStatus="已锁仓",_LockStatus="解锁信息不完整"),"违规：锁仓期间禁止加仓",IF(G726="","计划可执行：建议股数见N列",IF(OR(G726&lt;=0,G726&lt;&gt;INT(G726),MOD(G726,100)&lt;&gt;0),"违规：实际股数须为100股整数倍",IF(G726&gt;N726,"违规：实际股数超过风险或金字塔上限",IF(AND(B726&gt;1,G726&gt;SUMIFS($G$2:$G$1001,$A$2:$A$1001,A726,$B$2:$B$1001,B726-1)),"违规：加仓股数须逐次不增加",IF(Q726&gt;F726,"违规：止损风险超过本次预算","通过")))))))))))))))</f>
        <v/>
      </c>
    </row>
    <row r="727" ht="17" spans="1:18">
      <c r="A727" s="13"/>
      <c r="B727" s="14"/>
      <c r="C727" s="15"/>
      <c r="D727" s="16"/>
      <c r="E727" s="16"/>
      <c r="F727" s="16"/>
      <c r="G727" s="14"/>
      <c r="H727" s="17" t="str">
        <f t="shared" si="88"/>
        <v/>
      </c>
      <c r="I727" s="18" t="str">
        <f>IF(OR(A727="",B727=""),"",IFERROR(LOOKUP(2,1/(单次交易!$A$2:$A$201=A727),单次交易!$H$2:$H$201),0)+SUMIFS($G$2:$G$1001,$A$2:$A$1001,A727,$B$2:$B$1001,"&lt;"&amp;B727))</f>
        <v/>
      </c>
      <c r="J727" s="17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17" t="str">
        <f t="shared" si="89"/>
        <v/>
      </c>
      <c r="L727" s="18" t="str">
        <f t="shared" si="90"/>
        <v/>
      </c>
      <c r="M727" s="18" t="str">
        <f t="shared" si="91"/>
        <v/>
      </c>
      <c r="N727" s="18" t="str">
        <f t="shared" si="92"/>
        <v/>
      </c>
      <c r="O727" s="18" t="str">
        <f t="shared" si="93"/>
        <v/>
      </c>
      <c r="P727" s="17" t="str">
        <f t="shared" si="94"/>
        <v/>
      </c>
      <c r="Q727" s="17" t="str">
        <f t="shared" si="95"/>
        <v/>
      </c>
      <c r="R727" s="19" t="str">
        <f ca="1">IF(A727="","",IF(COUNTIF(_TradeIds,A727)=0,"违规：交易编号不存在",IF(OR(B727="",B727&lt;1,B727&gt;5,B727&lt;&gt;INT(B727)),"违规：加仓序号须为1到5的整数",IF(COUNTIFS($A$2:$A$1001,A727,$B$2:$B$1001,B727)&gt;1,"违规：同一交易的加仓序号重复",IF(OR(D727="",E727="",F727=""),"计划不完整：请填写加仓价、新止损价和风险预算",IF(OR(D727&lt;=0,E727&lt;=0,F727&lt;=0,D727&lt;=E727),"违规：加仓价必须高于新止损价，金额须大于0",IF(AND(B727&gt;1,COUNTIFS($A$2:$A$1001,A727,$B$2:$B$1001,B727-1,$G$2:$G$1001,"&gt;0")=0),"违规：须先完成上一次加仓",IF(AND(B727&gt;1,E727&lt;SUMIFS($E$2:$E$1001,$A$2:$A$1001,A727,$B$2:$B$1001,B727-1)),"违规：新止损价不得低于上一次",IF(AND(B727&gt;1,F727&gt;SUMIFS($F$2:$F$1001,$A$2:$A$1001,A727,$B$2:$B$1001,B727-1)),"违规：风险预算须逐次不增加",IF(OR(_LockStatus="已锁仓",_LockStatus="解锁信息不完整"),"违规：锁仓期间禁止加仓",IF(G727="","计划可执行：建议股数见N列",IF(OR(G727&lt;=0,G727&lt;&gt;INT(G727),MOD(G727,100)&lt;&gt;0),"违规：实际股数须为100股整数倍",IF(G727&gt;N727,"违规：实际股数超过风险或金字塔上限",IF(AND(B727&gt;1,G727&gt;SUMIFS($G$2:$G$1001,$A$2:$A$1001,A727,$B$2:$B$1001,B727-1)),"违规：加仓股数须逐次不增加",IF(Q727&gt;F727,"违规：止损风险超过本次预算","通过")))))))))))))))</f>
        <v/>
      </c>
    </row>
    <row r="728" ht="17" spans="1:18">
      <c r="A728" s="13"/>
      <c r="B728" s="14"/>
      <c r="C728" s="15"/>
      <c r="D728" s="16"/>
      <c r="E728" s="16"/>
      <c r="F728" s="16"/>
      <c r="G728" s="14"/>
      <c r="H728" s="17" t="str">
        <f t="shared" si="88"/>
        <v/>
      </c>
      <c r="I728" s="18" t="str">
        <f>IF(OR(A728="",B728=""),"",IFERROR(LOOKUP(2,1/(单次交易!$A$2:$A$201=A728),单次交易!$H$2:$H$201),0)+SUMIFS($G$2:$G$1001,$A$2:$A$1001,A728,$B$2:$B$1001,"&lt;"&amp;B728))</f>
        <v/>
      </c>
      <c r="J728" s="17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17" t="str">
        <f t="shared" si="89"/>
        <v/>
      </c>
      <c r="L728" s="18" t="str">
        <f t="shared" si="90"/>
        <v/>
      </c>
      <c r="M728" s="18" t="str">
        <f t="shared" si="91"/>
        <v/>
      </c>
      <c r="N728" s="18" t="str">
        <f t="shared" si="92"/>
        <v/>
      </c>
      <c r="O728" s="18" t="str">
        <f t="shared" si="93"/>
        <v/>
      </c>
      <c r="P728" s="17" t="str">
        <f t="shared" si="94"/>
        <v/>
      </c>
      <c r="Q728" s="17" t="str">
        <f t="shared" si="95"/>
        <v/>
      </c>
      <c r="R728" s="19" t="str">
        <f ca="1">IF(A728="","",IF(COUNTIF(_TradeIds,A728)=0,"违规：交易编号不存在",IF(OR(B728="",B728&lt;1,B728&gt;5,B728&lt;&gt;INT(B728)),"违规：加仓序号须为1到5的整数",IF(COUNTIFS($A$2:$A$1001,A728,$B$2:$B$1001,B728)&gt;1,"违规：同一交易的加仓序号重复",IF(OR(D728="",E728="",F728=""),"计划不完整：请填写加仓价、新止损价和风险预算",IF(OR(D728&lt;=0,E728&lt;=0,F728&lt;=0,D728&lt;=E728),"违规：加仓价必须高于新止损价，金额须大于0",IF(AND(B728&gt;1,COUNTIFS($A$2:$A$1001,A728,$B$2:$B$1001,B728-1,$G$2:$G$1001,"&gt;0")=0),"违规：须先完成上一次加仓",IF(AND(B728&gt;1,E728&lt;SUMIFS($E$2:$E$1001,$A$2:$A$1001,A728,$B$2:$B$1001,B728-1)),"违规：新止损价不得低于上一次",IF(AND(B728&gt;1,F728&gt;SUMIFS($F$2:$F$1001,$A$2:$A$1001,A728,$B$2:$B$1001,B728-1)),"违规：风险预算须逐次不增加",IF(OR(_LockStatus="已锁仓",_LockStatus="解锁信息不完整"),"违规：锁仓期间禁止加仓",IF(G728="","计划可执行：建议股数见N列",IF(OR(G728&lt;=0,G728&lt;&gt;INT(G728),MOD(G728,100)&lt;&gt;0),"违规：实际股数须为100股整数倍",IF(G728&gt;N728,"违规：实际股数超过风险或金字塔上限",IF(AND(B728&gt;1,G728&gt;SUMIFS($G$2:$G$1001,$A$2:$A$1001,A728,$B$2:$B$1001,B728-1)),"违规：加仓股数须逐次不增加",IF(Q728&gt;F728,"违规：止损风险超过本次预算","通过")))))))))))))))</f>
        <v/>
      </c>
    </row>
    <row r="729" ht="17" spans="1:18">
      <c r="A729" s="13"/>
      <c r="B729" s="14"/>
      <c r="C729" s="15"/>
      <c r="D729" s="16"/>
      <c r="E729" s="16"/>
      <c r="F729" s="16"/>
      <c r="G729" s="14"/>
      <c r="H729" s="17" t="str">
        <f t="shared" si="88"/>
        <v/>
      </c>
      <c r="I729" s="18" t="str">
        <f>IF(OR(A729="",B729=""),"",IFERROR(LOOKUP(2,1/(单次交易!$A$2:$A$201=A729),单次交易!$H$2:$H$201),0)+SUMIFS($G$2:$G$1001,$A$2:$A$1001,A729,$B$2:$B$1001,"&lt;"&amp;B729))</f>
        <v/>
      </c>
      <c r="J729" s="17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17" t="str">
        <f t="shared" si="89"/>
        <v/>
      </c>
      <c r="L729" s="18" t="str">
        <f t="shared" si="90"/>
        <v/>
      </c>
      <c r="M729" s="18" t="str">
        <f t="shared" si="91"/>
        <v/>
      </c>
      <c r="N729" s="18" t="str">
        <f t="shared" si="92"/>
        <v/>
      </c>
      <c r="O729" s="18" t="str">
        <f t="shared" si="93"/>
        <v/>
      </c>
      <c r="P729" s="17" t="str">
        <f t="shared" si="94"/>
        <v/>
      </c>
      <c r="Q729" s="17" t="str">
        <f t="shared" si="95"/>
        <v/>
      </c>
      <c r="R729" s="19" t="str">
        <f ca="1">IF(A729="","",IF(COUNTIF(_TradeIds,A729)=0,"违规：交易编号不存在",IF(OR(B729="",B729&lt;1,B729&gt;5,B729&lt;&gt;INT(B729)),"违规：加仓序号须为1到5的整数",IF(COUNTIFS($A$2:$A$1001,A729,$B$2:$B$1001,B729)&gt;1,"违规：同一交易的加仓序号重复",IF(OR(D729="",E729="",F729=""),"计划不完整：请填写加仓价、新止损价和风险预算",IF(OR(D729&lt;=0,E729&lt;=0,F729&lt;=0,D729&lt;=E729),"违规：加仓价必须高于新止损价，金额须大于0",IF(AND(B729&gt;1,COUNTIFS($A$2:$A$1001,A729,$B$2:$B$1001,B729-1,$G$2:$G$1001,"&gt;0")=0),"违规：须先完成上一次加仓",IF(AND(B729&gt;1,E729&lt;SUMIFS($E$2:$E$1001,$A$2:$A$1001,A729,$B$2:$B$1001,B729-1)),"违规：新止损价不得低于上一次",IF(AND(B729&gt;1,F729&gt;SUMIFS($F$2:$F$1001,$A$2:$A$1001,A729,$B$2:$B$1001,B729-1)),"违规：风险预算须逐次不增加",IF(OR(_LockStatus="已锁仓",_LockStatus="解锁信息不完整"),"违规：锁仓期间禁止加仓",IF(G729="","计划可执行：建议股数见N列",IF(OR(G729&lt;=0,G729&lt;&gt;INT(G729),MOD(G729,100)&lt;&gt;0),"违规：实际股数须为100股整数倍",IF(G729&gt;N729,"违规：实际股数超过风险或金字塔上限",IF(AND(B729&gt;1,G729&gt;SUMIFS($G$2:$G$1001,$A$2:$A$1001,A729,$B$2:$B$1001,B729-1)),"违规：加仓股数须逐次不增加",IF(Q729&gt;F729,"违规：止损风险超过本次预算","通过")))))))))))))))</f>
        <v/>
      </c>
    </row>
    <row r="730" ht="17" spans="1:18">
      <c r="A730" s="13"/>
      <c r="B730" s="14"/>
      <c r="C730" s="15"/>
      <c r="D730" s="16"/>
      <c r="E730" s="16"/>
      <c r="F730" s="16"/>
      <c r="G730" s="14"/>
      <c r="H730" s="17" t="str">
        <f t="shared" si="88"/>
        <v/>
      </c>
      <c r="I730" s="18" t="str">
        <f>IF(OR(A730="",B730=""),"",IFERROR(LOOKUP(2,1/(单次交易!$A$2:$A$201=A730),单次交易!$H$2:$H$201),0)+SUMIFS($G$2:$G$1001,$A$2:$A$1001,A730,$B$2:$B$1001,"&lt;"&amp;B730))</f>
        <v/>
      </c>
      <c r="J730" s="17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17" t="str">
        <f t="shared" si="89"/>
        <v/>
      </c>
      <c r="L730" s="18" t="str">
        <f t="shared" si="90"/>
        <v/>
      </c>
      <c r="M730" s="18" t="str">
        <f t="shared" si="91"/>
        <v/>
      </c>
      <c r="N730" s="18" t="str">
        <f t="shared" si="92"/>
        <v/>
      </c>
      <c r="O730" s="18" t="str">
        <f t="shared" si="93"/>
        <v/>
      </c>
      <c r="P730" s="17" t="str">
        <f t="shared" si="94"/>
        <v/>
      </c>
      <c r="Q730" s="17" t="str">
        <f t="shared" si="95"/>
        <v/>
      </c>
      <c r="R730" s="19" t="str">
        <f ca="1">IF(A730="","",IF(COUNTIF(_TradeIds,A730)=0,"违规：交易编号不存在",IF(OR(B730="",B730&lt;1,B730&gt;5,B730&lt;&gt;INT(B730)),"违规：加仓序号须为1到5的整数",IF(COUNTIFS($A$2:$A$1001,A730,$B$2:$B$1001,B730)&gt;1,"违规：同一交易的加仓序号重复",IF(OR(D730="",E730="",F730=""),"计划不完整：请填写加仓价、新止损价和风险预算",IF(OR(D730&lt;=0,E730&lt;=0,F730&lt;=0,D730&lt;=E730),"违规：加仓价必须高于新止损价，金额须大于0",IF(AND(B730&gt;1,COUNTIFS($A$2:$A$1001,A730,$B$2:$B$1001,B730-1,$G$2:$G$1001,"&gt;0")=0),"违规：须先完成上一次加仓",IF(AND(B730&gt;1,E730&lt;SUMIFS($E$2:$E$1001,$A$2:$A$1001,A730,$B$2:$B$1001,B730-1)),"违规：新止损价不得低于上一次",IF(AND(B730&gt;1,F730&gt;SUMIFS($F$2:$F$1001,$A$2:$A$1001,A730,$B$2:$B$1001,B730-1)),"违规：风险预算须逐次不增加",IF(OR(_LockStatus="已锁仓",_LockStatus="解锁信息不完整"),"违规：锁仓期间禁止加仓",IF(G730="","计划可执行：建议股数见N列",IF(OR(G730&lt;=0,G730&lt;&gt;INT(G730),MOD(G730,100)&lt;&gt;0),"违规：实际股数须为100股整数倍",IF(G730&gt;N730,"违规：实际股数超过风险或金字塔上限",IF(AND(B730&gt;1,G730&gt;SUMIFS($G$2:$G$1001,$A$2:$A$1001,A730,$B$2:$B$1001,B730-1)),"违规：加仓股数须逐次不增加",IF(Q730&gt;F730,"违规：止损风险超过本次预算","通过")))))))))))))))</f>
        <v/>
      </c>
    </row>
    <row r="731" ht="17" spans="1:18">
      <c r="A731" s="13"/>
      <c r="B731" s="14"/>
      <c r="C731" s="15"/>
      <c r="D731" s="16"/>
      <c r="E731" s="16"/>
      <c r="F731" s="16"/>
      <c r="G731" s="14"/>
      <c r="H731" s="17" t="str">
        <f t="shared" si="88"/>
        <v/>
      </c>
      <c r="I731" s="18" t="str">
        <f>IF(OR(A731="",B731=""),"",IFERROR(LOOKUP(2,1/(单次交易!$A$2:$A$201=A731),单次交易!$H$2:$H$201),0)+SUMIFS($G$2:$G$1001,$A$2:$A$1001,A731,$B$2:$B$1001,"&lt;"&amp;B731))</f>
        <v/>
      </c>
      <c r="J731" s="17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17" t="str">
        <f t="shared" si="89"/>
        <v/>
      </c>
      <c r="L731" s="18" t="str">
        <f t="shared" si="90"/>
        <v/>
      </c>
      <c r="M731" s="18" t="str">
        <f t="shared" si="91"/>
        <v/>
      </c>
      <c r="N731" s="18" t="str">
        <f t="shared" si="92"/>
        <v/>
      </c>
      <c r="O731" s="18" t="str">
        <f t="shared" si="93"/>
        <v/>
      </c>
      <c r="P731" s="17" t="str">
        <f t="shared" si="94"/>
        <v/>
      </c>
      <c r="Q731" s="17" t="str">
        <f t="shared" si="95"/>
        <v/>
      </c>
      <c r="R731" s="19" t="str">
        <f ca="1">IF(A731="","",IF(COUNTIF(_TradeIds,A731)=0,"违规：交易编号不存在",IF(OR(B731="",B731&lt;1,B731&gt;5,B731&lt;&gt;INT(B731)),"违规：加仓序号须为1到5的整数",IF(COUNTIFS($A$2:$A$1001,A731,$B$2:$B$1001,B731)&gt;1,"违规：同一交易的加仓序号重复",IF(OR(D731="",E731="",F731=""),"计划不完整：请填写加仓价、新止损价和风险预算",IF(OR(D731&lt;=0,E731&lt;=0,F731&lt;=0,D731&lt;=E731),"违规：加仓价必须高于新止损价，金额须大于0",IF(AND(B731&gt;1,COUNTIFS($A$2:$A$1001,A731,$B$2:$B$1001,B731-1,$G$2:$G$1001,"&gt;0")=0),"违规：须先完成上一次加仓",IF(AND(B731&gt;1,E731&lt;SUMIFS($E$2:$E$1001,$A$2:$A$1001,A731,$B$2:$B$1001,B731-1)),"违规：新止损价不得低于上一次",IF(AND(B731&gt;1,F731&gt;SUMIFS($F$2:$F$1001,$A$2:$A$1001,A731,$B$2:$B$1001,B731-1)),"违规：风险预算须逐次不增加",IF(OR(_LockStatus="已锁仓",_LockStatus="解锁信息不完整"),"违规：锁仓期间禁止加仓",IF(G731="","计划可执行：建议股数见N列",IF(OR(G731&lt;=0,G731&lt;&gt;INT(G731),MOD(G731,100)&lt;&gt;0),"违规：实际股数须为100股整数倍",IF(G731&gt;N731,"违规：实际股数超过风险或金字塔上限",IF(AND(B731&gt;1,G731&gt;SUMIFS($G$2:$G$1001,$A$2:$A$1001,A731,$B$2:$B$1001,B731-1)),"违规：加仓股数须逐次不增加",IF(Q731&gt;F731,"违规：止损风险超过本次预算","通过")))))))))))))))</f>
        <v/>
      </c>
    </row>
    <row r="732" ht="17" spans="1:18">
      <c r="A732" s="13"/>
      <c r="B732" s="14"/>
      <c r="C732" s="15"/>
      <c r="D732" s="16"/>
      <c r="E732" s="16"/>
      <c r="F732" s="16"/>
      <c r="G732" s="14"/>
      <c r="H732" s="17" t="str">
        <f t="shared" si="88"/>
        <v/>
      </c>
      <c r="I732" s="18" t="str">
        <f>IF(OR(A732="",B732=""),"",IFERROR(LOOKUP(2,1/(单次交易!$A$2:$A$201=A732),单次交易!$H$2:$H$201),0)+SUMIFS($G$2:$G$1001,$A$2:$A$1001,A732,$B$2:$B$1001,"&lt;"&amp;B732))</f>
        <v/>
      </c>
      <c r="J732" s="17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17" t="str">
        <f t="shared" si="89"/>
        <v/>
      </c>
      <c r="L732" s="18" t="str">
        <f t="shared" si="90"/>
        <v/>
      </c>
      <c r="M732" s="18" t="str">
        <f t="shared" si="91"/>
        <v/>
      </c>
      <c r="N732" s="18" t="str">
        <f t="shared" si="92"/>
        <v/>
      </c>
      <c r="O732" s="18" t="str">
        <f t="shared" si="93"/>
        <v/>
      </c>
      <c r="P732" s="17" t="str">
        <f t="shared" si="94"/>
        <v/>
      </c>
      <c r="Q732" s="17" t="str">
        <f t="shared" si="95"/>
        <v/>
      </c>
      <c r="R732" s="19" t="str">
        <f ca="1">IF(A732="","",IF(COUNTIF(_TradeIds,A732)=0,"违规：交易编号不存在",IF(OR(B732="",B732&lt;1,B732&gt;5,B732&lt;&gt;INT(B732)),"违规：加仓序号须为1到5的整数",IF(COUNTIFS($A$2:$A$1001,A732,$B$2:$B$1001,B732)&gt;1,"违规：同一交易的加仓序号重复",IF(OR(D732="",E732="",F732=""),"计划不完整：请填写加仓价、新止损价和风险预算",IF(OR(D732&lt;=0,E732&lt;=0,F732&lt;=0,D732&lt;=E732),"违规：加仓价必须高于新止损价，金额须大于0",IF(AND(B732&gt;1,COUNTIFS($A$2:$A$1001,A732,$B$2:$B$1001,B732-1,$G$2:$G$1001,"&gt;0")=0),"违规：须先完成上一次加仓",IF(AND(B732&gt;1,E732&lt;SUMIFS($E$2:$E$1001,$A$2:$A$1001,A732,$B$2:$B$1001,B732-1)),"违规：新止损价不得低于上一次",IF(AND(B732&gt;1,F732&gt;SUMIFS($F$2:$F$1001,$A$2:$A$1001,A732,$B$2:$B$1001,B732-1)),"违规：风险预算须逐次不增加",IF(OR(_LockStatus="已锁仓",_LockStatus="解锁信息不完整"),"违规：锁仓期间禁止加仓",IF(G732="","计划可执行：建议股数见N列",IF(OR(G732&lt;=0,G732&lt;&gt;INT(G732),MOD(G732,100)&lt;&gt;0),"违规：实际股数须为100股整数倍",IF(G732&gt;N732,"违规：实际股数超过风险或金字塔上限",IF(AND(B732&gt;1,G732&gt;SUMIFS($G$2:$G$1001,$A$2:$A$1001,A732,$B$2:$B$1001,B732-1)),"违规：加仓股数须逐次不增加",IF(Q732&gt;F732,"违规：止损风险超过本次预算","通过")))))))))))))))</f>
        <v/>
      </c>
    </row>
    <row r="733" ht="17" spans="1:18">
      <c r="A733" s="13"/>
      <c r="B733" s="14"/>
      <c r="C733" s="15"/>
      <c r="D733" s="16"/>
      <c r="E733" s="16"/>
      <c r="F733" s="16"/>
      <c r="G733" s="14"/>
      <c r="H733" s="17" t="str">
        <f t="shared" si="88"/>
        <v/>
      </c>
      <c r="I733" s="18" t="str">
        <f>IF(OR(A733="",B733=""),"",IFERROR(LOOKUP(2,1/(单次交易!$A$2:$A$201=A733),单次交易!$H$2:$H$201),0)+SUMIFS($G$2:$G$1001,$A$2:$A$1001,A733,$B$2:$B$1001,"&lt;"&amp;B733))</f>
        <v/>
      </c>
      <c r="J733" s="17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17" t="str">
        <f t="shared" si="89"/>
        <v/>
      </c>
      <c r="L733" s="18" t="str">
        <f t="shared" si="90"/>
        <v/>
      </c>
      <c r="M733" s="18" t="str">
        <f t="shared" si="91"/>
        <v/>
      </c>
      <c r="N733" s="18" t="str">
        <f t="shared" si="92"/>
        <v/>
      </c>
      <c r="O733" s="18" t="str">
        <f t="shared" si="93"/>
        <v/>
      </c>
      <c r="P733" s="17" t="str">
        <f t="shared" si="94"/>
        <v/>
      </c>
      <c r="Q733" s="17" t="str">
        <f t="shared" si="95"/>
        <v/>
      </c>
      <c r="R733" s="19" t="str">
        <f ca="1">IF(A733="","",IF(COUNTIF(_TradeIds,A733)=0,"违规：交易编号不存在",IF(OR(B733="",B733&lt;1,B733&gt;5,B733&lt;&gt;INT(B733)),"违规：加仓序号须为1到5的整数",IF(COUNTIFS($A$2:$A$1001,A733,$B$2:$B$1001,B733)&gt;1,"违规：同一交易的加仓序号重复",IF(OR(D733="",E733="",F733=""),"计划不完整：请填写加仓价、新止损价和风险预算",IF(OR(D733&lt;=0,E733&lt;=0,F733&lt;=0,D733&lt;=E733),"违规：加仓价必须高于新止损价，金额须大于0",IF(AND(B733&gt;1,COUNTIFS($A$2:$A$1001,A733,$B$2:$B$1001,B733-1,$G$2:$G$1001,"&gt;0")=0),"违规：须先完成上一次加仓",IF(AND(B733&gt;1,E733&lt;SUMIFS($E$2:$E$1001,$A$2:$A$1001,A733,$B$2:$B$1001,B733-1)),"违规：新止损价不得低于上一次",IF(AND(B733&gt;1,F733&gt;SUMIFS($F$2:$F$1001,$A$2:$A$1001,A733,$B$2:$B$1001,B733-1)),"违规：风险预算须逐次不增加",IF(OR(_LockStatus="已锁仓",_LockStatus="解锁信息不完整"),"违规：锁仓期间禁止加仓",IF(G733="","计划可执行：建议股数见N列",IF(OR(G733&lt;=0,G733&lt;&gt;INT(G733),MOD(G733,100)&lt;&gt;0),"违规：实际股数须为100股整数倍",IF(G733&gt;N733,"违规：实际股数超过风险或金字塔上限",IF(AND(B733&gt;1,G733&gt;SUMIFS($G$2:$G$1001,$A$2:$A$1001,A733,$B$2:$B$1001,B733-1)),"违规：加仓股数须逐次不增加",IF(Q733&gt;F733,"违规：止损风险超过本次预算","通过")))))))))))))))</f>
        <v/>
      </c>
    </row>
    <row r="734" ht="17" spans="1:18">
      <c r="A734" s="13"/>
      <c r="B734" s="14"/>
      <c r="C734" s="15"/>
      <c r="D734" s="16"/>
      <c r="E734" s="16"/>
      <c r="F734" s="16"/>
      <c r="G734" s="14"/>
      <c r="H734" s="17" t="str">
        <f t="shared" si="88"/>
        <v/>
      </c>
      <c r="I734" s="18" t="str">
        <f>IF(OR(A734="",B734=""),"",IFERROR(LOOKUP(2,1/(单次交易!$A$2:$A$201=A734),单次交易!$H$2:$H$201),0)+SUMIFS($G$2:$G$1001,$A$2:$A$1001,A734,$B$2:$B$1001,"&lt;"&amp;B734))</f>
        <v/>
      </c>
      <c r="J734" s="17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17" t="str">
        <f t="shared" si="89"/>
        <v/>
      </c>
      <c r="L734" s="18" t="str">
        <f t="shared" si="90"/>
        <v/>
      </c>
      <c r="M734" s="18" t="str">
        <f t="shared" si="91"/>
        <v/>
      </c>
      <c r="N734" s="18" t="str">
        <f t="shared" si="92"/>
        <v/>
      </c>
      <c r="O734" s="18" t="str">
        <f t="shared" si="93"/>
        <v/>
      </c>
      <c r="P734" s="17" t="str">
        <f t="shared" si="94"/>
        <v/>
      </c>
      <c r="Q734" s="17" t="str">
        <f t="shared" si="95"/>
        <v/>
      </c>
      <c r="R734" s="19" t="str">
        <f ca="1">IF(A734="","",IF(COUNTIF(_TradeIds,A734)=0,"违规：交易编号不存在",IF(OR(B734="",B734&lt;1,B734&gt;5,B734&lt;&gt;INT(B734)),"违规：加仓序号须为1到5的整数",IF(COUNTIFS($A$2:$A$1001,A734,$B$2:$B$1001,B734)&gt;1,"违规：同一交易的加仓序号重复",IF(OR(D734="",E734="",F734=""),"计划不完整：请填写加仓价、新止损价和风险预算",IF(OR(D734&lt;=0,E734&lt;=0,F734&lt;=0,D734&lt;=E734),"违规：加仓价必须高于新止损价，金额须大于0",IF(AND(B734&gt;1,COUNTIFS($A$2:$A$1001,A734,$B$2:$B$1001,B734-1,$G$2:$G$1001,"&gt;0")=0),"违规：须先完成上一次加仓",IF(AND(B734&gt;1,E734&lt;SUMIFS($E$2:$E$1001,$A$2:$A$1001,A734,$B$2:$B$1001,B734-1)),"违规：新止损价不得低于上一次",IF(AND(B734&gt;1,F734&gt;SUMIFS($F$2:$F$1001,$A$2:$A$1001,A734,$B$2:$B$1001,B734-1)),"违规：风险预算须逐次不增加",IF(OR(_LockStatus="已锁仓",_LockStatus="解锁信息不完整"),"违规：锁仓期间禁止加仓",IF(G734="","计划可执行：建议股数见N列",IF(OR(G734&lt;=0,G734&lt;&gt;INT(G734),MOD(G734,100)&lt;&gt;0),"违规：实际股数须为100股整数倍",IF(G734&gt;N734,"违规：实际股数超过风险或金字塔上限",IF(AND(B734&gt;1,G734&gt;SUMIFS($G$2:$G$1001,$A$2:$A$1001,A734,$B$2:$B$1001,B734-1)),"违规：加仓股数须逐次不增加",IF(Q734&gt;F734,"违规：止损风险超过本次预算","通过")))))))))))))))</f>
        <v/>
      </c>
    </row>
    <row r="735" ht="17" spans="1:18">
      <c r="A735" s="13"/>
      <c r="B735" s="14"/>
      <c r="C735" s="15"/>
      <c r="D735" s="16"/>
      <c r="E735" s="16"/>
      <c r="F735" s="16"/>
      <c r="G735" s="14"/>
      <c r="H735" s="17" t="str">
        <f t="shared" si="88"/>
        <v/>
      </c>
      <c r="I735" s="18" t="str">
        <f>IF(OR(A735="",B735=""),"",IFERROR(LOOKUP(2,1/(单次交易!$A$2:$A$201=A735),单次交易!$H$2:$H$201),0)+SUMIFS($G$2:$G$1001,$A$2:$A$1001,A735,$B$2:$B$1001,"&lt;"&amp;B735))</f>
        <v/>
      </c>
      <c r="J735" s="17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17" t="str">
        <f t="shared" si="89"/>
        <v/>
      </c>
      <c r="L735" s="18" t="str">
        <f t="shared" si="90"/>
        <v/>
      </c>
      <c r="M735" s="18" t="str">
        <f t="shared" si="91"/>
        <v/>
      </c>
      <c r="N735" s="18" t="str">
        <f t="shared" si="92"/>
        <v/>
      </c>
      <c r="O735" s="18" t="str">
        <f t="shared" si="93"/>
        <v/>
      </c>
      <c r="P735" s="17" t="str">
        <f t="shared" si="94"/>
        <v/>
      </c>
      <c r="Q735" s="17" t="str">
        <f t="shared" si="95"/>
        <v/>
      </c>
      <c r="R735" s="19" t="str">
        <f ca="1">IF(A735="","",IF(COUNTIF(_TradeIds,A735)=0,"违规：交易编号不存在",IF(OR(B735="",B735&lt;1,B735&gt;5,B735&lt;&gt;INT(B735)),"违规：加仓序号须为1到5的整数",IF(COUNTIFS($A$2:$A$1001,A735,$B$2:$B$1001,B735)&gt;1,"违规：同一交易的加仓序号重复",IF(OR(D735="",E735="",F735=""),"计划不完整：请填写加仓价、新止损价和风险预算",IF(OR(D735&lt;=0,E735&lt;=0,F735&lt;=0,D735&lt;=E735),"违规：加仓价必须高于新止损价，金额须大于0",IF(AND(B735&gt;1,COUNTIFS($A$2:$A$1001,A735,$B$2:$B$1001,B735-1,$G$2:$G$1001,"&gt;0")=0),"违规：须先完成上一次加仓",IF(AND(B735&gt;1,E735&lt;SUMIFS($E$2:$E$1001,$A$2:$A$1001,A735,$B$2:$B$1001,B735-1)),"违规：新止损价不得低于上一次",IF(AND(B735&gt;1,F735&gt;SUMIFS($F$2:$F$1001,$A$2:$A$1001,A735,$B$2:$B$1001,B735-1)),"违规：风险预算须逐次不增加",IF(OR(_LockStatus="已锁仓",_LockStatus="解锁信息不完整"),"违规：锁仓期间禁止加仓",IF(G735="","计划可执行：建议股数见N列",IF(OR(G735&lt;=0,G735&lt;&gt;INT(G735),MOD(G735,100)&lt;&gt;0),"违规：实际股数须为100股整数倍",IF(G735&gt;N735,"违规：实际股数超过风险或金字塔上限",IF(AND(B735&gt;1,G735&gt;SUMIFS($G$2:$G$1001,$A$2:$A$1001,A735,$B$2:$B$1001,B735-1)),"违规：加仓股数须逐次不增加",IF(Q735&gt;F735,"违规：止损风险超过本次预算","通过")))))))))))))))</f>
        <v/>
      </c>
    </row>
    <row r="736" ht="17" spans="1:18">
      <c r="A736" s="13"/>
      <c r="B736" s="14"/>
      <c r="C736" s="15"/>
      <c r="D736" s="16"/>
      <c r="E736" s="16"/>
      <c r="F736" s="16"/>
      <c r="G736" s="14"/>
      <c r="H736" s="17" t="str">
        <f t="shared" si="88"/>
        <v/>
      </c>
      <c r="I736" s="18" t="str">
        <f>IF(OR(A736="",B736=""),"",IFERROR(LOOKUP(2,1/(单次交易!$A$2:$A$201=A736),单次交易!$H$2:$H$201),0)+SUMIFS($G$2:$G$1001,$A$2:$A$1001,A736,$B$2:$B$1001,"&lt;"&amp;B736))</f>
        <v/>
      </c>
      <c r="J736" s="17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17" t="str">
        <f t="shared" si="89"/>
        <v/>
      </c>
      <c r="L736" s="18" t="str">
        <f t="shared" si="90"/>
        <v/>
      </c>
      <c r="M736" s="18" t="str">
        <f t="shared" si="91"/>
        <v/>
      </c>
      <c r="N736" s="18" t="str">
        <f t="shared" si="92"/>
        <v/>
      </c>
      <c r="O736" s="18" t="str">
        <f t="shared" si="93"/>
        <v/>
      </c>
      <c r="P736" s="17" t="str">
        <f t="shared" si="94"/>
        <v/>
      </c>
      <c r="Q736" s="17" t="str">
        <f t="shared" si="95"/>
        <v/>
      </c>
      <c r="R736" s="19" t="str">
        <f ca="1">IF(A736="","",IF(COUNTIF(_TradeIds,A736)=0,"违规：交易编号不存在",IF(OR(B736="",B736&lt;1,B736&gt;5,B736&lt;&gt;INT(B736)),"违规：加仓序号须为1到5的整数",IF(COUNTIFS($A$2:$A$1001,A736,$B$2:$B$1001,B736)&gt;1,"违规：同一交易的加仓序号重复",IF(OR(D736="",E736="",F736=""),"计划不完整：请填写加仓价、新止损价和风险预算",IF(OR(D736&lt;=0,E736&lt;=0,F736&lt;=0,D736&lt;=E736),"违规：加仓价必须高于新止损价，金额须大于0",IF(AND(B736&gt;1,COUNTIFS($A$2:$A$1001,A736,$B$2:$B$1001,B736-1,$G$2:$G$1001,"&gt;0")=0),"违规：须先完成上一次加仓",IF(AND(B736&gt;1,E736&lt;SUMIFS($E$2:$E$1001,$A$2:$A$1001,A736,$B$2:$B$1001,B736-1)),"违规：新止损价不得低于上一次",IF(AND(B736&gt;1,F736&gt;SUMIFS($F$2:$F$1001,$A$2:$A$1001,A736,$B$2:$B$1001,B736-1)),"违规：风险预算须逐次不增加",IF(OR(_LockStatus="已锁仓",_LockStatus="解锁信息不完整"),"违规：锁仓期间禁止加仓",IF(G736="","计划可执行：建议股数见N列",IF(OR(G736&lt;=0,G736&lt;&gt;INT(G736),MOD(G736,100)&lt;&gt;0),"违规：实际股数须为100股整数倍",IF(G736&gt;N736,"违规：实际股数超过风险或金字塔上限",IF(AND(B736&gt;1,G736&gt;SUMIFS($G$2:$G$1001,$A$2:$A$1001,A736,$B$2:$B$1001,B736-1)),"违规：加仓股数须逐次不增加",IF(Q736&gt;F736,"违规：止损风险超过本次预算","通过")))))))))))))))</f>
        <v/>
      </c>
    </row>
    <row r="737" ht="17" spans="1:18">
      <c r="A737" s="13"/>
      <c r="B737" s="14"/>
      <c r="C737" s="15"/>
      <c r="D737" s="16"/>
      <c r="E737" s="16"/>
      <c r="F737" s="16"/>
      <c r="G737" s="14"/>
      <c r="H737" s="17" t="str">
        <f t="shared" si="88"/>
        <v/>
      </c>
      <c r="I737" s="18" t="str">
        <f>IF(OR(A737="",B737=""),"",IFERROR(LOOKUP(2,1/(单次交易!$A$2:$A$201=A737),单次交易!$H$2:$H$201),0)+SUMIFS($G$2:$G$1001,$A$2:$A$1001,A737,$B$2:$B$1001,"&lt;"&amp;B737))</f>
        <v/>
      </c>
      <c r="J737" s="17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17" t="str">
        <f t="shared" si="89"/>
        <v/>
      </c>
      <c r="L737" s="18" t="str">
        <f t="shared" si="90"/>
        <v/>
      </c>
      <c r="M737" s="18" t="str">
        <f t="shared" si="91"/>
        <v/>
      </c>
      <c r="N737" s="18" t="str">
        <f t="shared" si="92"/>
        <v/>
      </c>
      <c r="O737" s="18" t="str">
        <f t="shared" si="93"/>
        <v/>
      </c>
      <c r="P737" s="17" t="str">
        <f t="shared" si="94"/>
        <v/>
      </c>
      <c r="Q737" s="17" t="str">
        <f t="shared" si="95"/>
        <v/>
      </c>
      <c r="R737" s="19" t="str">
        <f ca="1">IF(A737="","",IF(COUNTIF(_TradeIds,A737)=0,"违规：交易编号不存在",IF(OR(B737="",B737&lt;1,B737&gt;5,B737&lt;&gt;INT(B737)),"违规：加仓序号须为1到5的整数",IF(COUNTIFS($A$2:$A$1001,A737,$B$2:$B$1001,B737)&gt;1,"违规：同一交易的加仓序号重复",IF(OR(D737="",E737="",F737=""),"计划不完整：请填写加仓价、新止损价和风险预算",IF(OR(D737&lt;=0,E737&lt;=0,F737&lt;=0,D737&lt;=E737),"违规：加仓价必须高于新止损价，金额须大于0",IF(AND(B737&gt;1,COUNTIFS($A$2:$A$1001,A737,$B$2:$B$1001,B737-1,$G$2:$G$1001,"&gt;0")=0),"违规：须先完成上一次加仓",IF(AND(B737&gt;1,E737&lt;SUMIFS($E$2:$E$1001,$A$2:$A$1001,A737,$B$2:$B$1001,B737-1)),"违规：新止损价不得低于上一次",IF(AND(B737&gt;1,F737&gt;SUMIFS($F$2:$F$1001,$A$2:$A$1001,A737,$B$2:$B$1001,B737-1)),"违规：风险预算须逐次不增加",IF(OR(_LockStatus="已锁仓",_LockStatus="解锁信息不完整"),"违规：锁仓期间禁止加仓",IF(G737="","计划可执行：建议股数见N列",IF(OR(G737&lt;=0,G737&lt;&gt;INT(G737),MOD(G737,100)&lt;&gt;0),"违规：实际股数须为100股整数倍",IF(G737&gt;N737,"违规：实际股数超过风险或金字塔上限",IF(AND(B737&gt;1,G737&gt;SUMIFS($G$2:$G$1001,$A$2:$A$1001,A737,$B$2:$B$1001,B737-1)),"违规：加仓股数须逐次不增加",IF(Q737&gt;F737,"违规：止损风险超过本次预算","通过")))))))))))))))</f>
        <v/>
      </c>
    </row>
    <row r="738" ht="17" spans="1:18">
      <c r="A738" s="13"/>
      <c r="B738" s="14"/>
      <c r="C738" s="15"/>
      <c r="D738" s="16"/>
      <c r="E738" s="16"/>
      <c r="F738" s="16"/>
      <c r="G738" s="14"/>
      <c r="H738" s="17" t="str">
        <f t="shared" si="88"/>
        <v/>
      </c>
      <c r="I738" s="18" t="str">
        <f>IF(OR(A738="",B738=""),"",IFERROR(LOOKUP(2,1/(单次交易!$A$2:$A$201=A738),单次交易!$H$2:$H$201),0)+SUMIFS($G$2:$G$1001,$A$2:$A$1001,A738,$B$2:$B$1001,"&lt;"&amp;B738))</f>
        <v/>
      </c>
      <c r="J738" s="17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17" t="str">
        <f t="shared" si="89"/>
        <v/>
      </c>
      <c r="L738" s="18" t="str">
        <f t="shared" si="90"/>
        <v/>
      </c>
      <c r="M738" s="18" t="str">
        <f t="shared" si="91"/>
        <v/>
      </c>
      <c r="N738" s="18" t="str">
        <f t="shared" si="92"/>
        <v/>
      </c>
      <c r="O738" s="18" t="str">
        <f t="shared" si="93"/>
        <v/>
      </c>
      <c r="P738" s="17" t="str">
        <f t="shared" si="94"/>
        <v/>
      </c>
      <c r="Q738" s="17" t="str">
        <f t="shared" si="95"/>
        <v/>
      </c>
      <c r="R738" s="19" t="str">
        <f ca="1">IF(A738="","",IF(COUNTIF(_TradeIds,A738)=0,"违规：交易编号不存在",IF(OR(B738="",B738&lt;1,B738&gt;5,B738&lt;&gt;INT(B738)),"违规：加仓序号须为1到5的整数",IF(COUNTIFS($A$2:$A$1001,A738,$B$2:$B$1001,B738)&gt;1,"违规：同一交易的加仓序号重复",IF(OR(D738="",E738="",F738=""),"计划不完整：请填写加仓价、新止损价和风险预算",IF(OR(D738&lt;=0,E738&lt;=0,F738&lt;=0,D738&lt;=E738),"违规：加仓价必须高于新止损价，金额须大于0",IF(AND(B738&gt;1,COUNTIFS($A$2:$A$1001,A738,$B$2:$B$1001,B738-1,$G$2:$G$1001,"&gt;0")=0),"违规：须先完成上一次加仓",IF(AND(B738&gt;1,E738&lt;SUMIFS($E$2:$E$1001,$A$2:$A$1001,A738,$B$2:$B$1001,B738-1)),"违规：新止损价不得低于上一次",IF(AND(B738&gt;1,F738&gt;SUMIFS($F$2:$F$1001,$A$2:$A$1001,A738,$B$2:$B$1001,B738-1)),"违规：风险预算须逐次不增加",IF(OR(_LockStatus="已锁仓",_LockStatus="解锁信息不完整"),"违规：锁仓期间禁止加仓",IF(G738="","计划可执行：建议股数见N列",IF(OR(G738&lt;=0,G738&lt;&gt;INT(G738),MOD(G738,100)&lt;&gt;0),"违规：实际股数须为100股整数倍",IF(G738&gt;N738,"违规：实际股数超过风险或金字塔上限",IF(AND(B738&gt;1,G738&gt;SUMIFS($G$2:$G$1001,$A$2:$A$1001,A738,$B$2:$B$1001,B738-1)),"违规：加仓股数须逐次不增加",IF(Q738&gt;F738,"违规：止损风险超过本次预算","通过")))))))))))))))</f>
        <v/>
      </c>
    </row>
    <row r="739" ht="17" spans="1:18">
      <c r="A739" s="13"/>
      <c r="B739" s="14"/>
      <c r="C739" s="15"/>
      <c r="D739" s="16"/>
      <c r="E739" s="16"/>
      <c r="F739" s="16"/>
      <c r="G739" s="14"/>
      <c r="H739" s="17" t="str">
        <f t="shared" si="88"/>
        <v/>
      </c>
      <c r="I739" s="18" t="str">
        <f>IF(OR(A739="",B739=""),"",IFERROR(LOOKUP(2,1/(单次交易!$A$2:$A$201=A739),单次交易!$H$2:$H$201),0)+SUMIFS($G$2:$G$1001,$A$2:$A$1001,A739,$B$2:$B$1001,"&lt;"&amp;B739))</f>
        <v/>
      </c>
      <c r="J739" s="17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17" t="str">
        <f t="shared" si="89"/>
        <v/>
      </c>
      <c r="L739" s="18" t="str">
        <f t="shared" si="90"/>
        <v/>
      </c>
      <c r="M739" s="18" t="str">
        <f t="shared" si="91"/>
        <v/>
      </c>
      <c r="N739" s="18" t="str">
        <f t="shared" si="92"/>
        <v/>
      </c>
      <c r="O739" s="18" t="str">
        <f t="shared" si="93"/>
        <v/>
      </c>
      <c r="P739" s="17" t="str">
        <f t="shared" si="94"/>
        <v/>
      </c>
      <c r="Q739" s="17" t="str">
        <f t="shared" si="95"/>
        <v/>
      </c>
      <c r="R739" s="19" t="str">
        <f ca="1">IF(A739="","",IF(COUNTIF(_TradeIds,A739)=0,"违规：交易编号不存在",IF(OR(B739="",B739&lt;1,B739&gt;5,B739&lt;&gt;INT(B739)),"违规：加仓序号须为1到5的整数",IF(COUNTIFS($A$2:$A$1001,A739,$B$2:$B$1001,B739)&gt;1,"违规：同一交易的加仓序号重复",IF(OR(D739="",E739="",F739=""),"计划不完整：请填写加仓价、新止损价和风险预算",IF(OR(D739&lt;=0,E739&lt;=0,F739&lt;=0,D739&lt;=E739),"违规：加仓价必须高于新止损价，金额须大于0",IF(AND(B739&gt;1,COUNTIFS($A$2:$A$1001,A739,$B$2:$B$1001,B739-1,$G$2:$G$1001,"&gt;0")=0),"违规：须先完成上一次加仓",IF(AND(B739&gt;1,E739&lt;SUMIFS($E$2:$E$1001,$A$2:$A$1001,A739,$B$2:$B$1001,B739-1)),"违规：新止损价不得低于上一次",IF(AND(B739&gt;1,F739&gt;SUMIFS($F$2:$F$1001,$A$2:$A$1001,A739,$B$2:$B$1001,B739-1)),"违规：风险预算须逐次不增加",IF(OR(_LockStatus="已锁仓",_LockStatus="解锁信息不完整"),"违规：锁仓期间禁止加仓",IF(G739="","计划可执行：建议股数见N列",IF(OR(G739&lt;=0,G739&lt;&gt;INT(G739),MOD(G739,100)&lt;&gt;0),"违规：实际股数须为100股整数倍",IF(G739&gt;N739,"违规：实际股数超过风险或金字塔上限",IF(AND(B739&gt;1,G739&gt;SUMIFS($G$2:$G$1001,$A$2:$A$1001,A739,$B$2:$B$1001,B739-1)),"违规：加仓股数须逐次不增加",IF(Q739&gt;F739,"违规：止损风险超过本次预算","通过")))))))))))))))</f>
        <v/>
      </c>
    </row>
    <row r="740" ht="17" spans="1:18">
      <c r="A740" s="13"/>
      <c r="B740" s="14"/>
      <c r="C740" s="15"/>
      <c r="D740" s="16"/>
      <c r="E740" s="16"/>
      <c r="F740" s="16"/>
      <c r="G740" s="14"/>
      <c r="H740" s="17" t="str">
        <f t="shared" si="88"/>
        <v/>
      </c>
      <c r="I740" s="18" t="str">
        <f>IF(OR(A740="",B740=""),"",IFERROR(LOOKUP(2,1/(单次交易!$A$2:$A$201=A740),单次交易!$H$2:$H$201),0)+SUMIFS($G$2:$G$1001,$A$2:$A$1001,A740,$B$2:$B$1001,"&lt;"&amp;B740))</f>
        <v/>
      </c>
      <c r="J740" s="17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17" t="str">
        <f t="shared" si="89"/>
        <v/>
      </c>
      <c r="L740" s="18" t="str">
        <f t="shared" si="90"/>
        <v/>
      </c>
      <c r="M740" s="18" t="str">
        <f t="shared" si="91"/>
        <v/>
      </c>
      <c r="N740" s="18" t="str">
        <f t="shared" si="92"/>
        <v/>
      </c>
      <c r="O740" s="18" t="str">
        <f t="shared" si="93"/>
        <v/>
      </c>
      <c r="P740" s="17" t="str">
        <f t="shared" si="94"/>
        <v/>
      </c>
      <c r="Q740" s="17" t="str">
        <f t="shared" si="95"/>
        <v/>
      </c>
      <c r="R740" s="19" t="str">
        <f ca="1">IF(A740="","",IF(COUNTIF(_TradeIds,A740)=0,"违规：交易编号不存在",IF(OR(B740="",B740&lt;1,B740&gt;5,B740&lt;&gt;INT(B740)),"违规：加仓序号须为1到5的整数",IF(COUNTIFS($A$2:$A$1001,A740,$B$2:$B$1001,B740)&gt;1,"违规：同一交易的加仓序号重复",IF(OR(D740="",E740="",F740=""),"计划不完整：请填写加仓价、新止损价和风险预算",IF(OR(D740&lt;=0,E740&lt;=0,F740&lt;=0,D740&lt;=E740),"违规：加仓价必须高于新止损价，金额须大于0",IF(AND(B740&gt;1,COUNTIFS($A$2:$A$1001,A740,$B$2:$B$1001,B740-1,$G$2:$G$1001,"&gt;0")=0),"违规：须先完成上一次加仓",IF(AND(B740&gt;1,E740&lt;SUMIFS($E$2:$E$1001,$A$2:$A$1001,A740,$B$2:$B$1001,B740-1)),"违规：新止损价不得低于上一次",IF(AND(B740&gt;1,F740&gt;SUMIFS($F$2:$F$1001,$A$2:$A$1001,A740,$B$2:$B$1001,B740-1)),"违规：风险预算须逐次不增加",IF(OR(_LockStatus="已锁仓",_LockStatus="解锁信息不完整"),"违规：锁仓期间禁止加仓",IF(G740="","计划可执行：建议股数见N列",IF(OR(G740&lt;=0,G740&lt;&gt;INT(G740),MOD(G740,100)&lt;&gt;0),"违规：实际股数须为100股整数倍",IF(G740&gt;N740,"违规：实际股数超过风险或金字塔上限",IF(AND(B740&gt;1,G740&gt;SUMIFS($G$2:$G$1001,$A$2:$A$1001,A740,$B$2:$B$1001,B740-1)),"违规：加仓股数须逐次不增加",IF(Q740&gt;F740,"违规：止损风险超过本次预算","通过")))))))))))))))</f>
        <v/>
      </c>
    </row>
    <row r="741" ht="17" spans="1:18">
      <c r="A741" s="13"/>
      <c r="B741" s="14"/>
      <c r="C741" s="15"/>
      <c r="D741" s="16"/>
      <c r="E741" s="16"/>
      <c r="F741" s="16"/>
      <c r="G741" s="14"/>
      <c r="H741" s="17" t="str">
        <f t="shared" si="88"/>
        <v/>
      </c>
      <c r="I741" s="18" t="str">
        <f>IF(OR(A741="",B741=""),"",IFERROR(LOOKUP(2,1/(单次交易!$A$2:$A$201=A741),单次交易!$H$2:$H$201),0)+SUMIFS($G$2:$G$1001,$A$2:$A$1001,A741,$B$2:$B$1001,"&lt;"&amp;B741))</f>
        <v/>
      </c>
      <c r="J741" s="17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17" t="str">
        <f t="shared" si="89"/>
        <v/>
      </c>
      <c r="L741" s="18" t="str">
        <f t="shared" si="90"/>
        <v/>
      </c>
      <c r="M741" s="18" t="str">
        <f t="shared" si="91"/>
        <v/>
      </c>
      <c r="N741" s="18" t="str">
        <f t="shared" si="92"/>
        <v/>
      </c>
      <c r="O741" s="18" t="str">
        <f t="shared" si="93"/>
        <v/>
      </c>
      <c r="P741" s="17" t="str">
        <f t="shared" si="94"/>
        <v/>
      </c>
      <c r="Q741" s="17" t="str">
        <f t="shared" si="95"/>
        <v/>
      </c>
      <c r="R741" s="19" t="str">
        <f ca="1">IF(A741="","",IF(COUNTIF(_TradeIds,A741)=0,"违规：交易编号不存在",IF(OR(B741="",B741&lt;1,B741&gt;5,B741&lt;&gt;INT(B741)),"违规：加仓序号须为1到5的整数",IF(COUNTIFS($A$2:$A$1001,A741,$B$2:$B$1001,B741)&gt;1,"违规：同一交易的加仓序号重复",IF(OR(D741="",E741="",F741=""),"计划不完整：请填写加仓价、新止损价和风险预算",IF(OR(D741&lt;=0,E741&lt;=0,F741&lt;=0,D741&lt;=E741),"违规：加仓价必须高于新止损价，金额须大于0",IF(AND(B741&gt;1,COUNTIFS($A$2:$A$1001,A741,$B$2:$B$1001,B741-1,$G$2:$G$1001,"&gt;0")=0),"违规：须先完成上一次加仓",IF(AND(B741&gt;1,E741&lt;SUMIFS($E$2:$E$1001,$A$2:$A$1001,A741,$B$2:$B$1001,B741-1)),"违规：新止损价不得低于上一次",IF(AND(B741&gt;1,F741&gt;SUMIFS($F$2:$F$1001,$A$2:$A$1001,A741,$B$2:$B$1001,B741-1)),"违规：风险预算须逐次不增加",IF(OR(_LockStatus="已锁仓",_LockStatus="解锁信息不完整"),"违规：锁仓期间禁止加仓",IF(G741="","计划可执行：建议股数见N列",IF(OR(G741&lt;=0,G741&lt;&gt;INT(G741),MOD(G741,100)&lt;&gt;0),"违规：实际股数须为100股整数倍",IF(G741&gt;N741,"违规：实际股数超过风险或金字塔上限",IF(AND(B741&gt;1,G741&gt;SUMIFS($G$2:$G$1001,$A$2:$A$1001,A741,$B$2:$B$1001,B741-1)),"违规：加仓股数须逐次不增加",IF(Q741&gt;F741,"违规：止损风险超过本次预算","通过")))))))))))))))</f>
        <v/>
      </c>
    </row>
    <row r="742" ht="17" spans="1:18">
      <c r="A742" s="13"/>
      <c r="B742" s="14"/>
      <c r="C742" s="15"/>
      <c r="D742" s="16"/>
      <c r="E742" s="16"/>
      <c r="F742" s="16"/>
      <c r="G742" s="14"/>
      <c r="H742" s="17" t="str">
        <f t="shared" si="88"/>
        <v/>
      </c>
      <c r="I742" s="18" t="str">
        <f>IF(OR(A742="",B742=""),"",IFERROR(LOOKUP(2,1/(单次交易!$A$2:$A$201=A742),单次交易!$H$2:$H$201),0)+SUMIFS($G$2:$G$1001,$A$2:$A$1001,A742,$B$2:$B$1001,"&lt;"&amp;B742))</f>
        <v/>
      </c>
      <c r="J742" s="17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17" t="str">
        <f t="shared" si="89"/>
        <v/>
      </c>
      <c r="L742" s="18" t="str">
        <f t="shared" si="90"/>
        <v/>
      </c>
      <c r="M742" s="18" t="str">
        <f t="shared" si="91"/>
        <v/>
      </c>
      <c r="N742" s="18" t="str">
        <f t="shared" si="92"/>
        <v/>
      </c>
      <c r="O742" s="18" t="str">
        <f t="shared" si="93"/>
        <v/>
      </c>
      <c r="P742" s="17" t="str">
        <f t="shared" si="94"/>
        <v/>
      </c>
      <c r="Q742" s="17" t="str">
        <f t="shared" si="95"/>
        <v/>
      </c>
      <c r="R742" s="19" t="str">
        <f ca="1">IF(A742="","",IF(COUNTIF(_TradeIds,A742)=0,"违规：交易编号不存在",IF(OR(B742="",B742&lt;1,B742&gt;5,B742&lt;&gt;INT(B742)),"违规：加仓序号须为1到5的整数",IF(COUNTIFS($A$2:$A$1001,A742,$B$2:$B$1001,B742)&gt;1,"违规：同一交易的加仓序号重复",IF(OR(D742="",E742="",F742=""),"计划不完整：请填写加仓价、新止损价和风险预算",IF(OR(D742&lt;=0,E742&lt;=0,F742&lt;=0,D742&lt;=E742),"违规：加仓价必须高于新止损价，金额须大于0",IF(AND(B742&gt;1,COUNTIFS($A$2:$A$1001,A742,$B$2:$B$1001,B742-1,$G$2:$G$1001,"&gt;0")=0),"违规：须先完成上一次加仓",IF(AND(B742&gt;1,E742&lt;SUMIFS($E$2:$E$1001,$A$2:$A$1001,A742,$B$2:$B$1001,B742-1)),"违规：新止损价不得低于上一次",IF(AND(B742&gt;1,F742&gt;SUMIFS($F$2:$F$1001,$A$2:$A$1001,A742,$B$2:$B$1001,B742-1)),"违规：风险预算须逐次不增加",IF(OR(_LockStatus="已锁仓",_LockStatus="解锁信息不完整"),"违规：锁仓期间禁止加仓",IF(G742="","计划可执行：建议股数见N列",IF(OR(G742&lt;=0,G742&lt;&gt;INT(G742),MOD(G742,100)&lt;&gt;0),"违规：实际股数须为100股整数倍",IF(G742&gt;N742,"违规：实际股数超过风险或金字塔上限",IF(AND(B742&gt;1,G742&gt;SUMIFS($G$2:$G$1001,$A$2:$A$1001,A742,$B$2:$B$1001,B742-1)),"违规：加仓股数须逐次不增加",IF(Q742&gt;F742,"违规：止损风险超过本次预算","通过")))))))))))))))</f>
        <v/>
      </c>
    </row>
    <row r="743" ht="17" spans="1:18">
      <c r="A743" s="13"/>
      <c r="B743" s="14"/>
      <c r="C743" s="15"/>
      <c r="D743" s="16"/>
      <c r="E743" s="16"/>
      <c r="F743" s="16"/>
      <c r="G743" s="14"/>
      <c r="H743" s="17" t="str">
        <f t="shared" si="88"/>
        <v/>
      </c>
      <c r="I743" s="18" t="str">
        <f>IF(OR(A743="",B743=""),"",IFERROR(LOOKUP(2,1/(单次交易!$A$2:$A$201=A743),单次交易!$H$2:$H$201),0)+SUMIFS($G$2:$G$1001,$A$2:$A$1001,A743,$B$2:$B$1001,"&lt;"&amp;B743))</f>
        <v/>
      </c>
      <c r="J743" s="17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17" t="str">
        <f t="shared" si="89"/>
        <v/>
      </c>
      <c r="L743" s="18" t="str">
        <f t="shared" si="90"/>
        <v/>
      </c>
      <c r="M743" s="18" t="str">
        <f t="shared" si="91"/>
        <v/>
      </c>
      <c r="N743" s="18" t="str">
        <f t="shared" si="92"/>
        <v/>
      </c>
      <c r="O743" s="18" t="str">
        <f t="shared" si="93"/>
        <v/>
      </c>
      <c r="P743" s="17" t="str">
        <f t="shared" si="94"/>
        <v/>
      </c>
      <c r="Q743" s="17" t="str">
        <f t="shared" si="95"/>
        <v/>
      </c>
      <c r="R743" s="19" t="str">
        <f ca="1">IF(A743="","",IF(COUNTIF(_TradeIds,A743)=0,"违规：交易编号不存在",IF(OR(B743="",B743&lt;1,B743&gt;5,B743&lt;&gt;INT(B743)),"违规：加仓序号须为1到5的整数",IF(COUNTIFS($A$2:$A$1001,A743,$B$2:$B$1001,B743)&gt;1,"违规：同一交易的加仓序号重复",IF(OR(D743="",E743="",F743=""),"计划不完整：请填写加仓价、新止损价和风险预算",IF(OR(D743&lt;=0,E743&lt;=0,F743&lt;=0,D743&lt;=E743),"违规：加仓价必须高于新止损价，金额须大于0",IF(AND(B743&gt;1,COUNTIFS($A$2:$A$1001,A743,$B$2:$B$1001,B743-1,$G$2:$G$1001,"&gt;0")=0),"违规：须先完成上一次加仓",IF(AND(B743&gt;1,E743&lt;SUMIFS($E$2:$E$1001,$A$2:$A$1001,A743,$B$2:$B$1001,B743-1)),"违规：新止损价不得低于上一次",IF(AND(B743&gt;1,F743&gt;SUMIFS($F$2:$F$1001,$A$2:$A$1001,A743,$B$2:$B$1001,B743-1)),"违规：风险预算须逐次不增加",IF(OR(_LockStatus="已锁仓",_LockStatus="解锁信息不完整"),"违规：锁仓期间禁止加仓",IF(G743="","计划可执行：建议股数见N列",IF(OR(G743&lt;=0,G743&lt;&gt;INT(G743),MOD(G743,100)&lt;&gt;0),"违规：实际股数须为100股整数倍",IF(G743&gt;N743,"违规：实际股数超过风险或金字塔上限",IF(AND(B743&gt;1,G743&gt;SUMIFS($G$2:$G$1001,$A$2:$A$1001,A743,$B$2:$B$1001,B743-1)),"违规：加仓股数须逐次不增加",IF(Q743&gt;F743,"违规：止损风险超过本次预算","通过")))))))))))))))</f>
        <v/>
      </c>
    </row>
    <row r="744" ht="17" spans="1:18">
      <c r="A744" s="13"/>
      <c r="B744" s="14"/>
      <c r="C744" s="15"/>
      <c r="D744" s="16"/>
      <c r="E744" s="16"/>
      <c r="F744" s="16"/>
      <c r="G744" s="14"/>
      <c r="H744" s="17" t="str">
        <f t="shared" si="88"/>
        <v/>
      </c>
      <c r="I744" s="18" t="str">
        <f>IF(OR(A744="",B744=""),"",IFERROR(LOOKUP(2,1/(单次交易!$A$2:$A$201=A744),单次交易!$H$2:$H$201),0)+SUMIFS($G$2:$G$1001,$A$2:$A$1001,A744,$B$2:$B$1001,"&lt;"&amp;B744))</f>
        <v/>
      </c>
      <c r="J744" s="17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17" t="str">
        <f t="shared" si="89"/>
        <v/>
      </c>
      <c r="L744" s="18" t="str">
        <f t="shared" si="90"/>
        <v/>
      </c>
      <c r="M744" s="18" t="str">
        <f t="shared" si="91"/>
        <v/>
      </c>
      <c r="N744" s="18" t="str">
        <f t="shared" si="92"/>
        <v/>
      </c>
      <c r="O744" s="18" t="str">
        <f t="shared" si="93"/>
        <v/>
      </c>
      <c r="P744" s="17" t="str">
        <f t="shared" si="94"/>
        <v/>
      </c>
      <c r="Q744" s="17" t="str">
        <f t="shared" si="95"/>
        <v/>
      </c>
      <c r="R744" s="19" t="str">
        <f ca="1">IF(A744="","",IF(COUNTIF(_TradeIds,A744)=0,"违规：交易编号不存在",IF(OR(B744="",B744&lt;1,B744&gt;5,B744&lt;&gt;INT(B744)),"违规：加仓序号须为1到5的整数",IF(COUNTIFS($A$2:$A$1001,A744,$B$2:$B$1001,B744)&gt;1,"违规：同一交易的加仓序号重复",IF(OR(D744="",E744="",F744=""),"计划不完整：请填写加仓价、新止损价和风险预算",IF(OR(D744&lt;=0,E744&lt;=0,F744&lt;=0,D744&lt;=E744),"违规：加仓价必须高于新止损价，金额须大于0",IF(AND(B744&gt;1,COUNTIFS($A$2:$A$1001,A744,$B$2:$B$1001,B744-1,$G$2:$G$1001,"&gt;0")=0),"违规：须先完成上一次加仓",IF(AND(B744&gt;1,E744&lt;SUMIFS($E$2:$E$1001,$A$2:$A$1001,A744,$B$2:$B$1001,B744-1)),"违规：新止损价不得低于上一次",IF(AND(B744&gt;1,F744&gt;SUMIFS($F$2:$F$1001,$A$2:$A$1001,A744,$B$2:$B$1001,B744-1)),"违规：风险预算须逐次不增加",IF(OR(_LockStatus="已锁仓",_LockStatus="解锁信息不完整"),"违规：锁仓期间禁止加仓",IF(G744="","计划可执行：建议股数见N列",IF(OR(G744&lt;=0,G744&lt;&gt;INT(G744),MOD(G744,100)&lt;&gt;0),"违规：实际股数须为100股整数倍",IF(G744&gt;N744,"违规：实际股数超过风险或金字塔上限",IF(AND(B744&gt;1,G744&gt;SUMIFS($G$2:$G$1001,$A$2:$A$1001,A744,$B$2:$B$1001,B744-1)),"违规：加仓股数须逐次不增加",IF(Q744&gt;F744,"违规：止损风险超过本次预算","通过")))))))))))))))</f>
        <v/>
      </c>
    </row>
    <row r="745" ht="17" spans="1:18">
      <c r="A745" s="13"/>
      <c r="B745" s="14"/>
      <c r="C745" s="15"/>
      <c r="D745" s="16"/>
      <c r="E745" s="16"/>
      <c r="F745" s="16"/>
      <c r="G745" s="14"/>
      <c r="H745" s="17" t="str">
        <f t="shared" si="88"/>
        <v/>
      </c>
      <c r="I745" s="18" t="str">
        <f>IF(OR(A745="",B745=""),"",IFERROR(LOOKUP(2,1/(单次交易!$A$2:$A$201=A745),单次交易!$H$2:$H$201),0)+SUMIFS($G$2:$G$1001,$A$2:$A$1001,A745,$B$2:$B$1001,"&lt;"&amp;B745))</f>
        <v/>
      </c>
      <c r="J745" s="17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17" t="str">
        <f t="shared" si="89"/>
        <v/>
      </c>
      <c r="L745" s="18" t="str">
        <f t="shared" si="90"/>
        <v/>
      </c>
      <c r="M745" s="18" t="str">
        <f t="shared" si="91"/>
        <v/>
      </c>
      <c r="N745" s="18" t="str">
        <f t="shared" si="92"/>
        <v/>
      </c>
      <c r="O745" s="18" t="str">
        <f t="shared" si="93"/>
        <v/>
      </c>
      <c r="P745" s="17" t="str">
        <f t="shared" si="94"/>
        <v/>
      </c>
      <c r="Q745" s="17" t="str">
        <f t="shared" si="95"/>
        <v/>
      </c>
      <c r="R745" s="19" t="str">
        <f ca="1">IF(A745="","",IF(COUNTIF(_TradeIds,A745)=0,"违规：交易编号不存在",IF(OR(B745="",B745&lt;1,B745&gt;5,B745&lt;&gt;INT(B745)),"违规：加仓序号须为1到5的整数",IF(COUNTIFS($A$2:$A$1001,A745,$B$2:$B$1001,B745)&gt;1,"违规：同一交易的加仓序号重复",IF(OR(D745="",E745="",F745=""),"计划不完整：请填写加仓价、新止损价和风险预算",IF(OR(D745&lt;=0,E745&lt;=0,F745&lt;=0,D745&lt;=E745),"违规：加仓价必须高于新止损价，金额须大于0",IF(AND(B745&gt;1,COUNTIFS($A$2:$A$1001,A745,$B$2:$B$1001,B745-1,$G$2:$G$1001,"&gt;0")=0),"违规：须先完成上一次加仓",IF(AND(B745&gt;1,E745&lt;SUMIFS($E$2:$E$1001,$A$2:$A$1001,A745,$B$2:$B$1001,B745-1)),"违规：新止损价不得低于上一次",IF(AND(B745&gt;1,F745&gt;SUMIFS($F$2:$F$1001,$A$2:$A$1001,A745,$B$2:$B$1001,B745-1)),"违规：风险预算须逐次不增加",IF(OR(_LockStatus="已锁仓",_LockStatus="解锁信息不完整"),"违规：锁仓期间禁止加仓",IF(G745="","计划可执行：建议股数见N列",IF(OR(G745&lt;=0,G745&lt;&gt;INT(G745),MOD(G745,100)&lt;&gt;0),"违规：实际股数须为100股整数倍",IF(G745&gt;N745,"违规：实际股数超过风险或金字塔上限",IF(AND(B745&gt;1,G745&gt;SUMIFS($G$2:$G$1001,$A$2:$A$1001,A745,$B$2:$B$1001,B745-1)),"违规：加仓股数须逐次不增加",IF(Q745&gt;F745,"违规：止损风险超过本次预算","通过")))))))))))))))</f>
        <v/>
      </c>
    </row>
    <row r="746" ht="17" spans="1:18">
      <c r="A746" s="13"/>
      <c r="B746" s="14"/>
      <c r="C746" s="15"/>
      <c r="D746" s="16"/>
      <c r="E746" s="16"/>
      <c r="F746" s="16"/>
      <c r="G746" s="14"/>
      <c r="H746" s="17" t="str">
        <f t="shared" si="88"/>
        <v/>
      </c>
      <c r="I746" s="18" t="str">
        <f>IF(OR(A746="",B746=""),"",IFERROR(LOOKUP(2,1/(单次交易!$A$2:$A$201=A746),单次交易!$H$2:$H$201),0)+SUMIFS($G$2:$G$1001,$A$2:$A$1001,A746,$B$2:$B$1001,"&lt;"&amp;B746))</f>
        <v/>
      </c>
      <c r="J746" s="17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17" t="str">
        <f t="shared" si="89"/>
        <v/>
      </c>
      <c r="L746" s="18" t="str">
        <f t="shared" si="90"/>
        <v/>
      </c>
      <c r="M746" s="18" t="str">
        <f t="shared" si="91"/>
        <v/>
      </c>
      <c r="N746" s="18" t="str">
        <f t="shared" si="92"/>
        <v/>
      </c>
      <c r="O746" s="18" t="str">
        <f t="shared" si="93"/>
        <v/>
      </c>
      <c r="P746" s="17" t="str">
        <f t="shared" si="94"/>
        <v/>
      </c>
      <c r="Q746" s="17" t="str">
        <f t="shared" si="95"/>
        <v/>
      </c>
      <c r="R746" s="19" t="str">
        <f ca="1">IF(A746="","",IF(COUNTIF(_TradeIds,A746)=0,"违规：交易编号不存在",IF(OR(B746="",B746&lt;1,B746&gt;5,B746&lt;&gt;INT(B746)),"违规：加仓序号须为1到5的整数",IF(COUNTIFS($A$2:$A$1001,A746,$B$2:$B$1001,B746)&gt;1,"违规：同一交易的加仓序号重复",IF(OR(D746="",E746="",F746=""),"计划不完整：请填写加仓价、新止损价和风险预算",IF(OR(D746&lt;=0,E746&lt;=0,F746&lt;=0,D746&lt;=E746),"违规：加仓价必须高于新止损价，金额须大于0",IF(AND(B746&gt;1,COUNTIFS($A$2:$A$1001,A746,$B$2:$B$1001,B746-1,$G$2:$G$1001,"&gt;0")=0),"违规：须先完成上一次加仓",IF(AND(B746&gt;1,E746&lt;SUMIFS($E$2:$E$1001,$A$2:$A$1001,A746,$B$2:$B$1001,B746-1)),"违规：新止损价不得低于上一次",IF(AND(B746&gt;1,F746&gt;SUMIFS($F$2:$F$1001,$A$2:$A$1001,A746,$B$2:$B$1001,B746-1)),"违规：风险预算须逐次不增加",IF(OR(_LockStatus="已锁仓",_LockStatus="解锁信息不完整"),"违规：锁仓期间禁止加仓",IF(G746="","计划可执行：建议股数见N列",IF(OR(G746&lt;=0,G746&lt;&gt;INT(G746),MOD(G746,100)&lt;&gt;0),"违规：实际股数须为100股整数倍",IF(G746&gt;N746,"违规：实际股数超过风险或金字塔上限",IF(AND(B746&gt;1,G746&gt;SUMIFS($G$2:$G$1001,$A$2:$A$1001,A746,$B$2:$B$1001,B746-1)),"违规：加仓股数须逐次不增加",IF(Q746&gt;F746,"违规：止损风险超过本次预算","通过")))))))))))))))</f>
        <v/>
      </c>
    </row>
    <row r="747" ht="17" spans="1:18">
      <c r="A747" s="13"/>
      <c r="B747" s="14"/>
      <c r="C747" s="15"/>
      <c r="D747" s="16"/>
      <c r="E747" s="16"/>
      <c r="F747" s="16"/>
      <c r="G747" s="14"/>
      <c r="H747" s="17" t="str">
        <f t="shared" si="88"/>
        <v/>
      </c>
      <c r="I747" s="18" t="str">
        <f>IF(OR(A747="",B747=""),"",IFERROR(LOOKUP(2,1/(单次交易!$A$2:$A$201=A747),单次交易!$H$2:$H$201),0)+SUMIFS($G$2:$G$1001,$A$2:$A$1001,A747,$B$2:$B$1001,"&lt;"&amp;B747))</f>
        <v/>
      </c>
      <c r="J747" s="17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17" t="str">
        <f t="shared" si="89"/>
        <v/>
      </c>
      <c r="L747" s="18" t="str">
        <f t="shared" si="90"/>
        <v/>
      </c>
      <c r="M747" s="18" t="str">
        <f t="shared" si="91"/>
        <v/>
      </c>
      <c r="N747" s="18" t="str">
        <f t="shared" si="92"/>
        <v/>
      </c>
      <c r="O747" s="18" t="str">
        <f t="shared" si="93"/>
        <v/>
      </c>
      <c r="P747" s="17" t="str">
        <f t="shared" si="94"/>
        <v/>
      </c>
      <c r="Q747" s="17" t="str">
        <f t="shared" si="95"/>
        <v/>
      </c>
      <c r="R747" s="19" t="str">
        <f ca="1">IF(A747="","",IF(COUNTIF(_TradeIds,A747)=0,"违规：交易编号不存在",IF(OR(B747="",B747&lt;1,B747&gt;5,B747&lt;&gt;INT(B747)),"违规：加仓序号须为1到5的整数",IF(COUNTIFS($A$2:$A$1001,A747,$B$2:$B$1001,B747)&gt;1,"违规：同一交易的加仓序号重复",IF(OR(D747="",E747="",F747=""),"计划不完整：请填写加仓价、新止损价和风险预算",IF(OR(D747&lt;=0,E747&lt;=0,F747&lt;=0,D747&lt;=E747),"违规：加仓价必须高于新止损价，金额须大于0",IF(AND(B747&gt;1,COUNTIFS($A$2:$A$1001,A747,$B$2:$B$1001,B747-1,$G$2:$G$1001,"&gt;0")=0),"违规：须先完成上一次加仓",IF(AND(B747&gt;1,E747&lt;SUMIFS($E$2:$E$1001,$A$2:$A$1001,A747,$B$2:$B$1001,B747-1)),"违规：新止损价不得低于上一次",IF(AND(B747&gt;1,F747&gt;SUMIFS($F$2:$F$1001,$A$2:$A$1001,A747,$B$2:$B$1001,B747-1)),"违规：风险预算须逐次不增加",IF(OR(_LockStatus="已锁仓",_LockStatus="解锁信息不完整"),"违规：锁仓期间禁止加仓",IF(G747="","计划可执行：建议股数见N列",IF(OR(G747&lt;=0,G747&lt;&gt;INT(G747),MOD(G747,100)&lt;&gt;0),"违规：实际股数须为100股整数倍",IF(G747&gt;N747,"违规：实际股数超过风险或金字塔上限",IF(AND(B747&gt;1,G747&gt;SUMIFS($G$2:$G$1001,$A$2:$A$1001,A747,$B$2:$B$1001,B747-1)),"违规：加仓股数须逐次不增加",IF(Q747&gt;F747,"违规：止损风险超过本次预算","通过")))))))))))))))</f>
        <v/>
      </c>
    </row>
    <row r="748" ht="17" spans="1:18">
      <c r="A748" s="13"/>
      <c r="B748" s="14"/>
      <c r="C748" s="15"/>
      <c r="D748" s="16"/>
      <c r="E748" s="16"/>
      <c r="F748" s="16"/>
      <c r="G748" s="14"/>
      <c r="H748" s="17" t="str">
        <f t="shared" si="88"/>
        <v/>
      </c>
      <c r="I748" s="18" t="str">
        <f>IF(OR(A748="",B748=""),"",IFERROR(LOOKUP(2,1/(单次交易!$A$2:$A$201=A748),单次交易!$H$2:$H$201),0)+SUMIFS($G$2:$G$1001,$A$2:$A$1001,A748,$B$2:$B$1001,"&lt;"&amp;B748))</f>
        <v/>
      </c>
      <c r="J748" s="17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17" t="str">
        <f t="shared" si="89"/>
        <v/>
      </c>
      <c r="L748" s="18" t="str">
        <f t="shared" si="90"/>
        <v/>
      </c>
      <c r="M748" s="18" t="str">
        <f t="shared" si="91"/>
        <v/>
      </c>
      <c r="N748" s="18" t="str">
        <f t="shared" si="92"/>
        <v/>
      </c>
      <c r="O748" s="18" t="str">
        <f t="shared" si="93"/>
        <v/>
      </c>
      <c r="P748" s="17" t="str">
        <f t="shared" si="94"/>
        <v/>
      </c>
      <c r="Q748" s="17" t="str">
        <f t="shared" si="95"/>
        <v/>
      </c>
      <c r="R748" s="19" t="str">
        <f ca="1">IF(A748="","",IF(COUNTIF(_TradeIds,A748)=0,"违规：交易编号不存在",IF(OR(B748="",B748&lt;1,B748&gt;5,B748&lt;&gt;INT(B748)),"违规：加仓序号须为1到5的整数",IF(COUNTIFS($A$2:$A$1001,A748,$B$2:$B$1001,B748)&gt;1,"违规：同一交易的加仓序号重复",IF(OR(D748="",E748="",F748=""),"计划不完整：请填写加仓价、新止损价和风险预算",IF(OR(D748&lt;=0,E748&lt;=0,F748&lt;=0,D748&lt;=E748),"违规：加仓价必须高于新止损价，金额须大于0",IF(AND(B748&gt;1,COUNTIFS($A$2:$A$1001,A748,$B$2:$B$1001,B748-1,$G$2:$G$1001,"&gt;0")=0),"违规：须先完成上一次加仓",IF(AND(B748&gt;1,E748&lt;SUMIFS($E$2:$E$1001,$A$2:$A$1001,A748,$B$2:$B$1001,B748-1)),"违规：新止损价不得低于上一次",IF(AND(B748&gt;1,F748&gt;SUMIFS($F$2:$F$1001,$A$2:$A$1001,A748,$B$2:$B$1001,B748-1)),"违规：风险预算须逐次不增加",IF(OR(_LockStatus="已锁仓",_LockStatus="解锁信息不完整"),"违规：锁仓期间禁止加仓",IF(G748="","计划可执行：建议股数见N列",IF(OR(G748&lt;=0,G748&lt;&gt;INT(G748),MOD(G748,100)&lt;&gt;0),"违规：实际股数须为100股整数倍",IF(G748&gt;N748,"违规：实际股数超过风险或金字塔上限",IF(AND(B748&gt;1,G748&gt;SUMIFS($G$2:$G$1001,$A$2:$A$1001,A748,$B$2:$B$1001,B748-1)),"违规：加仓股数须逐次不增加",IF(Q748&gt;F748,"违规：止损风险超过本次预算","通过")))))))))))))))</f>
        <v/>
      </c>
    </row>
    <row r="749" ht="17" spans="1:18">
      <c r="A749" s="13"/>
      <c r="B749" s="14"/>
      <c r="C749" s="15"/>
      <c r="D749" s="16"/>
      <c r="E749" s="16"/>
      <c r="F749" s="16"/>
      <c r="G749" s="14"/>
      <c r="H749" s="17" t="str">
        <f t="shared" si="88"/>
        <v/>
      </c>
      <c r="I749" s="18" t="str">
        <f>IF(OR(A749="",B749=""),"",IFERROR(LOOKUP(2,1/(单次交易!$A$2:$A$201=A749),单次交易!$H$2:$H$201),0)+SUMIFS($G$2:$G$1001,$A$2:$A$1001,A749,$B$2:$B$1001,"&lt;"&amp;B749))</f>
        <v/>
      </c>
      <c r="J749" s="17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17" t="str">
        <f t="shared" si="89"/>
        <v/>
      </c>
      <c r="L749" s="18" t="str">
        <f t="shared" si="90"/>
        <v/>
      </c>
      <c r="M749" s="18" t="str">
        <f t="shared" si="91"/>
        <v/>
      </c>
      <c r="N749" s="18" t="str">
        <f t="shared" si="92"/>
        <v/>
      </c>
      <c r="O749" s="18" t="str">
        <f t="shared" si="93"/>
        <v/>
      </c>
      <c r="P749" s="17" t="str">
        <f t="shared" si="94"/>
        <v/>
      </c>
      <c r="Q749" s="17" t="str">
        <f t="shared" si="95"/>
        <v/>
      </c>
      <c r="R749" s="19" t="str">
        <f ca="1">IF(A749="","",IF(COUNTIF(_TradeIds,A749)=0,"违规：交易编号不存在",IF(OR(B749="",B749&lt;1,B749&gt;5,B749&lt;&gt;INT(B749)),"违规：加仓序号须为1到5的整数",IF(COUNTIFS($A$2:$A$1001,A749,$B$2:$B$1001,B749)&gt;1,"违规：同一交易的加仓序号重复",IF(OR(D749="",E749="",F749=""),"计划不完整：请填写加仓价、新止损价和风险预算",IF(OR(D749&lt;=0,E749&lt;=0,F749&lt;=0,D749&lt;=E749),"违规：加仓价必须高于新止损价，金额须大于0",IF(AND(B749&gt;1,COUNTIFS($A$2:$A$1001,A749,$B$2:$B$1001,B749-1,$G$2:$G$1001,"&gt;0")=0),"违规：须先完成上一次加仓",IF(AND(B749&gt;1,E749&lt;SUMIFS($E$2:$E$1001,$A$2:$A$1001,A749,$B$2:$B$1001,B749-1)),"违规：新止损价不得低于上一次",IF(AND(B749&gt;1,F749&gt;SUMIFS($F$2:$F$1001,$A$2:$A$1001,A749,$B$2:$B$1001,B749-1)),"违规：风险预算须逐次不增加",IF(OR(_LockStatus="已锁仓",_LockStatus="解锁信息不完整"),"违规：锁仓期间禁止加仓",IF(G749="","计划可执行：建议股数见N列",IF(OR(G749&lt;=0,G749&lt;&gt;INT(G749),MOD(G749,100)&lt;&gt;0),"违规：实际股数须为100股整数倍",IF(G749&gt;N749,"违规：实际股数超过风险或金字塔上限",IF(AND(B749&gt;1,G749&gt;SUMIFS($G$2:$G$1001,$A$2:$A$1001,A749,$B$2:$B$1001,B749-1)),"违规：加仓股数须逐次不增加",IF(Q749&gt;F749,"违规：止损风险超过本次预算","通过")))))))))))))))</f>
        <v/>
      </c>
    </row>
    <row r="750" ht="17" spans="1:18">
      <c r="A750" s="13"/>
      <c r="B750" s="14"/>
      <c r="C750" s="15"/>
      <c r="D750" s="16"/>
      <c r="E750" s="16"/>
      <c r="F750" s="16"/>
      <c r="G750" s="14"/>
      <c r="H750" s="17" t="str">
        <f t="shared" si="88"/>
        <v/>
      </c>
      <c r="I750" s="18" t="str">
        <f>IF(OR(A750="",B750=""),"",IFERROR(LOOKUP(2,1/(单次交易!$A$2:$A$201=A750),单次交易!$H$2:$H$201),0)+SUMIFS($G$2:$G$1001,$A$2:$A$1001,A750,$B$2:$B$1001,"&lt;"&amp;B750))</f>
        <v/>
      </c>
      <c r="J750" s="17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17" t="str">
        <f t="shared" si="89"/>
        <v/>
      </c>
      <c r="L750" s="18" t="str">
        <f t="shared" si="90"/>
        <v/>
      </c>
      <c r="M750" s="18" t="str">
        <f t="shared" si="91"/>
        <v/>
      </c>
      <c r="N750" s="18" t="str">
        <f t="shared" si="92"/>
        <v/>
      </c>
      <c r="O750" s="18" t="str">
        <f t="shared" si="93"/>
        <v/>
      </c>
      <c r="P750" s="17" t="str">
        <f t="shared" si="94"/>
        <v/>
      </c>
      <c r="Q750" s="17" t="str">
        <f t="shared" si="95"/>
        <v/>
      </c>
      <c r="R750" s="19" t="str">
        <f ca="1">IF(A750="","",IF(COUNTIF(_TradeIds,A750)=0,"违规：交易编号不存在",IF(OR(B750="",B750&lt;1,B750&gt;5,B750&lt;&gt;INT(B750)),"违规：加仓序号须为1到5的整数",IF(COUNTIFS($A$2:$A$1001,A750,$B$2:$B$1001,B750)&gt;1,"违规：同一交易的加仓序号重复",IF(OR(D750="",E750="",F750=""),"计划不完整：请填写加仓价、新止损价和风险预算",IF(OR(D750&lt;=0,E750&lt;=0,F750&lt;=0,D750&lt;=E750),"违规：加仓价必须高于新止损价，金额须大于0",IF(AND(B750&gt;1,COUNTIFS($A$2:$A$1001,A750,$B$2:$B$1001,B750-1,$G$2:$G$1001,"&gt;0")=0),"违规：须先完成上一次加仓",IF(AND(B750&gt;1,E750&lt;SUMIFS($E$2:$E$1001,$A$2:$A$1001,A750,$B$2:$B$1001,B750-1)),"违规：新止损价不得低于上一次",IF(AND(B750&gt;1,F750&gt;SUMIFS($F$2:$F$1001,$A$2:$A$1001,A750,$B$2:$B$1001,B750-1)),"违规：风险预算须逐次不增加",IF(OR(_LockStatus="已锁仓",_LockStatus="解锁信息不完整"),"违规：锁仓期间禁止加仓",IF(G750="","计划可执行：建议股数见N列",IF(OR(G750&lt;=0,G750&lt;&gt;INT(G750),MOD(G750,100)&lt;&gt;0),"违规：实际股数须为100股整数倍",IF(G750&gt;N750,"违规：实际股数超过风险或金字塔上限",IF(AND(B750&gt;1,G750&gt;SUMIFS($G$2:$G$1001,$A$2:$A$1001,A750,$B$2:$B$1001,B750-1)),"违规：加仓股数须逐次不增加",IF(Q750&gt;F750,"违规：止损风险超过本次预算","通过")))))))))))))))</f>
        <v/>
      </c>
    </row>
    <row r="751" ht="17" spans="1:18">
      <c r="A751" s="13"/>
      <c r="B751" s="14"/>
      <c r="C751" s="15"/>
      <c r="D751" s="16"/>
      <c r="E751" s="16"/>
      <c r="F751" s="16"/>
      <c r="G751" s="14"/>
      <c r="H751" s="17" t="str">
        <f t="shared" si="88"/>
        <v/>
      </c>
      <c r="I751" s="18" t="str">
        <f>IF(OR(A751="",B751=""),"",IFERROR(LOOKUP(2,1/(单次交易!$A$2:$A$201=A751),单次交易!$H$2:$H$201),0)+SUMIFS($G$2:$G$1001,$A$2:$A$1001,A751,$B$2:$B$1001,"&lt;"&amp;B751))</f>
        <v/>
      </c>
      <c r="J751" s="17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17" t="str">
        <f t="shared" si="89"/>
        <v/>
      </c>
      <c r="L751" s="18" t="str">
        <f t="shared" si="90"/>
        <v/>
      </c>
      <c r="M751" s="18" t="str">
        <f t="shared" si="91"/>
        <v/>
      </c>
      <c r="N751" s="18" t="str">
        <f t="shared" si="92"/>
        <v/>
      </c>
      <c r="O751" s="18" t="str">
        <f t="shared" si="93"/>
        <v/>
      </c>
      <c r="P751" s="17" t="str">
        <f t="shared" si="94"/>
        <v/>
      </c>
      <c r="Q751" s="17" t="str">
        <f t="shared" si="95"/>
        <v/>
      </c>
      <c r="R751" s="19" t="str">
        <f ca="1">IF(A751="","",IF(COUNTIF(_TradeIds,A751)=0,"违规：交易编号不存在",IF(OR(B751="",B751&lt;1,B751&gt;5,B751&lt;&gt;INT(B751)),"违规：加仓序号须为1到5的整数",IF(COUNTIFS($A$2:$A$1001,A751,$B$2:$B$1001,B751)&gt;1,"违规：同一交易的加仓序号重复",IF(OR(D751="",E751="",F751=""),"计划不完整：请填写加仓价、新止损价和风险预算",IF(OR(D751&lt;=0,E751&lt;=0,F751&lt;=0,D751&lt;=E751),"违规：加仓价必须高于新止损价，金额须大于0",IF(AND(B751&gt;1,COUNTIFS($A$2:$A$1001,A751,$B$2:$B$1001,B751-1,$G$2:$G$1001,"&gt;0")=0),"违规：须先完成上一次加仓",IF(AND(B751&gt;1,E751&lt;SUMIFS($E$2:$E$1001,$A$2:$A$1001,A751,$B$2:$B$1001,B751-1)),"违规：新止损价不得低于上一次",IF(AND(B751&gt;1,F751&gt;SUMIFS($F$2:$F$1001,$A$2:$A$1001,A751,$B$2:$B$1001,B751-1)),"违规：风险预算须逐次不增加",IF(OR(_LockStatus="已锁仓",_LockStatus="解锁信息不完整"),"违规：锁仓期间禁止加仓",IF(G751="","计划可执行：建议股数见N列",IF(OR(G751&lt;=0,G751&lt;&gt;INT(G751),MOD(G751,100)&lt;&gt;0),"违规：实际股数须为100股整数倍",IF(G751&gt;N751,"违规：实际股数超过风险或金字塔上限",IF(AND(B751&gt;1,G751&gt;SUMIFS($G$2:$G$1001,$A$2:$A$1001,A751,$B$2:$B$1001,B751-1)),"违规：加仓股数须逐次不增加",IF(Q751&gt;F751,"违规：止损风险超过本次预算","通过")))))))))))))))</f>
        <v/>
      </c>
    </row>
    <row r="752" ht="17" spans="1:18">
      <c r="A752" s="13"/>
      <c r="B752" s="14"/>
      <c r="C752" s="15"/>
      <c r="D752" s="16"/>
      <c r="E752" s="16"/>
      <c r="F752" s="16"/>
      <c r="G752" s="14"/>
      <c r="H752" s="17" t="str">
        <f t="shared" si="88"/>
        <v/>
      </c>
      <c r="I752" s="18" t="str">
        <f>IF(OR(A752="",B752=""),"",IFERROR(LOOKUP(2,1/(单次交易!$A$2:$A$201=A752),单次交易!$H$2:$H$201),0)+SUMIFS($G$2:$G$1001,$A$2:$A$1001,A752,$B$2:$B$1001,"&lt;"&amp;B752))</f>
        <v/>
      </c>
      <c r="J752" s="17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17" t="str">
        <f t="shared" si="89"/>
        <v/>
      </c>
      <c r="L752" s="18" t="str">
        <f t="shared" si="90"/>
        <v/>
      </c>
      <c r="M752" s="18" t="str">
        <f t="shared" si="91"/>
        <v/>
      </c>
      <c r="N752" s="18" t="str">
        <f t="shared" si="92"/>
        <v/>
      </c>
      <c r="O752" s="18" t="str">
        <f t="shared" si="93"/>
        <v/>
      </c>
      <c r="P752" s="17" t="str">
        <f t="shared" si="94"/>
        <v/>
      </c>
      <c r="Q752" s="17" t="str">
        <f t="shared" si="95"/>
        <v/>
      </c>
      <c r="R752" s="19" t="str">
        <f ca="1">IF(A752="","",IF(COUNTIF(_TradeIds,A752)=0,"违规：交易编号不存在",IF(OR(B752="",B752&lt;1,B752&gt;5,B752&lt;&gt;INT(B752)),"违规：加仓序号须为1到5的整数",IF(COUNTIFS($A$2:$A$1001,A752,$B$2:$B$1001,B752)&gt;1,"违规：同一交易的加仓序号重复",IF(OR(D752="",E752="",F752=""),"计划不完整：请填写加仓价、新止损价和风险预算",IF(OR(D752&lt;=0,E752&lt;=0,F752&lt;=0,D752&lt;=E752),"违规：加仓价必须高于新止损价，金额须大于0",IF(AND(B752&gt;1,COUNTIFS($A$2:$A$1001,A752,$B$2:$B$1001,B752-1,$G$2:$G$1001,"&gt;0")=0),"违规：须先完成上一次加仓",IF(AND(B752&gt;1,E752&lt;SUMIFS($E$2:$E$1001,$A$2:$A$1001,A752,$B$2:$B$1001,B752-1)),"违规：新止损价不得低于上一次",IF(AND(B752&gt;1,F752&gt;SUMIFS($F$2:$F$1001,$A$2:$A$1001,A752,$B$2:$B$1001,B752-1)),"违规：风险预算须逐次不增加",IF(OR(_LockStatus="已锁仓",_LockStatus="解锁信息不完整"),"违规：锁仓期间禁止加仓",IF(G752="","计划可执行：建议股数见N列",IF(OR(G752&lt;=0,G752&lt;&gt;INT(G752),MOD(G752,100)&lt;&gt;0),"违规：实际股数须为100股整数倍",IF(G752&gt;N752,"违规：实际股数超过风险或金字塔上限",IF(AND(B752&gt;1,G752&gt;SUMIFS($G$2:$G$1001,$A$2:$A$1001,A752,$B$2:$B$1001,B752-1)),"违规：加仓股数须逐次不增加",IF(Q752&gt;F752,"违规：止损风险超过本次预算","通过")))))))))))))))</f>
        <v/>
      </c>
    </row>
    <row r="753" ht="17" spans="1:18">
      <c r="A753" s="13"/>
      <c r="B753" s="14"/>
      <c r="C753" s="15"/>
      <c r="D753" s="16"/>
      <c r="E753" s="16"/>
      <c r="F753" s="16"/>
      <c r="G753" s="14"/>
      <c r="H753" s="17" t="str">
        <f t="shared" si="88"/>
        <v/>
      </c>
      <c r="I753" s="18" t="str">
        <f>IF(OR(A753="",B753=""),"",IFERROR(LOOKUP(2,1/(单次交易!$A$2:$A$201=A753),单次交易!$H$2:$H$201),0)+SUMIFS($G$2:$G$1001,$A$2:$A$1001,A753,$B$2:$B$1001,"&lt;"&amp;B753))</f>
        <v/>
      </c>
      <c r="J753" s="17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17" t="str">
        <f t="shared" si="89"/>
        <v/>
      </c>
      <c r="L753" s="18" t="str">
        <f t="shared" si="90"/>
        <v/>
      </c>
      <c r="M753" s="18" t="str">
        <f t="shared" si="91"/>
        <v/>
      </c>
      <c r="N753" s="18" t="str">
        <f t="shared" si="92"/>
        <v/>
      </c>
      <c r="O753" s="18" t="str">
        <f t="shared" si="93"/>
        <v/>
      </c>
      <c r="P753" s="17" t="str">
        <f t="shared" si="94"/>
        <v/>
      </c>
      <c r="Q753" s="17" t="str">
        <f t="shared" si="95"/>
        <v/>
      </c>
      <c r="R753" s="19" t="str">
        <f ca="1">IF(A753="","",IF(COUNTIF(_TradeIds,A753)=0,"违规：交易编号不存在",IF(OR(B753="",B753&lt;1,B753&gt;5,B753&lt;&gt;INT(B753)),"违规：加仓序号须为1到5的整数",IF(COUNTIFS($A$2:$A$1001,A753,$B$2:$B$1001,B753)&gt;1,"违规：同一交易的加仓序号重复",IF(OR(D753="",E753="",F753=""),"计划不完整：请填写加仓价、新止损价和风险预算",IF(OR(D753&lt;=0,E753&lt;=0,F753&lt;=0,D753&lt;=E753),"违规：加仓价必须高于新止损价，金额须大于0",IF(AND(B753&gt;1,COUNTIFS($A$2:$A$1001,A753,$B$2:$B$1001,B753-1,$G$2:$G$1001,"&gt;0")=0),"违规：须先完成上一次加仓",IF(AND(B753&gt;1,E753&lt;SUMIFS($E$2:$E$1001,$A$2:$A$1001,A753,$B$2:$B$1001,B753-1)),"违规：新止损价不得低于上一次",IF(AND(B753&gt;1,F753&gt;SUMIFS($F$2:$F$1001,$A$2:$A$1001,A753,$B$2:$B$1001,B753-1)),"违规：风险预算须逐次不增加",IF(OR(_LockStatus="已锁仓",_LockStatus="解锁信息不完整"),"违规：锁仓期间禁止加仓",IF(G753="","计划可执行：建议股数见N列",IF(OR(G753&lt;=0,G753&lt;&gt;INT(G753),MOD(G753,100)&lt;&gt;0),"违规：实际股数须为100股整数倍",IF(G753&gt;N753,"违规：实际股数超过风险或金字塔上限",IF(AND(B753&gt;1,G753&gt;SUMIFS($G$2:$G$1001,$A$2:$A$1001,A753,$B$2:$B$1001,B753-1)),"违规：加仓股数须逐次不增加",IF(Q753&gt;F753,"违规：止损风险超过本次预算","通过")))))))))))))))</f>
        <v/>
      </c>
    </row>
    <row r="754" ht="17" spans="1:18">
      <c r="A754" s="13"/>
      <c r="B754" s="14"/>
      <c r="C754" s="15"/>
      <c r="D754" s="16"/>
      <c r="E754" s="16"/>
      <c r="F754" s="16"/>
      <c r="G754" s="14"/>
      <c r="H754" s="17" t="str">
        <f t="shared" si="88"/>
        <v/>
      </c>
      <c r="I754" s="18" t="str">
        <f>IF(OR(A754="",B754=""),"",IFERROR(LOOKUP(2,1/(单次交易!$A$2:$A$201=A754),单次交易!$H$2:$H$201),0)+SUMIFS($G$2:$G$1001,$A$2:$A$1001,A754,$B$2:$B$1001,"&lt;"&amp;B754))</f>
        <v/>
      </c>
      <c r="J754" s="17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17" t="str">
        <f t="shared" si="89"/>
        <v/>
      </c>
      <c r="L754" s="18" t="str">
        <f t="shared" si="90"/>
        <v/>
      </c>
      <c r="M754" s="18" t="str">
        <f t="shared" si="91"/>
        <v/>
      </c>
      <c r="N754" s="18" t="str">
        <f t="shared" si="92"/>
        <v/>
      </c>
      <c r="O754" s="18" t="str">
        <f t="shared" si="93"/>
        <v/>
      </c>
      <c r="P754" s="17" t="str">
        <f t="shared" si="94"/>
        <v/>
      </c>
      <c r="Q754" s="17" t="str">
        <f t="shared" si="95"/>
        <v/>
      </c>
      <c r="R754" s="19" t="str">
        <f ca="1">IF(A754="","",IF(COUNTIF(_TradeIds,A754)=0,"违规：交易编号不存在",IF(OR(B754="",B754&lt;1,B754&gt;5,B754&lt;&gt;INT(B754)),"违规：加仓序号须为1到5的整数",IF(COUNTIFS($A$2:$A$1001,A754,$B$2:$B$1001,B754)&gt;1,"违规：同一交易的加仓序号重复",IF(OR(D754="",E754="",F754=""),"计划不完整：请填写加仓价、新止损价和风险预算",IF(OR(D754&lt;=0,E754&lt;=0,F754&lt;=0,D754&lt;=E754),"违规：加仓价必须高于新止损价，金额须大于0",IF(AND(B754&gt;1,COUNTIFS($A$2:$A$1001,A754,$B$2:$B$1001,B754-1,$G$2:$G$1001,"&gt;0")=0),"违规：须先完成上一次加仓",IF(AND(B754&gt;1,E754&lt;SUMIFS($E$2:$E$1001,$A$2:$A$1001,A754,$B$2:$B$1001,B754-1)),"违规：新止损价不得低于上一次",IF(AND(B754&gt;1,F754&gt;SUMIFS($F$2:$F$1001,$A$2:$A$1001,A754,$B$2:$B$1001,B754-1)),"违规：风险预算须逐次不增加",IF(OR(_LockStatus="已锁仓",_LockStatus="解锁信息不完整"),"违规：锁仓期间禁止加仓",IF(G754="","计划可执行：建议股数见N列",IF(OR(G754&lt;=0,G754&lt;&gt;INT(G754),MOD(G754,100)&lt;&gt;0),"违规：实际股数须为100股整数倍",IF(G754&gt;N754,"违规：实际股数超过风险或金字塔上限",IF(AND(B754&gt;1,G754&gt;SUMIFS($G$2:$G$1001,$A$2:$A$1001,A754,$B$2:$B$1001,B754-1)),"违规：加仓股数须逐次不增加",IF(Q754&gt;F754,"违规：止损风险超过本次预算","通过")))))))))))))))</f>
        <v/>
      </c>
    </row>
    <row r="755" ht="17" spans="1:18">
      <c r="A755" s="13"/>
      <c r="B755" s="14"/>
      <c r="C755" s="15"/>
      <c r="D755" s="16"/>
      <c r="E755" s="16"/>
      <c r="F755" s="16"/>
      <c r="G755" s="14"/>
      <c r="H755" s="17" t="str">
        <f t="shared" si="88"/>
        <v/>
      </c>
      <c r="I755" s="18" t="str">
        <f>IF(OR(A755="",B755=""),"",IFERROR(LOOKUP(2,1/(单次交易!$A$2:$A$201=A755),单次交易!$H$2:$H$201),0)+SUMIFS($G$2:$G$1001,$A$2:$A$1001,A755,$B$2:$B$1001,"&lt;"&amp;B755))</f>
        <v/>
      </c>
      <c r="J755" s="17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17" t="str">
        <f t="shared" si="89"/>
        <v/>
      </c>
      <c r="L755" s="18" t="str">
        <f t="shared" si="90"/>
        <v/>
      </c>
      <c r="M755" s="18" t="str">
        <f t="shared" si="91"/>
        <v/>
      </c>
      <c r="N755" s="18" t="str">
        <f t="shared" si="92"/>
        <v/>
      </c>
      <c r="O755" s="18" t="str">
        <f t="shared" si="93"/>
        <v/>
      </c>
      <c r="P755" s="17" t="str">
        <f t="shared" si="94"/>
        <v/>
      </c>
      <c r="Q755" s="17" t="str">
        <f t="shared" si="95"/>
        <v/>
      </c>
      <c r="R755" s="19" t="str">
        <f ca="1">IF(A755="","",IF(COUNTIF(_TradeIds,A755)=0,"违规：交易编号不存在",IF(OR(B755="",B755&lt;1,B755&gt;5,B755&lt;&gt;INT(B755)),"违规：加仓序号须为1到5的整数",IF(COUNTIFS($A$2:$A$1001,A755,$B$2:$B$1001,B755)&gt;1,"违规：同一交易的加仓序号重复",IF(OR(D755="",E755="",F755=""),"计划不完整：请填写加仓价、新止损价和风险预算",IF(OR(D755&lt;=0,E755&lt;=0,F755&lt;=0,D755&lt;=E755),"违规：加仓价必须高于新止损价，金额须大于0",IF(AND(B755&gt;1,COUNTIFS($A$2:$A$1001,A755,$B$2:$B$1001,B755-1,$G$2:$G$1001,"&gt;0")=0),"违规：须先完成上一次加仓",IF(AND(B755&gt;1,E755&lt;SUMIFS($E$2:$E$1001,$A$2:$A$1001,A755,$B$2:$B$1001,B755-1)),"违规：新止损价不得低于上一次",IF(AND(B755&gt;1,F755&gt;SUMIFS($F$2:$F$1001,$A$2:$A$1001,A755,$B$2:$B$1001,B755-1)),"违规：风险预算须逐次不增加",IF(OR(_LockStatus="已锁仓",_LockStatus="解锁信息不完整"),"违规：锁仓期间禁止加仓",IF(G755="","计划可执行：建议股数见N列",IF(OR(G755&lt;=0,G755&lt;&gt;INT(G755),MOD(G755,100)&lt;&gt;0),"违规：实际股数须为100股整数倍",IF(G755&gt;N755,"违规：实际股数超过风险或金字塔上限",IF(AND(B755&gt;1,G755&gt;SUMIFS($G$2:$G$1001,$A$2:$A$1001,A755,$B$2:$B$1001,B755-1)),"违规：加仓股数须逐次不增加",IF(Q755&gt;F755,"违规：止损风险超过本次预算","通过")))))))))))))))</f>
        <v/>
      </c>
    </row>
    <row r="756" ht="17" spans="1:18">
      <c r="A756" s="13"/>
      <c r="B756" s="14"/>
      <c r="C756" s="15"/>
      <c r="D756" s="16"/>
      <c r="E756" s="16"/>
      <c r="F756" s="16"/>
      <c r="G756" s="14"/>
      <c r="H756" s="17" t="str">
        <f t="shared" si="88"/>
        <v/>
      </c>
      <c r="I756" s="18" t="str">
        <f>IF(OR(A756="",B756=""),"",IFERROR(LOOKUP(2,1/(单次交易!$A$2:$A$201=A756),单次交易!$H$2:$H$201),0)+SUMIFS($G$2:$G$1001,$A$2:$A$1001,A756,$B$2:$B$1001,"&lt;"&amp;B756))</f>
        <v/>
      </c>
      <c r="J756" s="17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17" t="str">
        <f t="shared" si="89"/>
        <v/>
      </c>
      <c r="L756" s="18" t="str">
        <f t="shared" si="90"/>
        <v/>
      </c>
      <c r="M756" s="18" t="str">
        <f t="shared" si="91"/>
        <v/>
      </c>
      <c r="N756" s="18" t="str">
        <f t="shared" si="92"/>
        <v/>
      </c>
      <c r="O756" s="18" t="str">
        <f t="shared" si="93"/>
        <v/>
      </c>
      <c r="P756" s="17" t="str">
        <f t="shared" si="94"/>
        <v/>
      </c>
      <c r="Q756" s="17" t="str">
        <f t="shared" si="95"/>
        <v/>
      </c>
      <c r="R756" s="19" t="str">
        <f ca="1">IF(A756="","",IF(COUNTIF(_TradeIds,A756)=0,"违规：交易编号不存在",IF(OR(B756="",B756&lt;1,B756&gt;5,B756&lt;&gt;INT(B756)),"违规：加仓序号须为1到5的整数",IF(COUNTIFS($A$2:$A$1001,A756,$B$2:$B$1001,B756)&gt;1,"违规：同一交易的加仓序号重复",IF(OR(D756="",E756="",F756=""),"计划不完整：请填写加仓价、新止损价和风险预算",IF(OR(D756&lt;=0,E756&lt;=0,F756&lt;=0,D756&lt;=E756),"违规：加仓价必须高于新止损价，金额须大于0",IF(AND(B756&gt;1,COUNTIFS($A$2:$A$1001,A756,$B$2:$B$1001,B756-1,$G$2:$G$1001,"&gt;0")=0),"违规：须先完成上一次加仓",IF(AND(B756&gt;1,E756&lt;SUMIFS($E$2:$E$1001,$A$2:$A$1001,A756,$B$2:$B$1001,B756-1)),"违规：新止损价不得低于上一次",IF(AND(B756&gt;1,F756&gt;SUMIFS($F$2:$F$1001,$A$2:$A$1001,A756,$B$2:$B$1001,B756-1)),"违规：风险预算须逐次不增加",IF(OR(_LockStatus="已锁仓",_LockStatus="解锁信息不完整"),"违规：锁仓期间禁止加仓",IF(G756="","计划可执行：建议股数见N列",IF(OR(G756&lt;=0,G756&lt;&gt;INT(G756),MOD(G756,100)&lt;&gt;0),"违规：实际股数须为100股整数倍",IF(G756&gt;N756,"违规：实际股数超过风险或金字塔上限",IF(AND(B756&gt;1,G756&gt;SUMIFS($G$2:$G$1001,$A$2:$A$1001,A756,$B$2:$B$1001,B756-1)),"违规：加仓股数须逐次不增加",IF(Q756&gt;F756,"违规：止损风险超过本次预算","通过")))))))))))))))</f>
        <v/>
      </c>
    </row>
    <row r="757" ht="17" spans="1:18">
      <c r="A757" s="13"/>
      <c r="B757" s="14"/>
      <c r="C757" s="15"/>
      <c r="D757" s="16"/>
      <c r="E757" s="16"/>
      <c r="F757" s="16"/>
      <c r="G757" s="14"/>
      <c r="H757" s="17" t="str">
        <f t="shared" si="88"/>
        <v/>
      </c>
      <c r="I757" s="18" t="str">
        <f>IF(OR(A757="",B757=""),"",IFERROR(LOOKUP(2,1/(单次交易!$A$2:$A$201=A757),单次交易!$H$2:$H$201),0)+SUMIFS($G$2:$G$1001,$A$2:$A$1001,A757,$B$2:$B$1001,"&lt;"&amp;B757))</f>
        <v/>
      </c>
      <c r="J757" s="17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17" t="str">
        <f t="shared" si="89"/>
        <v/>
      </c>
      <c r="L757" s="18" t="str">
        <f t="shared" si="90"/>
        <v/>
      </c>
      <c r="M757" s="18" t="str">
        <f t="shared" si="91"/>
        <v/>
      </c>
      <c r="N757" s="18" t="str">
        <f t="shared" si="92"/>
        <v/>
      </c>
      <c r="O757" s="18" t="str">
        <f t="shared" si="93"/>
        <v/>
      </c>
      <c r="P757" s="17" t="str">
        <f t="shared" si="94"/>
        <v/>
      </c>
      <c r="Q757" s="17" t="str">
        <f t="shared" si="95"/>
        <v/>
      </c>
      <c r="R757" s="19" t="str">
        <f ca="1">IF(A757="","",IF(COUNTIF(_TradeIds,A757)=0,"违规：交易编号不存在",IF(OR(B757="",B757&lt;1,B757&gt;5,B757&lt;&gt;INT(B757)),"违规：加仓序号须为1到5的整数",IF(COUNTIFS($A$2:$A$1001,A757,$B$2:$B$1001,B757)&gt;1,"违规：同一交易的加仓序号重复",IF(OR(D757="",E757="",F757=""),"计划不完整：请填写加仓价、新止损价和风险预算",IF(OR(D757&lt;=0,E757&lt;=0,F757&lt;=0,D757&lt;=E757),"违规：加仓价必须高于新止损价，金额须大于0",IF(AND(B757&gt;1,COUNTIFS($A$2:$A$1001,A757,$B$2:$B$1001,B757-1,$G$2:$G$1001,"&gt;0")=0),"违规：须先完成上一次加仓",IF(AND(B757&gt;1,E757&lt;SUMIFS($E$2:$E$1001,$A$2:$A$1001,A757,$B$2:$B$1001,B757-1)),"违规：新止损价不得低于上一次",IF(AND(B757&gt;1,F757&gt;SUMIFS($F$2:$F$1001,$A$2:$A$1001,A757,$B$2:$B$1001,B757-1)),"违规：风险预算须逐次不增加",IF(OR(_LockStatus="已锁仓",_LockStatus="解锁信息不完整"),"违规：锁仓期间禁止加仓",IF(G757="","计划可执行：建议股数见N列",IF(OR(G757&lt;=0,G757&lt;&gt;INT(G757),MOD(G757,100)&lt;&gt;0),"违规：实际股数须为100股整数倍",IF(G757&gt;N757,"违规：实际股数超过风险或金字塔上限",IF(AND(B757&gt;1,G757&gt;SUMIFS($G$2:$G$1001,$A$2:$A$1001,A757,$B$2:$B$1001,B757-1)),"违规：加仓股数须逐次不增加",IF(Q757&gt;F757,"违规：止损风险超过本次预算","通过")))))))))))))))</f>
        <v/>
      </c>
    </row>
    <row r="758" ht="17" spans="1:18">
      <c r="A758" s="13"/>
      <c r="B758" s="14"/>
      <c r="C758" s="15"/>
      <c r="D758" s="16"/>
      <c r="E758" s="16"/>
      <c r="F758" s="16"/>
      <c r="G758" s="14"/>
      <c r="H758" s="17" t="str">
        <f t="shared" si="88"/>
        <v/>
      </c>
      <c r="I758" s="18" t="str">
        <f>IF(OR(A758="",B758=""),"",IFERROR(LOOKUP(2,1/(单次交易!$A$2:$A$201=A758),单次交易!$H$2:$H$201),0)+SUMIFS($G$2:$G$1001,$A$2:$A$1001,A758,$B$2:$B$1001,"&lt;"&amp;B758))</f>
        <v/>
      </c>
      <c r="J758" s="17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17" t="str">
        <f t="shared" si="89"/>
        <v/>
      </c>
      <c r="L758" s="18" t="str">
        <f t="shared" si="90"/>
        <v/>
      </c>
      <c r="M758" s="18" t="str">
        <f t="shared" si="91"/>
        <v/>
      </c>
      <c r="N758" s="18" t="str">
        <f t="shared" si="92"/>
        <v/>
      </c>
      <c r="O758" s="18" t="str">
        <f t="shared" si="93"/>
        <v/>
      </c>
      <c r="P758" s="17" t="str">
        <f t="shared" si="94"/>
        <v/>
      </c>
      <c r="Q758" s="17" t="str">
        <f t="shared" si="95"/>
        <v/>
      </c>
      <c r="R758" s="19" t="str">
        <f ca="1">IF(A758="","",IF(COUNTIF(_TradeIds,A758)=0,"违规：交易编号不存在",IF(OR(B758="",B758&lt;1,B758&gt;5,B758&lt;&gt;INT(B758)),"违规：加仓序号须为1到5的整数",IF(COUNTIFS($A$2:$A$1001,A758,$B$2:$B$1001,B758)&gt;1,"违规：同一交易的加仓序号重复",IF(OR(D758="",E758="",F758=""),"计划不完整：请填写加仓价、新止损价和风险预算",IF(OR(D758&lt;=0,E758&lt;=0,F758&lt;=0,D758&lt;=E758),"违规：加仓价必须高于新止损价，金额须大于0",IF(AND(B758&gt;1,COUNTIFS($A$2:$A$1001,A758,$B$2:$B$1001,B758-1,$G$2:$G$1001,"&gt;0")=0),"违规：须先完成上一次加仓",IF(AND(B758&gt;1,E758&lt;SUMIFS($E$2:$E$1001,$A$2:$A$1001,A758,$B$2:$B$1001,B758-1)),"违规：新止损价不得低于上一次",IF(AND(B758&gt;1,F758&gt;SUMIFS($F$2:$F$1001,$A$2:$A$1001,A758,$B$2:$B$1001,B758-1)),"违规：风险预算须逐次不增加",IF(OR(_LockStatus="已锁仓",_LockStatus="解锁信息不完整"),"违规：锁仓期间禁止加仓",IF(G758="","计划可执行：建议股数见N列",IF(OR(G758&lt;=0,G758&lt;&gt;INT(G758),MOD(G758,100)&lt;&gt;0),"违规：实际股数须为100股整数倍",IF(G758&gt;N758,"违规：实际股数超过风险或金字塔上限",IF(AND(B758&gt;1,G758&gt;SUMIFS($G$2:$G$1001,$A$2:$A$1001,A758,$B$2:$B$1001,B758-1)),"违规：加仓股数须逐次不增加",IF(Q758&gt;F758,"违规：止损风险超过本次预算","通过")))))))))))))))</f>
        <v/>
      </c>
    </row>
    <row r="759" ht="17" spans="1:18">
      <c r="A759" s="13"/>
      <c r="B759" s="14"/>
      <c r="C759" s="15"/>
      <c r="D759" s="16"/>
      <c r="E759" s="16"/>
      <c r="F759" s="16"/>
      <c r="G759" s="14"/>
      <c r="H759" s="17" t="str">
        <f t="shared" si="88"/>
        <v/>
      </c>
      <c r="I759" s="18" t="str">
        <f>IF(OR(A759="",B759=""),"",IFERROR(LOOKUP(2,1/(单次交易!$A$2:$A$201=A759),单次交易!$H$2:$H$201),0)+SUMIFS($G$2:$G$1001,$A$2:$A$1001,A759,$B$2:$B$1001,"&lt;"&amp;B759))</f>
        <v/>
      </c>
      <c r="J759" s="17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17" t="str">
        <f t="shared" si="89"/>
        <v/>
      </c>
      <c r="L759" s="18" t="str">
        <f t="shared" si="90"/>
        <v/>
      </c>
      <c r="M759" s="18" t="str">
        <f t="shared" si="91"/>
        <v/>
      </c>
      <c r="N759" s="18" t="str">
        <f t="shared" si="92"/>
        <v/>
      </c>
      <c r="O759" s="18" t="str">
        <f t="shared" si="93"/>
        <v/>
      </c>
      <c r="P759" s="17" t="str">
        <f t="shared" si="94"/>
        <v/>
      </c>
      <c r="Q759" s="17" t="str">
        <f t="shared" si="95"/>
        <v/>
      </c>
      <c r="R759" s="19" t="str">
        <f ca="1">IF(A759="","",IF(COUNTIF(_TradeIds,A759)=0,"违规：交易编号不存在",IF(OR(B759="",B759&lt;1,B759&gt;5,B759&lt;&gt;INT(B759)),"违规：加仓序号须为1到5的整数",IF(COUNTIFS($A$2:$A$1001,A759,$B$2:$B$1001,B759)&gt;1,"违规：同一交易的加仓序号重复",IF(OR(D759="",E759="",F759=""),"计划不完整：请填写加仓价、新止损价和风险预算",IF(OR(D759&lt;=0,E759&lt;=0,F759&lt;=0,D759&lt;=E759),"违规：加仓价必须高于新止损价，金额须大于0",IF(AND(B759&gt;1,COUNTIFS($A$2:$A$1001,A759,$B$2:$B$1001,B759-1,$G$2:$G$1001,"&gt;0")=0),"违规：须先完成上一次加仓",IF(AND(B759&gt;1,E759&lt;SUMIFS($E$2:$E$1001,$A$2:$A$1001,A759,$B$2:$B$1001,B759-1)),"违规：新止损价不得低于上一次",IF(AND(B759&gt;1,F759&gt;SUMIFS($F$2:$F$1001,$A$2:$A$1001,A759,$B$2:$B$1001,B759-1)),"违规：风险预算须逐次不增加",IF(OR(_LockStatus="已锁仓",_LockStatus="解锁信息不完整"),"违规：锁仓期间禁止加仓",IF(G759="","计划可执行：建议股数见N列",IF(OR(G759&lt;=0,G759&lt;&gt;INT(G759),MOD(G759,100)&lt;&gt;0),"违规：实际股数须为100股整数倍",IF(G759&gt;N759,"违规：实际股数超过风险或金字塔上限",IF(AND(B759&gt;1,G759&gt;SUMIFS($G$2:$G$1001,$A$2:$A$1001,A759,$B$2:$B$1001,B759-1)),"违规：加仓股数须逐次不增加",IF(Q759&gt;F759,"违规：止损风险超过本次预算","通过")))))))))))))))</f>
        <v/>
      </c>
    </row>
    <row r="760" ht="17" spans="1:18">
      <c r="A760" s="13"/>
      <c r="B760" s="14"/>
      <c r="C760" s="15"/>
      <c r="D760" s="16"/>
      <c r="E760" s="16"/>
      <c r="F760" s="16"/>
      <c r="G760" s="14"/>
      <c r="H760" s="17" t="str">
        <f t="shared" si="88"/>
        <v/>
      </c>
      <c r="I760" s="18" t="str">
        <f>IF(OR(A760="",B760=""),"",IFERROR(LOOKUP(2,1/(单次交易!$A$2:$A$201=A760),单次交易!$H$2:$H$201),0)+SUMIFS($G$2:$G$1001,$A$2:$A$1001,A760,$B$2:$B$1001,"&lt;"&amp;B760))</f>
        <v/>
      </c>
      <c r="J760" s="17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17" t="str">
        <f t="shared" si="89"/>
        <v/>
      </c>
      <c r="L760" s="18" t="str">
        <f t="shared" si="90"/>
        <v/>
      </c>
      <c r="M760" s="18" t="str">
        <f t="shared" si="91"/>
        <v/>
      </c>
      <c r="N760" s="18" t="str">
        <f t="shared" si="92"/>
        <v/>
      </c>
      <c r="O760" s="18" t="str">
        <f t="shared" si="93"/>
        <v/>
      </c>
      <c r="P760" s="17" t="str">
        <f t="shared" si="94"/>
        <v/>
      </c>
      <c r="Q760" s="17" t="str">
        <f t="shared" si="95"/>
        <v/>
      </c>
      <c r="R760" s="19" t="str">
        <f ca="1">IF(A760="","",IF(COUNTIF(_TradeIds,A760)=0,"违规：交易编号不存在",IF(OR(B760="",B760&lt;1,B760&gt;5,B760&lt;&gt;INT(B760)),"违规：加仓序号须为1到5的整数",IF(COUNTIFS($A$2:$A$1001,A760,$B$2:$B$1001,B760)&gt;1,"违规：同一交易的加仓序号重复",IF(OR(D760="",E760="",F760=""),"计划不完整：请填写加仓价、新止损价和风险预算",IF(OR(D760&lt;=0,E760&lt;=0,F760&lt;=0,D760&lt;=E760),"违规：加仓价必须高于新止损价，金额须大于0",IF(AND(B760&gt;1,COUNTIFS($A$2:$A$1001,A760,$B$2:$B$1001,B760-1,$G$2:$G$1001,"&gt;0")=0),"违规：须先完成上一次加仓",IF(AND(B760&gt;1,E760&lt;SUMIFS($E$2:$E$1001,$A$2:$A$1001,A760,$B$2:$B$1001,B760-1)),"违规：新止损价不得低于上一次",IF(AND(B760&gt;1,F760&gt;SUMIFS($F$2:$F$1001,$A$2:$A$1001,A760,$B$2:$B$1001,B760-1)),"违规：风险预算须逐次不增加",IF(OR(_LockStatus="已锁仓",_LockStatus="解锁信息不完整"),"违规：锁仓期间禁止加仓",IF(G760="","计划可执行：建议股数见N列",IF(OR(G760&lt;=0,G760&lt;&gt;INT(G760),MOD(G760,100)&lt;&gt;0),"违规：实际股数须为100股整数倍",IF(G760&gt;N760,"违规：实际股数超过风险或金字塔上限",IF(AND(B760&gt;1,G760&gt;SUMIFS($G$2:$G$1001,$A$2:$A$1001,A760,$B$2:$B$1001,B760-1)),"违规：加仓股数须逐次不增加",IF(Q760&gt;F760,"违规：止损风险超过本次预算","通过")))))))))))))))</f>
        <v/>
      </c>
    </row>
    <row r="761" ht="17" spans="1:18">
      <c r="A761" s="13"/>
      <c r="B761" s="14"/>
      <c r="C761" s="15"/>
      <c r="D761" s="16"/>
      <c r="E761" s="16"/>
      <c r="F761" s="16"/>
      <c r="G761" s="14"/>
      <c r="H761" s="17" t="str">
        <f t="shared" si="88"/>
        <v/>
      </c>
      <c r="I761" s="18" t="str">
        <f>IF(OR(A761="",B761=""),"",IFERROR(LOOKUP(2,1/(单次交易!$A$2:$A$201=A761),单次交易!$H$2:$H$201),0)+SUMIFS($G$2:$G$1001,$A$2:$A$1001,A761,$B$2:$B$1001,"&lt;"&amp;B761))</f>
        <v/>
      </c>
      <c r="J761" s="17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17" t="str">
        <f t="shared" si="89"/>
        <v/>
      </c>
      <c r="L761" s="18" t="str">
        <f t="shared" si="90"/>
        <v/>
      </c>
      <c r="M761" s="18" t="str">
        <f t="shared" si="91"/>
        <v/>
      </c>
      <c r="N761" s="18" t="str">
        <f t="shared" si="92"/>
        <v/>
      </c>
      <c r="O761" s="18" t="str">
        <f t="shared" si="93"/>
        <v/>
      </c>
      <c r="P761" s="17" t="str">
        <f t="shared" si="94"/>
        <v/>
      </c>
      <c r="Q761" s="17" t="str">
        <f t="shared" si="95"/>
        <v/>
      </c>
      <c r="R761" s="19" t="str">
        <f ca="1">IF(A761="","",IF(COUNTIF(_TradeIds,A761)=0,"违规：交易编号不存在",IF(OR(B761="",B761&lt;1,B761&gt;5,B761&lt;&gt;INT(B761)),"违规：加仓序号须为1到5的整数",IF(COUNTIFS($A$2:$A$1001,A761,$B$2:$B$1001,B761)&gt;1,"违规：同一交易的加仓序号重复",IF(OR(D761="",E761="",F761=""),"计划不完整：请填写加仓价、新止损价和风险预算",IF(OR(D761&lt;=0,E761&lt;=0,F761&lt;=0,D761&lt;=E761),"违规：加仓价必须高于新止损价，金额须大于0",IF(AND(B761&gt;1,COUNTIFS($A$2:$A$1001,A761,$B$2:$B$1001,B761-1,$G$2:$G$1001,"&gt;0")=0),"违规：须先完成上一次加仓",IF(AND(B761&gt;1,E761&lt;SUMIFS($E$2:$E$1001,$A$2:$A$1001,A761,$B$2:$B$1001,B761-1)),"违规：新止损价不得低于上一次",IF(AND(B761&gt;1,F761&gt;SUMIFS($F$2:$F$1001,$A$2:$A$1001,A761,$B$2:$B$1001,B761-1)),"违规：风险预算须逐次不增加",IF(OR(_LockStatus="已锁仓",_LockStatus="解锁信息不完整"),"违规：锁仓期间禁止加仓",IF(G761="","计划可执行：建议股数见N列",IF(OR(G761&lt;=0,G761&lt;&gt;INT(G761),MOD(G761,100)&lt;&gt;0),"违规：实际股数须为100股整数倍",IF(G761&gt;N761,"违规：实际股数超过风险或金字塔上限",IF(AND(B761&gt;1,G761&gt;SUMIFS($G$2:$G$1001,$A$2:$A$1001,A761,$B$2:$B$1001,B761-1)),"违规：加仓股数须逐次不增加",IF(Q761&gt;F761,"违规：止损风险超过本次预算","通过")))))))))))))))</f>
        <v/>
      </c>
    </row>
    <row r="762" ht="17" spans="1:18">
      <c r="A762" s="13"/>
      <c r="B762" s="14"/>
      <c r="C762" s="15"/>
      <c r="D762" s="16"/>
      <c r="E762" s="16"/>
      <c r="F762" s="16"/>
      <c r="G762" s="14"/>
      <c r="H762" s="17" t="str">
        <f t="shared" si="88"/>
        <v/>
      </c>
      <c r="I762" s="18" t="str">
        <f>IF(OR(A762="",B762=""),"",IFERROR(LOOKUP(2,1/(单次交易!$A$2:$A$201=A762),单次交易!$H$2:$H$201),0)+SUMIFS($G$2:$G$1001,$A$2:$A$1001,A762,$B$2:$B$1001,"&lt;"&amp;B762))</f>
        <v/>
      </c>
      <c r="J762" s="17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17" t="str">
        <f t="shared" si="89"/>
        <v/>
      </c>
      <c r="L762" s="18" t="str">
        <f t="shared" si="90"/>
        <v/>
      </c>
      <c r="M762" s="18" t="str">
        <f t="shared" si="91"/>
        <v/>
      </c>
      <c r="N762" s="18" t="str">
        <f t="shared" si="92"/>
        <v/>
      </c>
      <c r="O762" s="18" t="str">
        <f t="shared" si="93"/>
        <v/>
      </c>
      <c r="P762" s="17" t="str">
        <f t="shared" si="94"/>
        <v/>
      </c>
      <c r="Q762" s="17" t="str">
        <f t="shared" si="95"/>
        <v/>
      </c>
      <c r="R762" s="19" t="str">
        <f ca="1">IF(A762="","",IF(COUNTIF(_TradeIds,A762)=0,"违规：交易编号不存在",IF(OR(B762="",B762&lt;1,B762&gt;5,B762&lt;&gt;INT(B762)),"违规：加仓序号须为1到5的整数",IF(COUNTIFS($A$2:$A$1001,A762,$B$2:$B$1001,B762)&gt;1,"违规：同一交易的加仓序号重复",IF(OR(D762="",E762="",F762=""),"计划不完整：请填写加仓价、新止损价和风险预算",IF(OR(D762&lt;=0,E762&lt;=0,F762&lt;=0,D762&lt;=E762),"违规：加仓价必须高于新止损价，金额须大于0",IF(AND(B762&gt;1,COUNTIFS($A$2:$A$1001,A762,$B$2:$B$1001,B762-1,$G$2:$G$1001,"&gt;0")=0),"违规：须先完成上一次加仓",IF(AND(B762&gt;1,E762&lt;SUMIFS($E$2:$E$1001,$A$2:$A$1001,A762,$B$2:$B$1001,B762-1)),"违规：新止损价不得低于上一次",IF(AND(B762&gt;1,F762&gt;SUMIFS($F$2:$F$1001,$A$2:$A$1001,A762,$B$2:$B$1001,B762-1)),"违规：风险预算须逐次不增加",IF(OR(_LockStatus="已锁仓",_LockStatus="解锁信息不完整"),"违规：锁仓期间禁止加仓",IF(G762="","计划可执行：建议股数见N列",IF(OR(G762&lt;=0,G762&lt;&gt;INT(G762),MOD(G762,100)&lt;&gt;0),"违规：实际股数须为100股整数倍",IF(G762&gt;N762,"违规：实际股数超过风险或金字塔上限",IF(AND(B762&gt;1,G762&gt;SUMIFS($G$2:$G$1001,$A$2:$A$1001,A762,$B$2:$B$1001,B762-1)),"违规：加仓股数须逐次不增加",IF(Q762&gt;F762,"违规：止损风险超过本次预算","通过")))))))))))))))</f>
        <v/>
      </c>
    </row>
    <row r="763" ht="17" spans="1:18">
      <c r="A763" s="13"/>
      <c r="B763" s="14"/>
      <c r="C763" s="15"/>
      <c r="D763" s="16"/>
      <c r="E763" s="16"/>
      <c r="F763" s="16"/>
      <c r="G763" s="14"/>
      <c r="H763" s="17" t="str">
        <f t="shared" si="88"/>
        <v/>
      </c>
      <c r="I763" s="18" t="str">
        <f>IF(OR(A763="",B763=""),"",IFERROR(LOOKUP(2,1/(单次交易!$A$2:$A$201=A763),单次交易!$H$2:$H$201),0)+SUMIFS($G$2:$G$1001,$A$2:$A$1001,A763,$B$2:$B$1001,"&lt;"&amp;B763))</f>
        <v/>
      </c>
      <c r="J763" s="17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17" t="str">
        <f t="shared" si="89"/>
        <v/>
      </c>
      <c r="L763" s="18" t="str">
        <f t="shared" si="90"/>
        <v/>
      </c>
      <c r="M763" s="18" t="str">
        <f t="shared" si="91"/>
        <v/>
      </c>
      <c r="N763" s="18" t="str">
        <f t="shared" si="92"/>
        <v/>
      </c>
      <c r="O763" s="18" t="str">
        <f t="shared" si="93"/>
        <v/>
      </c>
      <c r="P763" s="17" t="str">
        <f t="shared" si="94"/>
        <v/>
      </c>
      <c r="Q763" s="17" t="str">
        <f t="shared" si="95"/>
        <v/>
      </c>
      <c r="R763" s="19" t="str">
        <f ca="1">IF(A763="","",IF(COUNTIF(_TradeIds,A763)=0,"违规：交易编号不存在",IF(OR(B763="",B763&lt;1,B763&gt;5,B763&lt;&gt;INT(B763)),"违规：加仓序号须为1到5的整数",IF(COUNTIFS($A$2:$A$1001,A763,$B$2:$B$1001,B763)&gt;1,"违规：同一交易的加仓序号重复",IF(OR(D763="",E763="",F763=""),"计划不完整：请填写加仓价、新止损价和风险预算",IF(OR(D763&lt;=0,E763&lt;=0,F763&lt;=0,D763&lt;=E763),"违规：加仓价必须高于新止损价，金额须大于0",IF(AND(B763&gt;1,COUNTIFS($A$2:$A$1001,A763,$B$2:$B$1001,B763-1,$G$2:$G$1001,"&gt;0")=0),"违规：须先完成上一次加仓",IF(AND(B763&gt;1,E763&lt;SUMIFS($E$2:$E$1001,$A$2:$A$1001,A763,$B$2:$B$1001,B763-1)),"违规：新止损价不得低于上一次",IF(AND(B763&gt;1,F763&gt;SUMIFS($F$2:$F$1001,$A$2:$A$1001,A763,$B$2:$B$1001,B763-1)),"违规：风险预算须逐次不增加",IF(OR(_LockStatus="已锁仓",_LockStatus="解锁信息不完整"),"违规：锁仓期间禁止加仓",IF(G763="","计划可执行：建议股数见N列",IF(OR(G763&lt;=0,G763&lt;&gt;INT(G763),MOD(G763,100)&lt;&gt;0),"违规：实际股数须为100股整数倍",IF(G763&gt;N763,"违规：实际股数超过风险或金字塔上限",IF(AND(B763&gt;1,G763&gt;SUMIFS($G$2:$G$1001,$A$2:$A$1001,A763,$B$2:$B$1001,B763-1)),"违规：加仓股数须逐次不增加",IF(Q763&gt;F763,"违规：止损风险超过本次预算","通过")))))))))))))))</f>
        <v/>
      </c>
    </row>
    <row r="764" ht="17" spans="1:18">
      <c r="A764" s="13"/>
      <c r="B764" s="14"/>
      <c r="C764" s="15"/>
      <c r="D764" s="16"/>
      <c r="E764" s="16"/>
      <c r="F764" s="16"/>
      <c r="G764" s="14"/>
      <c r="H764" s="17" t="str">
        <f t="shared" si="88"/>
        <v/>
      </c>
      <c r="I764" s="18" t="str">
        <f>IF(OR(A764="",B764=""),"",IFERROR(LOOKUP(2,1/(单次交易!$A$2:$A$201=A764),单次交易!$H$2:$H$201),0)+SUMIFS($G$2:$G$1001,$A$2:$A$1001,A764,$B$2:$B$1001,"&lt;"&amp;B764))</f>
        <v/>
      </c>
      <c r="J764" s="17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17" t="str">
        <f t="shared" si="89"/>
        <v/>
      </c>
      <c r="L764" s="18" t="str">
        <f t="shared" si="90"/>
        <v/>
      </c>
      <c r="M764" s="18" t="str">
        <f t="shared" si="91"/>
        <v/>
      </c>
      <c r="N764" s="18" t="str">
        <f t="shared" si="92"/>
        <v/>
      </c>
      <c r="O764" s="18" t="str">
        <f t="shared" si="93"/>
        <v/>
      </c>
      <c r="P764" s="17" t="str">
        <f t="shared" si="94"/>
        <v/>
      </c>
      <c r="Q764" s="17" t="str">
        <f t="shared" si="95"/>
        <v/>
      </c>
      <c r="R764" s="19" t="str">
        <f ca="1">IF(A764="","",IF(COUNTIF(_TradeIds,A764)=0,"违规：交易编号不存在",IF(OR(B764="",B764&lt;1,B764&gt;5,B764&lt;&gt;INT(B764)),"违规：加仓序号须为1到5的整数",IF(COUNTIFS($A$2:$A$1001,A764,$B$2:$B$1001,B764)&gt;1,"违规：同一交易的加仓序号重复",IF(OR(D764="",E764="",F764=""),"计划不完整：请填写加仓价、新止损价和风险预算",IF(OR(D764&lt;=0,E764&lt;=0,F764&lt;=0,D764&lt;=E764),"违规：加仓价必须高于新止损价，金额须大于0",IF(AND(B764&gt;1,COUNTIFS($A$2:$A$1001,A764,$B$2:$B$1001,B764-1,$G$2:$G$1001,"&gt;0")=0),"违规：须先完成上一次加仓",IF(AND(B764&gt;1,E764&lt;SUMIFS($E$2:$E$1001,$A$2:$A$1001,A764,$B$2:$B$1001,B764-1)),"违规：新止损价不得低于上一次",IF(AND(B764&gt;1,F764&gt;SUMIFS($F$2:$F$1001,$A$2:$A$1001,A764,$B$2:$B$1001,B764-1)),"违规：风险预算须逐次不增加",IF(OR(_LockStatus="已锁仓",_LockStatus="解锁信息不完整"),"违规：锁仓期间禁止加仓",IF(G764="","计划可执行：建议股数见N列",IF(OR(G764&lt;=0,G764&lt;&gt;INT(G764),MOD(G764,100)&lt;&gt;0),"违规：实际股数须为100股整数倍",IF(G764&gt;N764,"违规：实际股数超过风险或金字塔上限",IF(AND(B764&gt;1,G764&gt;SUMIFS($G$2:$G$1001,$A$2:$A$1001,A764,$B$2:$B$1001,B764-1)),"违规：加仓股数须逐次不增加",IF(Q764&gt;F764,"违规：止损风险超过本次预算","通过")))))))))))))))</f>
        <v/>
      </c>
    </row>
    <row r="765" ht="17" spans="1:18">
      <c r="A765" s="13"/>
      <c r="B765" s="14"/>
      <c r="C765" s="15"/>
      <c r="D765" s="16"/>
      <c r="E765" s="16"/>
      <c r="F765" s="16"/>
      <c r="G765" s="14"/>
      <c r="H765" s="17" t="str">
        <f t="shared" si="88"/>
        <v/>
      </c>
      <c r="I765" s="18" t="str">
        <f>IF(OR(A765="",B765=""),"",IFERROR(LOOKUP(2,1/(单次交易!$A$2:$A$201=A765),单次交易!$H$2:$H$201),0)+SUMIFS($G$2:$G$1001,$A$2:$A$1001,A765,$B$2:$B$1001,"&lt;"&amp;B765))</f>
        <v/>
      </c>
      <c r="J765" s="17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17" t="str">
        <f t="shared" si="89"/>
        <v/>
      </c>
      <c r="L765" s="18" t="str">
        <f t="shared" si="90"/>
        <v/>
      </c>
      <c r="M765" s="18" t="str">
        <f t="shared" si="91"/>
        <v/>
      </c>
      <c r="N765" s="18" t="str">
        <f t="shared" si="92"/>
        <v/>
      </c>
      <c r="O765" s="18" t="str">
        <f t="shared" si="93"/>
        <v/>
      </c>
      <c r="P765" s="17" t="str">
        <f t="shared" si="94"/>
        <v/>
      </c>
      <c r="Q765" s="17" t="str">
        <f t="shared" si="95"/>
        <v/>
      </c>
      <c r="R765" s="19" t="str">
        <f ca="1">IF(A765="","",IF(COUNTIF(_TradeIds,A765)=0,"违规：交易编号不存在",IF(OR(B765="",B765&lt;1,B765&gt;5,B765&lt;&gt;INT(B765)),"违规：加仓序号须为1到5的整数",IF(COUNTIFS($A$2:$A$1001,A765,$B$2:$B$1001,B765)&gt;1,"违规：同一交易的加仓序号重复",IF(OR(D765="",E765="",F765=""),"计划不完整：请填写加仓价、新止损价和风险预算",IF(OR(D765&lt;=0,E765&lt;=0,F765&lt;=0,D765&lt;=E765),"违规：加仓价必须高于新止损价，金额须大于0",IF(AND(B765&gt;1,COUNTIFS($A$2:$A$1001,A765,$B$2:$B$1001,B765-1,$G$2:$G$1001,"&gt;0")=0),"违规：须先完成上一次加仓",IF(AND(B765&gt;1,E765&lt;SUMIFS($E$2:$E$1001,$A$2:$A$1001,A765,$B$2:$B$1001,B765-1)),"违规：新止损价不得低于上一次",IF(AND(B765&gt;1,F765&gt;SUMIFS($F$2:$F$1001,$A$2:$A$1001,A765,$B$2:$B$1001,B765-1)),"违规：风险预算须逐次不增加",IF(OR(_LockStatus="已锁仓",_LockStatus="解锁信息不完整"),"违规：锁仓期间禁止加仓",IF(G765="","计划可执行：建议股数见N列",IF(OR(G765&lt;=0,G765&lt;&gt;INT(G765),MOD(G765,100)&lt;&gt;0),"违规：实际股数须为100股整数倍",IF(G765&gt;N765,"违规：实际股数超过风险或金字塔上限",IF(AND(B765&gt;1,G765&gt;SUMIFS($G$2:$G$1001,$A$2:$A$1001,A765,$B$2:$B$1001,B765-1)),"违规：加仓股数须逐次不增加",IF(Q765&gt;F765,"违规：止损风险超过本次预算","通过")))))))))))))))</f>
        <v/>
      </c>
    </row>
    <row r="766" ht="17" spans="1:18">
      <c r="A766" s="13"/>
      <c r="B766" s="14"/>
      <c r="C766" s="15"/>
      <c r="D766" s="16"/>
      <c r="E766" s="16"/>
      <c r="F766" s="16"/>
      <c r="G766" s="14"/>
      <c r="H766" s="17" t="str">
        <f t="shared" si="88"/>
        <v/>
      </c>
      <c r="I766" s="18" t="str">
        <f>IF(OR(A766="",B766=""),"",IFERROR(LOOKUP(2,1/(单次交易!$A$2:$A$201=A766),单次交易!$H$2:$H$201),0)+SUMIFS($G$2:$G$1001,$A$2:$A$1001,A766,$B$2:$B$1001,"&lt;"&amp;B766))</f>
        <v/>
      </c>
      <c r="J766" s="17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17" t="str">
        <f t="shared" si="89"/>
        <v/>
      </c>
      <c r="L766" s="18" t="str">
        <f t="shared" si="90"/>
        <v/>
      </c>
      <c r="M766" s="18" t="str">
        <f t="shared" si="91"/>
        <v/>
      </c>
      <c r="N766" s="18" t="str">
        <f t="shared" si="92"/>
        <v/>
      </c>
      <c r="O766" s="18" t="str">
        <f t="shared" si="93"/>
        <v/>
      </c>
      <c r="P766" s="17" t="str">
        <f t="shared" si="94"/>
        <v/>
      </c>
      <c r="Q766" s="17" t="str">
        <f t="shared" si="95"/>
        <v/>
      </c>
      <c r="R766" s="19" t="str">
        <f ca="1">IF(A766="","",IF(COUNTIF(_TradeIds,A766)=0,"违规：交易编号不存在",IF(OR(B766="",B766&lt;1,B766&gt;5,B766&lt;&gt;INT(B766)),"违规：加仓序号须为1到5的整数",IF(COUNTIFS($A$2:$A$1001,A766,$B$2:$B$1001,B766)&gt;1,"违规：同一交易的加仓序号重复",IF(OR(D766="",E766="",F766=""),"计划不完整：请填写加仓价、新止损价和风险预算",IF(OR(D766&lt;=0,E766&lt;=0,F766&lt;=0,D766&lt;=E766),"违规：加仓价必须高于新止损价，金额须大于0",IF(AND(B766&gt;1,COUNTIFS($A$2:$A$1001,A766,$B$2:$B$1001,B766-1,$G$2:$G$1001,"&gt;0")=0),"违规：须先完成上一次加仓",IF(AND(B766&gt;1,E766&lt;SUMIFS($E$2:$E$1001,$A$2:$A$1001,A766,$B$2:$B$1001,B766-1)),"违规：新止损价不得低于上一次",IF(AND(B766&gt;1,F766&gt;SUMIFS($F$2:$F$1001,$A$2:$A$1001,A766,$B$2:$B$1001,B766-1)),"违规：风险预算须逐次不增加",IF(OR(_LockStatus="已锁仓",_LockStatus="解锁信息不完整"),"违规：锁仓期间禁止加仓",IF(G766="","计划可执行：建议股数见N列",IF(OR(G766&lt;=0,G766&lt;&gt;INT(G766),MOD(G766,100)&lt;&gt;0),"违规：实际股数须为100股整数倍",IF(G766&gt;N766,"违规：实际股数超过风险或金字塔上限",IF(AND(B766&gt;1,G766&gt;SUMIFS($G$2:$G$1001,$A$2:$A$1001,A766,$B$2:$B$1001,B766-1)),"违规：加仓股数须逐次不增加",IF(Q766&gt;F766,"违规：止损风险超过本次预算","通过")))))))))))))))</f>
        <v/>
      </c>
    </row>
    <row r="767" ht="17" spans="1:18">
      <c r="A767" s="13"/>
      <c r="B767" s="14"/>
      <c r="C767" s="15"/>
      <c r="D767" s="16"/>
      <c r="E767" s="16"/>
      <c r="F767" s="16"/>
      <c r="G767" s="14"/>
      <c r="H767" s="17" t="str">
        <f t="shared" si="88"/>
        <v/>
      </c>
      <c r="I767" s="18" t="str">
        <f>IF(OR(A767="",B767=""),"",IFERROR(LOOKUP(2,1/(单次交易!$A$2:$A$201=A767),单次交易!$H$2:$H$201),0)+SUMIFS($G$2:$G$1001,$A$2:$A$1001,A767,$B$2:$B$1001,"&lt;"&amp;B767))</f>
        <v/>
      </c>
      <c r="J767" s="17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17" t="str">
        <f t="shared" si="89"/>
        <v/>
      </c>
      <c r="L767" s="18" t="str">
        <f t="shared" si="90"/>
        <v/>
      </c>
      <c r="M767" s="18" t="str">
        <f t="shared" si="91"/>
        <v/>
      </c>
      <c r="N767" s="18" t="str">
        <f t="shared" si="92"/>
        <v/>
      </c>
      <c r="O767" s="18" t="str">
        <f t="shared" si="93"/>
        <v/>
      </c>
      <c r="P767" s="17" t="str">
        <f t="shared" si="94"/>
        <v/>
      </c>
      <c r="Q767" s="17" t="str">
        <f t="shared" si="95"/>
        <v/>
      </c>
      <c r="R767" s="19" t="str">
        <f ca="1">IF(A767="","",IF(COUNTIF(_TradeIds,A767)=0,"违规：交易编号不存在",IF(OR(B767="",B767&lt;1,B767&gt;5,B767&lt;&gt;INT(B767)),"违规：加仓序号须为1到5的整数",IF(COUNTIFS($A$2:$A$1001,A767,$B$2:$B$1001,B767)&gt;1,"违规：同一交易的加仓序号重复",IF(OR(D767="",E767="",F767=""),"计划不完整：请填写加仓价、新止损价和风险预算",IF(OR(D767&lt;=0,E767&lt;=0,F767&lt;=0,D767&lt;=E767),"违规：加仓价必须高于新止损价，金额须大于0",IF(AND(B767&gt;1,COUNTIFS($A$2:$A$1001,A767,$B$2:$B$1001,B767-1,$G$2:$G$1001,"&gt;0")=0),"违规：须先完成上一次加仓",IF(AND(B767&gt;1,E767&lt;SUMIFS($E$2:$E$1001,$A$2:$A$1001,A767,$B$2:$B$1001,B767-1)),"违规：新止损价不得低于上一次",IF(AND(B767&gt;1,F767&gt;SUMIFS($F$2:$F$1001,$A$2:$A$1001,A767,$B$2:$B$1001,B767-1)),"违规：风险预算须逐次不增加",IF(OR(_LockStatus="已锁仓",_LockStatus="解锁信息不完整"),"违规：锁仓期间禁止加仓",IF(G767="","计划可执行：建议股数见N列",IF(OR(G767&lt;=0,G767&lt;&gt;INT(G767),MOD(G767,100)&lt;&gt;0),"违规：实际股数须为100股整数倍",IF(G767&gt;N767,"违规：实际股数超过风险或金字塔上限",IF(AND(B767&gt;1,G767&gt;SUMIFS($G$2:$G$1001,$A$2:$A$1001,A767,$B$2:$B$1001,B767-1)),"违规：加仓股数须逐次不增加",IF(Q767&gt;F767,"违规：止损风险超过本次预算","通过")))))))))))))))</f>
        <v/>
      </c>
    </row>
    <row r="768" ht="17" spans="1:18">
      <c r="A768" s="13"/>
      <c r="B768" s="14"/>
      <c r="C768" s="15"/>
      <c r="D768" s="16"/>
      <c r="E768" s="16"/>
      <c r="F768" s="16"/>
      <c r="G768" s="14"/>
      <c r="H768" s="17" t="str">
        <f t="shared" si="88"/>
        <v/>
      </c>
      <c r="I768" s="18" t="str">
        <f>IF(OR(A768="",B768=""),"",IFERROR(LOOKUP(2,1/(单次交易!$A$2:$A$201=A768),单次交易!$H$2:$H$201),0)+SUMIFS($G$2:$G$1001,$A$2:$A$1001,A768,$B$2:$B$1001,"&lt;"&amp;B768))</f>
        <v/>
      </c>
      <c r="J768" s="17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17" t="str">
        <f t="shared" si="89"/>
        <v/>
      </c>
      <c r="L768" s="18" t="str">
        <f t="shared" si="90"/>
        <v/>
      </c>
      <c r="M768" s="18" t="str">
        <f t="shared" si="91"/>
        <v/>
      </c>
      <c r="N768" s="18" t="str">
        <f t="shared" si="92"/>
        <v/>
      </c>
      <c r="O768" s="18" t="str">
        <f t="shared" si="93"/>
        <v/>
      </c>
      <c r="P768" s="17" t="str">
        <f t="shared" si="94"/>
        <v/>
      </c>
      <c r="Q768" s="17" t="str">
        <f t="shared" si="95"/>
        <v/>
      </c>
      <c r="R768" s="19" t="str">
        <f ca="1">IF(A768="","",IF(COUNTIF(_TradeIds,A768)=0,"违规：交易编号不存在",IF(OR(B768="",B768&lt;1,B768&gt;5,B768&lt;&gt;INT(B768)),"违规：加仓序号须为1到5的整数",IF(COUNTIFS($A$2:$A$1001,A768,$B$2:$B$1001,B768)&gt;1,"违规：同一交易的加仓序号重复",IF(OR(D768="",E768="",F768=""),"计划不完整：请填写加仓价、新止损价和风险预算",IF(OR(D768&lt;=0,E768&lt;=0,F768&lt;=0,D768&lt;=E768),"违规：加仓价必须高于新止损价，金额须大于0",IF(AND(B768&gt;1,COUNTIFS($A$2:$A$1001,A768,$B$2:$B$1001,B768-1,$G$2:$G$1001,"&gt;0")=0),"违规：须先完成上一次加仓",IF(AND(B768&gt;1,E768&lt;SUMIFS($E$2:$E$1001,$A$2:$A$1001,A768,$B$2:$B$1001,B768-1)),"违规：新止损价不得低于上一次",IF(AND(B768&gt;1,F768&gt;SUMIFS($F$2:$F$1001,$A$2:$A$1001,A768,$B$2:$B$1001,B768-1)),"违规：风险预算须逐次不增加",IF(OR(_LockStatus="已锁仓",_LockStatus="解锁信息不完整"),"违规：锁仓期间禁止加仓",IF(G768="","计划可执行：建议股数见N列",IF(OR(G768&lt;=0,G768&lt;&gt;INT(G768),MOD(G768,100)&lt;&gt;0),"违规：实际股数须为100股整数倍",IF(G768&gt;N768,"违规：实际股数超过风险或金字塔上限",IF(AND(B768&gt;1,G768&gt;SUMIFS($G$2:$G$1001,$A$2:$A$1001,A768,$B$2:$B$1001,B768-1)),"违规：加仓股数须逐次不增加",IF(Q768&gt;F768,"违规：止损风险超过本次预算","通过")))))))))))))))</f>
        <v/>
      </c>
    </row>
    <row r="769" ht="17" spans="1:18">
      <c r="A769" s="13"/>
      <c r="B769" s="14"/>
      <c r="C769" s="15"/>
      <c r="D769" s="16"/>
      <c r="E769" s="16"/>
      <c r="F769" s="16"/>
      <c r="G769" s="14"/>
      <c r="H769" s="17" t="str">
        <f t="shared" si="88"/>
        <v/>
      </c>
      <c r="I769" s="18" t="str">
        <f>IF(OR(A769="",B769=""),"",IFERROR(LOOKUP(2,1/(单次交易!$A$2:$A$201=A769),单次交易!$H$2:$H$201),0)+SUMIFS($G$2:$G$1001,$A$2:$A$1001,A769,$B$2:$B$1001,"&lt;"&amp;B769))</f>
        <v/>
      </c>
      <c r="J769" s="17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17" t="str">
        <f t="shared" si="89"/>
        <v/>
      </c>
      <c r="L769" s="18" t="str">
        <f t="shared" si="90"/>
        <v/>
      </c>
      <c r="M769" s="18" t="str">
        <f t="shared" si="91"/>
        <v/>
      </c>
      <c r="N769" s="18" t="str">
        <f t="shared" si="92"/>
        <v/>
      </c>
      <c r="O769" s="18" t="str">
        <f t="shared" si="93"/>
        <v/>
      </c>
      <c r="P769" s="17" t="str">
        <f t="shared" si="94"/>
        <v/>
      </c>
      <c r="Q769" s="17" t="str">
        <f t="shared" si="95"/>
        <v/>
      </c>
      <c r="R769" s="19" t="str">
        <f ca="1">IF(A769="","",IF(COUNTIF(_TradeIds,A769)=0,"违规：交易编号不存在",IF(OR(B769="",B769&lt;1,B769&gt;5,B769&lt;&gt;INT(B769)),"违规：加仓序号须为1到5的整数",IF(COUNTIFS($A$2:$A$1001,A769,$B$2:$B$1001,B769)&gt;1,"违规：同一交易的加仓序号重复",IF(OR(D769="",E769="",F769=""),"计划不完整：请填写加仓价、新止损价和风险预算",IF(OR(D769&lt;=0,E769&lt;=0,F769&lt;=0,D769&lt;=E769),"违规：加仓价必须高于新止损价，金额须大于0",IF(AND(B769&gt;1,COUNTIFS($A$2:$A$1001,A769,$B$2:$B$1001,B769-1,$G$2:$G$1001,"&gt;0")=0),"违规：须先完成上一次加仓",IF(AND(B769&gt;1,E769&lt;SUMIFS($E$2:$E$1001,$A$2:$A$1001,A769,$B$2:$B$1001,B769-1)),"违规：新止损价不得低于上一次",IF(AND(B769&gt;1,F769&gt;SUMIFS($F$2:$F$1001,$A$2:$A$1001,A769,$B$2:$B$1001,B769-1)),"违规：风险预算须逐次不增加",IF(OR(_LockStatus="已锁仓",_LockStatus="解锁信息不完整"),"违规：锁仓期间禁止加仓",IF(G769="","计划可执行：建议股数见N列",IF(OR(G769&lt;=0,G769&lt;&gt;INT(G769),MOD(G769,100)&lt;&gt;0),"违规：实际股数须为100股整数倍",IF(G769&gt;N769,"违规：实际股数超过风险或金字塔上限",IF(AND(B769&gt;1,G769&gt;SUMIFS($G$2:$G$1001,$A$2:$A$1001,A769,$B$2:$B$1001,B769-1)),"违规：加仓股数须逐次不增加",IF(Q769&gt;F769,"违规：止损风险超过本次预算","通过")))))))))))))))</f>
        <v/>
      </c>
    </row>
    <row r="770" ht="17" spans="1:18">
      <c r="A770" s="13"/>
      <c r="B770" s="14"/>
      <c r="C770" s="15"/>
      <c r="D770" s="16"/>
      <c r="E770" s="16"/>
      <c r="F770" s="16"/>
      <c r="G770" s="14"/>
      <c r="H770" s="17" t="str">
        <f t="shared" ref="H770:H833" si="96">IF(OR(A770="",D770="",G770=""),"",D770*G770)</f>
        <v/>
      </c>
      <c r="I770" s="18" t="str">
        <f>IF(OR(A770="",B770=""),"",IFERROR(LOOKUP(2,1/(单次交易!$A$2:$A$201=A770),单次交易!$H$2:$H$201),0)+SUMIFS($G$2:$G$1001,$A$2:$A$1001,A770,$B$2:$B$1001,"&lt;"&amp;B770))</f>
        <v/>
      </c>
      <c r="J770" s="17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17" t="str">
        <f t="shared" ref="K770:K833" si="97">IF(OR(E770="",I770="",J770=""),"",MAX(E770*I770-J770,0))</f>
        <v/>
      </c>
      <c r="L770" s="18" t="str">
        <f t="shared" ref="L770:L833" si="98">IF(OR(D770="",E770="",F770="",D770&lt;=E770),"",FLOOR((F770+K770)/(D770-E770),100))</f>
        <v/>
      </c>
      <c r="M770" s="18" t="str">
        <f t="shared" ref="M770:M833" si="99">IF(OR(A770="",B770="",L770=""),"",IF(B770=1,L770,IFERROR(SUMIFS($G$2:$G$1001,$A$2:$A$1001,A770,$B$2:$B$1001,B770-1),0)))</f>
        <v/>
      </c>
      <c r="N770" s="18" t="str">
        <f t="shared" ref="N770:N833" si="100">IF(OR(L770="",M770=""),"",MIN(L770,M770))</f>
        <v/>
      </c>
      <c r="O770" s="18" t="str">
        <f t="shared" ref="O770:O833" si="101">IF(OR(I770="",G770=""),"",I770+G770)</f>
        <v/>
      </c>
      <c r="P770" s="17" t="str">
        <f t="shared" ref="P770:P833" si="102">IF(OR(O770="",O770=0),"",(J770+H770)/O770)</f>
        <v/>
      </c>
      <c r="Q770" s="17" t="str">
        <f t="shared" ref="Q770:Q833" si="103">IF(OR(O770="",E770=""),"",MAX(J770+H770-E770*O770,0))</f>
        <v/>
      </c>
      <c r="R770" s="19" t="str">
        <f ca="1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ht="17" spans="1:18">
      <c r="A771" s="13"/>
      <c r="B771" s="14"/>
      <c r="C771" s="15"/>
      <c r="D771" s="16"/>
      <c r="E771" s="16"/>
      <c r="F771" s="16"/>
      <c r="G771" s="14"/>
      <c r="H771" s="17" t="str">
        <f t="shared" si="96"/>
        <v/>
      </c>
      <c r="I771" s="18" t="str">
        <f>IF(OR(A771="",B771=""),"",IFERROR(LOOKUP(2,1/(单次交易!$A$2:$A$201=A771),单次交易!$H$2:$H$201),0)+SUMIFS($G$2:$G$1001,$A$2:$A$1001,A771,$B$2:$B$1001,"&lt;"&amp;B771))</f>
        <v/>
      </c>
      <c r="J771" s="17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17" t="str">
        <f t="shared" si="97"/>
        <v/>
      </c>
      <c r="L771" s="18" t="str">
        <f t="shared" si="98"/>
        <v/>
      </c>
      <c r="M771" s="18" t="str">
        <f t="shared" si="99"/>
        <v/>
      </c>
      <c r="N771" s="18" t="str">
        <f t="shared" si="100"/>
        <v/>
      </c>
      <c r="O771" s="18" t="str">
        <f t="shared" si="101"/>
        <v/>
      </c>
      <c r="P771" s="17" t="str">
        <f t="shared" si="102"/>
        <v/>
      </c>
      <c r="Q771" s="17" t="str">
        <f t="shared" si="103"/>
        <v/>
      </c>
      <c r="R771" s="19" t="str">
        <f ca="1">IF(A771="","",IF(COUNTIF(_TradeIds,A771)=0,"违规：交易编号不存在",IF(OR(B771="",B771&lt;1,B771&gt;5,B771&lt;&gt;INT(B771)),"违规：加仓序号须为1到5的整数",IF(COUNTIFS($A$2:$A$1001,A771,$B$2:$B$1001,B771)&gt;1,"违规：同一交易的加仓序号重复",IF(OR(D771="",E771="",F771=""),"计划不完整：请填写加仓价、新止损价和风险预算",IF(OR(D771&lt;=0,E771&lt;=0,F771&lt;=0,D771&lt;=E771),"违规：加仓价必须高于新止损价，金额须大于0",IF(AND(B771&gt;1,COUNTIFS($A$2:$A$1001,A771,$B$2:$B$1001,B771-1,$G$2:$G$1001,"&gt;0")=0),"违规：须先完成上一次加仓",IF(AND(B771&gt;1,E771&lt;SUMIFS($E$2:$E$1001,$A$2:$A$1001,A771,$B$2:$B$1001,B771-1)),"违规：新止损价不得低于上一次",IF(AND(B771&gt;1,F771&gt;SUMIFS($F$2:$F$1001,$A$2:$A$1001,A771,$B$2:$B$1001,B771-1)),"违规：风险预算须逐次不增加",IF(OR(_LockStatus="已锁仓",_LockStatus="解锁信息不完整"),"违规：锁仓期间禁止加仓",IF(G771="","计划可执行：建议股数见N列",IF(OR(G771&lt;=0,G771&lt;&gt;INT(G771),MOD(G771,100)&lt;&gt;0),"违规：实际股数须为100股整数倍",IF(G771&gt;N771,"违规：实际股数超过风险或金字塔上限",IF(AND(B771&gt;1,G771&gt;SUMIFS($G$2:$G$1001,$A$2:$A$1001,A771,$B$2:$B$1001,B771-1)),"违规：加仓股数须逐次不增加",IF(Q771&gt;F771,"违规：止损风险超过本次预算","通过")))))))))))))))</f>
        <v/>
      </c>
    </row>
    <row r="772" ht="17" spans="1:18">
      <c r="A772" s="13"/>
      <c r="B772" s="14"/>
      <c r="C772" s="15"/>
      <c r="D772" s="16"/>
      <c r="E772" s="16"/>
      <c r="F772" s="16"/>
      <c r="G772" s="14"/>
      <c r="H772" s="17" t="str">
        <f t="shared" si="96"/>
        <v/>
      </c>
      <c r="I772" s="18" t="str">
        <f>IF(OR(A772="",B772=""),"",IFERROR(LOOKUP(2,1/(单次交易!$A$2:$A$201=A772),单次交易!$H$2:$H$201),0)+SUMIFS($G$2:$G$1001,$A$2:$A$1001,A772,$B$2:$B$1001,"&lt;"&amp;B772))</f>
        <v/>
      </c>
      <c r="J772" s="17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17" t="str">
        <f t="shared" si="97"/>
        <v/>
      </c>
      <c r="L772" s="18" t="str">
        <f t="shared" si="98"/>
        <v/>
      </c>
      <c r="M772" s="18" t="str">
        <f t="shared" si="99"/>
        <v/>
      </c>
      <c r="N772" s="18" t="str">
        <f t="shared" si="100"/>
        <v/>
      </c>
      <c r="O772" s="18" t="str">
        <f t="shared" si="101"/>
        <v/>
      </c>
      <c r="P772" s="17" t="str">
        <f t="shared" si="102"/>
        <v/>
      </c>
      <c r="Q772" s="17" t="str">
        <f t="shared" si="103"/>
        <v/>
      </c>
      <c r="R772" s="19" t="str">
        <f ca="1">IF(A772="","",IF(COUNTIF(_TradeIds,A772)=0,"违规：交易编号不存在",IF(OR(B772="",B772&lt;1,B772&gt;5,B772&lt;&gt;INT(B772)),"违规：加仓序号须为1到5的整数",IF(COUNTIFS($A$2:$A$1001,A772,$B$2:$B$1001,B772)&gt;1,"违规：同一交易的加仓序号重复",IF(OR(D772="",E772="",F772=""),"计划不完整：请填写加仓价、新止损价和风险预算",IF(OR(D772&lt;=0,E772&lt;=0,F772&lt;=0,D772&lt;=E772),"违规：加仓价必须高于新止损价，金额须大于0",IF(AND(B772&gt;1,COUNTIFS($A$2:$A$1001,A772,$B$2:$B$1001,B772-1,$G$2:$G$1001,"&gt;0")=0),"违规：须先完成上一次加仓",IF(AND(B772&gt;1,E772&lt;SUMIFS($E$2:$E$1001,$A$2:$A$1001,A772,$B$2:$B$1001,B772-1)),"违规：新止损价不得低于上一次",IF(AND(B772&gt;1,F772&gt;SUMIFS($F$2:$F$1001,$A$2:$A$1001,A772,$B$2:$B$1001,B772-1)),"违规：风险预算须逐次不增加",IF(OR(_LockStatus="已锁仓",_LockStatus="解锁信息不完整"),"违规：锁仓期间禁止加仓",IF(G772="","计划可执行：建议股数见N列",IF(OR(G772&lt;=0,G772&lt;&gt;INT(G772),MOD(G772,100)&lt;&gt;0),"违规：实际股数须为100股整数倍",IF(G772&gt;N772,"违规：实际股数超过风险或金字塔上限",IF(AND(B772&gt;1,G772&gt;SUMIFS($G$2:$G$1001,$A$2:$A$1001,A772,$B$2:$B$1001,B772-1)),"违规：加仓股数须逐次不增加",IF(Q772&gt;F772,"违规：止损风险超过本次预算","通过")))))))))))))))</f>
        <v/>
      </c>
    </row>
    <row r="773" ht="17" spans="1:18">
      <c r="A773" s="13"/>
      <c r="B773" s="14"/>
      <c r="C773" s="15"/>
      <c r="D773" s="16"/>
      <c r="E773" s="16"/>
      <c r="F773" s="16"/>
      <c r="G773" s="14"/>
      <c r="H773" s="17" t="str">
        <f t="shared" si="96"/>
        <v/>
      </c>
      <c r="I773" s="18" t="str">
        <f>IF(OR(A773="",B773=""),"",IFERROR(LOOKUP(2,1/(单次交易!$A$2:$A$201=A773),单次交易!$H$2:$H$201),0)+SUMIFS($G$2:$G$1001,$A$2:$A$1001,A773,$B$2:$B$1001,"&lt;"&amp;B773))</f>
        <v/>
      </c>
      <c r="J773" s="17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17" t="str">
        <f t="shared" si="97"/>
        <v/>
      </c>
      <c r="L773" s="18" t="str">
        <f t="shared" si="98"/>
        <v/>
      </c>
      <c r="M773" s="18" t="str">
        <f t="shared" si="99"/>
        <v/>
      </c>
      <c r="N773" s="18" t="str">
        <f t="shared" si="100"/>
        <v/>
      </c>
      <c r="O773" s="18" t="str">
        <f t="shared" si="101"/>
        <v/>
      </c>
      <c r="P773" s="17" t="str">
        <f t="shared" si="102"/>
        <v/>
      </c>
      <c r="Q773" s="17" t="str">
        <f t="shared" si="103"/>
        <v/>
      </c>
      <c r="R773" s="19" t="str">
        <f ca="1">IF(A773="","",IF(COUNTIF(_TradeIds,A773)=0,"违规：交易编号不存在",IF(OR(B773="",B773&lt;1,B773&gt;5,B773&lt;&gt;INT(B773)),"违规：加仓序号须为1到5的整数",IF(COUNTIFS($A$2:$A$1001,A773,$B$2:$B$1001,B773)&gt;1,"违规：同一交易的加仓序号重复",IF(OR(D773="",E773="",F773=""),"计划不完整：请填写加仓价、新止损价和风险预算",IF(OR(D773&lt;=0,E773&lt;=0,F773&lt;=0,D773&lt;=E773),"违规：加仓价必须高于新止损价，金额须大于0",IF(AND(B773&gt;1,COUNTIFS($A$2:$A$1001,A773,$B$2:$B$1001,B773-1,$G$2:$G$1001,"&gt;0")=0),"违规：须先完成上一次加仓",IF(AND(B773&gt;1,E773&lt;SUMIFS($E$2:$E$1001,$A$2:$A$1001,A773,$B$2:$B$1001,B773-1)),"违规：新止损价不得低于上一次",IF(AND(B773&gt;1,F773&gt;SUMIFS($F$2:$F$1001,$A$2:$A$1001,A773,$B$2:$B$1001,B773-1)),"违规：风险预算须逐次不增加",IF(OR(_LockStatus="已锁仓",_LockStatus="解锁信息不完整"),"违规：锁仓期间禁止加仓",IF(G773="","计划可执行：建议股数见N列",IF(OR(G773&lt;=0,G773&lt;&gt;INT(G773),MOD(G773,100)&lt;&gt;0),"违规：实际股数须为100股整数倍",IF(G773&gt;N773,"违规：实际股数超过风险或金字塔上限",IF(AND(B773&gt;1,G773&gt;SUMIFS($G$2:$G$1001,$A$2:$A$1001,A773,$B$2:$B$1001,B773-1)),"违规：加仓股数须逐次不增加",IF(Q773&gt;F773,"违规：止损风险超过本次预算","通过")))))))))))))))</f>
        <v/>
      </c>
    </row>
    <row r="774" ht="17" spans="1:18">
      <c r="A774" s="13"/>
      <c r="B774" s="14"/>
      <c r="C774" s="15"/>
      <c r="D774" s="16"/>
      <c r="E774" s="16"/>
      <c r="F774" s="16"/>
      <c r="G774" s="14"/>
      <c r="H774" s="17" t="str">
        <f t="shared" si="96"/>
        <v/>
      </c>
      <c r="I774" s="18" t="str">
        <f>IF(OR(A774="",B774=""),"",IFERROR(LOOKUP(2,1/(单次交易!$A$2:$A$201=A774),单次交易!$H$2:$H$201),0)+SUMIFS($G$2:$G$1001,$A$2:$A$1001,A774,$B$2:$B$1001,"&lt;"&amp;B774))</f>
        <v/>
      </c>
      <c r="J774" s="17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17" t="str">
        <f t="shared" si="97"/>
        <v/>
      </c>
      <c r="L774" s="18" t="str">
        <f t="shared" si="98"/>
        <v/>
      </c>
      <c r="M774" s="18" t="str">
        <f t="shared" si="99"/>
        <v/>
      </c>
      <c r="N774" s="18" t="str">
        <f t="shared" si="100"/>
        <v/>
      </c>
      <c r="O774" s="18" t="str">
        <f t="shared" si="101"/>
        <v/>
      </c>
      <c r="P774" s="17" t="str">
        <f t="shared" si="102"/>
        <v/>
      </c>
      <c r="Q774" s="17" t="str">
        <f t="shared" si="103"/>
        <v/>
      </c>
      <c r="R774" s="19" t="str">
        <f ca="1">IF(A774="","",IF(COUNTIF(_TradeIds,A774)=0,"违规：交易编号不存在",IF(OR(B774="",B774&lt;1,B774&gt;5,B774&lt;&gt;INT(B774)),"违规：加仓序号须为1到5的整数",IF(COUNTIFS($A$2:$A$1001,A774,$B$2:$B$1001,B774)&gt;1,"违规：同一交易的加仓序号重复",IF(OR(D774="",E774="",F774=""),"计划不完整：请填写加仓价、新止损价和风险预算",IF(OR(D774&lt;=0,E774&lt;=0,F774&lt;=0,D774&lt;=E774),"违规：加仓价必须高于新止损价，金额须大于0",IF(AND(B774&gt;1,COUNTIFS($A$2:$A$1001,A774,$B$2:$B$1001,B774-1,$G$2:$G$1001,"&gt;0")=0),"违规：须先完成上一次加仓",IF(AND(B774&gt;1,E774&lt;SUMIFS($E$2:$E$1001,$A$2:$A$1001,A774,$B$2:$B$1001,B774-1)),"违规：新止损价不得低于上一次",IF(AND(B774&gt;1,F774&gt;SUMIFS($F$2:$F$1001,$A$2:$A$1001,A774,$B$2:$B$1001,B774-1)),"违规：风险预算须逐次不增加",IF(OR(_LockStatus="已锁仓",_LockStatus="解锁信息不完整"),"违规：锁仓期间禁止加仓",IF(G774="","计划可执行：建议股数见N列",IF(OR(G774&lt;=0,G774&lt;&gt;INT(G774),MOD(G774,100)&lt;&gt;0),"违规：实际股数须为100股整数倍",IF(G774&gt;N774,"违规：实际股数超过风险或金字塔上限",IF(AND(B774&gt;1,G774&gt;SUMIFS($G$2:$G$1001,$A$2:$A$1001,A774,$B$2:$B$1001,B774-1)),"违规：加仓股数须逐次不增加",IF(Q774&gt;F774,"违规：止损风险超过本次预算","通过")))))))))))))))</f>
        <v/>
      </c>
    </row>
    <row r="775" ht="17" spans="1:18">
      <c r="A775" s="13"/>
      <c r="B775" s="14"/>
      <c r="C775" s="15"/>
      <c r="D775" s="16"/>
      <c r="E775" s="16"/>
      <c r="F775" s="16"/>
      <c r="G775" s="14"/>
      <c r="H775" s="17" t="str">
        <f t="shared" si="96"/>
        <v/>
      </c>
      <c r="I775" s="18" t="str">
        <f>IF(OR(A775="",B775=""),"",IFERROR(LOOKUP(2,1/(单次交易!$A$2:$A$201=A775),单次交易!$H$2:$H$201),0)+SUMIFS($G$2:$G$1001,$A$2:$A$1001,A775,$B$2:$B$1001,"&lt;"&amp;B775))</f>
        <v/>
      </c>
      <c r="J775" s="17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17" t="str">
        <f t="shared" si="97"/>
        <v/>
      </c>
      <c r="L775" s="18" t="str">
        <f t="shared" si="98"/>
        <v/>
      </c>
      <c r="M775" s="18" t="str">
        <f t="shared" si="99"/>
        <v/>
      </c>
      <c r="N775" s="18" t="str">
        <f t="shared" si="100"/>
        <v/>
      </c>
      <c r="O775" s="18" t="str">
        <f t="shared" si="101"/>
        <v/>
      </c>
      <c r="P775" s="17" t="str">
        <f t="shared" si="102"/>
        <v/>
      </c>
      <c r="Q775" s="17" t="str">
        <f t="shared" si="103"/>
        <v/>
      </c>
      <c r="R775" s="19" t="str">
        <f ca="1">IF(A775="","",IF(COUNTIF(_TradeIds,A775)=0,"违规：交易编号不存在",IF(OR(B775="",B775&lt;1,B775&gt;5,B775&lt;&gt;INT(B775)),"违规：加仓序号须为1到5的整数",IF(COUNTIFS($A$2:$A$1001,A775,$B$2:$B$1001,B775)&gt;1,"违规：同一交易的加仓序号重复",IF(OR(D775="",E775="",F775=""),"计划不完整：请填写加仓价、新止损价和风险预算",IF(OR(D775&lt;=0,E775&lt;=0,F775&lt;=0,D775&lt;=E775),"违规：加仓价必须高于新止损价，金额须大于0",IF(AND(B775&gt;1,COUNTIFS($A$2:$A$1001,A775,$B$2:$B$1001,B775-1,$G$2:$G$1001,"&gt;0")=0),"违规：须先完成上一次加仓",IF(AND(B775&gt;1,E775&lt;SUMIFS($E$2:$E$1001,$A$2:$A$1001,A775,$B$2:$B$1001,B775-1)),"违规：新止损价不得低于上一次",IF(AND(B775&gt;1,F775&gt;SUMIFS($F$2:$F$1001,$A$2:$A$1001,A775,$B$2:$B$1001,B775-1)),"违规：风险预算须逐次不增加",IF(OR(_LockStatus="已锁仓",_LockStatus="解锁信息不完整"),"违规：锁仓期间禁止加仓",IF(G775="","计划可执行：建议股数见N列",IF(OR(G775&lt;=0,G775&lt;&gt;INT(G775),MOD(G775,100)&lt;&gt;0),"违规：实际股数须为100股整数倍",IF(G775&gt;N775,"违规：实际股数超过风险或金字塔上限",IF(AND(B775&gt;1,G775&gt;SUMIFS($G$2:$G$1001,$A$2:$A$1001,A775,$B$2:$B$1001,B775-1)),"违规：加仓股数须逐次不增加",IF(Q775&gt;F775,"违规：止损风险超过本次预算","通过")))))))))))))))</f>
        <v/>
      </c>
    </row>
    <row r="776" ht="17" spans="1:18">
      <c r="A776" s="13"/>
      <c r="B776" s="14"/>
      <c r="C776" s="15"/>
      <c r="D776" s="16"/>
      <c r="E776" s="16"/>
      <c r="F776" s="16"/>
      <c r="G776" s="14"/>
      <c r="H776" s="17" t="str">
        <f t="shared" si="96"/>
        <v/>
      </c>
      <c r="I776" s="18" t="str">
        <f>IF(OR(A776="",B776=""),"",IFERROR(LOOKUP(2,1/(单次交易!$A$2:$A$201=A776),单次交易!$H$2:$H$201),0)+SUMIFS($G$2:$G$1001,$A$2:$A$1001,A776,$B$2:$B$1001,"&lt;"&amp;B776))</f>
        <v/>
      </c>
      <c r="J776" s="17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17" t="str">
        <f t="shared" si="97"/>
        <v/>
      </c>
      <c r="L776" s="18" t="str">
        <f t="shared" si="98"/>
        <v/>
      </c>
      <c r="M776" s="18" t="str">
        <f t="shared" si="99"/>
        <v/>
      </c>
      <c r="N776" s="18" t="str">
        <f t="shared" si="100"/>
        <v/>
      </c>
      <c r="O776" s="18" t="str">
        <f t="shared" si="101"/>
        <v/>
      </c>
      <c r="P776" s="17" t="str">
        <f t="shared" si="102"/>
        <v/>
      </c>
      <c r="Q776" s="17" t="str">
        <f t="shared" si="103"/>
        <v/>
      </c>
      <c r="R776" s="19" t="str">
        <f ca="1">IF(A776="","",IF(COUNTIF(_TradeIds,A776)=0,"违规：交易编号不存在",IF(OR(B776="",B776&lt;1,B776&gt;5,B776&lt;&gt;INT(B776)),"违规：加仓序号须为1到5的整数",IF(COUNTIFS($A$2:$A$1001,A776,$B$2:$B$1001,B776)&gt;1,"违规：同一交易的加仓序号重复",IF(OR(D776="",E776="",F776=""),"计划不完整：请填写加仓价、新止损价和风险预算",IF(OR(D776&lt;=0,E776&lt;=0,F776&lt;=0,D776&lt;=E776),"违规：加仓价必须高于新止损价，金额须大于0",IF(AND(B776&gt;1,COUNTIFS($A$2:$A$1001,A776,$B$2:$B$1001,B776-1,$G$2:$G$1001,"&gt;0")=0),"违规：须先完成上一次加仓",IF(AND(B776&gt;1,E776&lt;SUMIFS($E$2:$E$1001,$A$2:$A$1001,A776,$B$2:$B$1001,B776-1)),"违规：新止损价不得低于上一次",IF(AND(B776&gt;1,F776&gt;SUMIFS($F$2:$F$1001,$A$2:$A$1001,A776,$B$2:$B$1001,B776-1)),"违规：风险预算须逐次不增加",IF(OR(_LockStatus="已锁仓",_LockStatus="解锁信息不完整"),"违规：锁仓期间禁止加仓",IF(G776="","计划可执行：建议股数见N列",IF(OR(G776&lt;=0,G776&lt;&gt;INT(G776),MOD(G776,100)&lt;&gt;0),"违规：实际股数须为100股整数倍",IF(G776&gt;N776,"违规：实际股数超过风险或金字塔上限",IF(AND(B776&gt;1,G776&gt;SUMIFS($G$2:$G$1001,$A$2:$A$1001,A776,$B$2:$B$1001,B776-1)),"违规：加仓股数须逐次不增加",IF(Q776&gt;F776,"违规：止损风险超过本次预算","通过")))))))))))))))</f>
        <v/>
      </c>
    </row>
    <row r="777" ht="17" spans="1:18">
      <c r="A777" s="13"/>
      <c r="B777" s="14"/>
      <c r="C777" s="15"/>
      <c r="D777" s="16"/>
      <c r="E777" s="16"/>
      <c r="F777" s="16"/>
      <c r="G777" s="14"/>
      <c r="H777" s="17" t="str">
        <f t="shared" si="96"/>
        <v/>
      </c>
      <c r="I777" s="18" t="str">
        <f>IF(OR(A777="",B777=""),"",IFERROR(LOOKUP(2,1/(单次交易!$A$2:$A$201=A777),单次交易!$H$2:$H$201),0)+SUMIFS($G$2:$G$1001,$A$2:$A$1001,A777,$B$2:$B$1001,"&lt;"&amp;B777))</f>
        <v/>
      </c>
      <c r="J777" s="17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17" t="str">
        <f t="shared" si="97"/>
        <v/>
      </c>
      <c r="L777" s="18" t="str">
        <f t="shared" si="98"/>
        <v/>
      </c>
      <c r="M777" s="18" t="str">
        <f t="shared" si="99"/>
        <v/>
      </c>
      <c r="N777" s="18" t="str">
        <f t="shared" si="100"/>
        <v/>
      </c>
      <c r="O777" s="18" t="str">
        <f t="shared" si="101"/>
        <v/>
      </c>
      <c r="P777" s="17" t="str">
        <f t="shared" si="102"/>
        <v/>
      </c>
      <c r="Q777" s="17" t="str">
        <f t="shared" si="103"/>
        <v/>
      </c>
      <c r="R777" s="19" t="str">
        <f ca="1">IF(A777="","",IF(COUNTIF(_TradeIds,A777)=0,"违规：交易编号不存在",IF(OR(B777="",B777&lt;1,B777&gt;5,B777&lt;&gt;INT(B777)),"违规：加仓序号须为1到5的整数",IF(COUNTIFS($A$2:$A$1001,A777,$B$2:$B$1001,B777)&gt;1,"违规：同一交易的加仓序号重复",IF(OR(D777="",E777="",F777=""),"计划不完整：请填写加仓价、新止损价和风险预算",IF(OR(D777&lt;=0,E777&lt;=0,F777&lt;=0,D777&lt;=E777),"违规：加仓价必须高于新止损价，金额须大于0",IF(AND(B777&gt;1,COUNTIFS($A$2:$A$1001,A777,$B$2:$B$1001,B777-1,$G$2:$G$1001,"&gt;0")=0),"违规：须先完成上一次加仓",IF(AND(B777&gt;1,E777&lt;SUMIFS($E$2:$E$1001,$A$2:$A$1001,A777,$B$2:$B$1001,B777-1)),"违规：新止损价不得低于上一次",IF(AND(B777&gt;1,F777&gt;SUMIFS($F$2:$F$1001,$A$2:$A$1001,A777,$B$2:$B$1001,B777-1)),"违规：风险预算须逐次不增加",IF(OR(_LockStatus="已锁仓",_LockStatus="解锁信息不完整"),"违规：锁仓期间禁止加仓",IF(G777="","计划可执行：建议股数见N列",IF(OR(G777&lt;=0,G777&lt;&gt;INT(G777),MOD(G777,100)&lt;&gt;0),"违规：实际股数须为100股整数倍",IF(G777&gt;N777,"违规：实际股数超过风险或金字塔上限",IF(AND(B777&gt;1,G777&gt;SUMIFS($G$2:$G$1001,$A$2:$A$1001,A777,$B$2:$B$1001,B777-1)),"违规：加仓股数须逐次不增加",IF(Q777&gt;F777,"违规：止损风险超过本次预算","通过")))))))))))))))</f>
        <v/>
      </c>
    </row>
    <row r="778" ht="17" spans="1:18">
      <c r="A778" s="13"/>
      <c r="B778" s="14"/>
      <c r="C778" s="15"/>
      <c r="D778" s="16"/>
      <c r="E778" s="16"/>
      <c r="F778" s="16"/>
      <c r="G778" s="14"/>
      <c r="H778" s="17" t="str">
        <f t="shared" si="96"/>
        <v/>
      </c>
      <c r="I778" s="18" t="str">
        <f>IF(OR(A778="",B778=""),"",IFERROR(LOOKUP(2,1/(单次交易!$A$2:$A$201=A778),单次交易!$H$2:$H$201),0)+SUMIFS($G$2:$G$1001,$A$2:$A$1001,A778,$B$2:$B$1001,"&lt;"&amp;B778))</f>
        <v/>
      </c>
      <c r="J778" s="17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17" t="str">
        <f t="shared" si="97"/>
        <v/>
      </c>
      <c r="L778" s="18" t="str">
        <f t="shared" si="98"/>
        <v/>
      </c>
      <c r="M778" s="18" t="str">
        <f t="shared" si="99"/>
        <v/>
      </c>
      <c r="N778" s="18" t="str">
        <f t="shared" si="100"/>
        <v/>
      </c>
      <c r="O778" s="18" t="str">
        <f t="shared" si="101"/>
        <v/>
      </c>
      <c r="P778" s="17" t="str">
        <f t="shared" si="102"/>
        <v/>
      </c>
      <c r="Q778" s="17" t="str">
        <f t="shared" si="103"/>
        <v/>
      </c>
      <c r="R778" s="19" t="str">
        <f ca="1">IF(A778="","",IF(COUNTIF(_TradeIds,A778)=0,"违规：交易编号不存在",IF(OR(B778="",B778&lt;1,B778&gt;5,B778&lt;&gt;INT(B778)),"违规：加仓序号须为1到5的整数",IF(COUNTIFS($A$2:$A$1001,A778,$B$2:$B$1001,B778)&gt;1,"违规：同一交易的加仓序号重复",IF(OR(D778="",E778="",F778=""),"计划不完整：请填写加仓价、新止损价和风险预算",IF(OR(D778&lt;=0,E778&lt;=0,F778&lt;=0,D778&lt;=E778),"违规：加仓价必须高于新止损价，金额须大于0",IF(AND(B778&gt;1,COUNTIFS($A$2:$A$1001,A778,$B$2:$B$1001,B778-1,$G$2:$G$1001,"&gt;0")=0),"违规：须先完成上一次加仓",IF(AND(B778&gt;1,E778&lt;SUMIFS($E$2:$E$1001,$A$2:$A$1001,A778,$B$2:$B$1001,B778-1)),"违规：新止损价不得低于上一次",IF(AND(B778&gt;1,F778&gt;SUMIFS($F$2:$F$1001,$A$2:$A$1001,A778,$B$2:$B$1001,B778-1)),"违规：风险预算须逐次不增加",IF(OR(_LockStatus="已锁仓",_LockStatus="解锁信息不完整"),"违规：锁仓期间禁止加仓",IF(G778="","计划可执行：建议股数见N列",IF(OR(G778&lt;=0,G778&lt;&gt;INT(G778),MOD(G778,100)&lt;&gt;0),"违规：实际股数须为100股整数倍",IF(G778&gt;N778,"违规：实际股数超过风险或金字塔上限",IF(AND(B778&gt;1,G778&gt;SUMIFS($G$2:$G$1001,$A$2:$A$1001,A778,$B$2:$B$1001,B778-1)),"违规：加仓股数须逐次不增加",IF(Q778&gt;F778,"违规：止损风险超过本次预算","通过")))))))))))))))</f>
        <v/>
      </c>
    </row>
    <row r="779" ht="17" spans="1:18">
      <c r="A779" s="13"/>
      <c r="B779" s="14"/>
      <c r="C779" s="15"/>
      <c r="D779" s="16"/>
      <c r="E779" s="16"/>
      <c r="F779" s="16"/>
      <c r="G779" s="14"/>
      <c r="H779" s="17" t="str">
        <f t="shared" si="96"/>
        <v/>
      </c>
      <c r="I779" s="18" t="str">
        <f>IF(OR(A779="",B779=""),"",IFERROR(LOOKUP(2,1/(单次交易!$A$2:$A$201=A779),单次交易!$H$2:$H$201),0)+SUMIFS($G$2:$G$1001,$A$2:$A$1001,A779,$B$2:$B$1001,"&lt;"&amp;B779))</f>
        <v/>
      </c>
      <c r="J779" s="17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17" t="str">
        <f t="shared" si="97"/>
        <v/>
      </c>
      <c r="L779" s="18" t="str">
        <f t="shared" si="98"/>
        <v/>
      </c>
      <c r="M779" s="18" t="str">
        <f t="shared" si="99"/>
        <v/>
      </c>
      <c r="N779" s="18" t="str">
        <f t="shared" si="100"/>
        <v/>
      </c>
      <c r="O779" s="18" t="str">
        <f t="shared" si="101"/>
        <v/>
      </c>
      <c r="P779" s="17" t="str">
        <f t="shared" si="102"/>
        <v/>
      </c>
      <c r="Q779" s="17" t="str">
        <f t="shared" si="103"/>
        <v/>
      </c>
      <c r="R779" s="19" t="str">
        <f ca="1">IF(A779="","",IF(COUNTIF(_TradeIds,A779)=0,"违规：交易编号不存在",IF(OR(B779="",B779&lt;1,B779&gt;5,B779&lt;&gt;INT(B779)),"违规：加仓序号须为1到5的整数",IF(COUNTIFS($A$2:$A$1001,A779,$B$2:$B$1001,B779)&gt;1,"违规：同一交易的加仓序号重复",IF(OR(D779="",E779="",F779=""),"计划不完整：请填写加仓价、新止损价和风险预算",IF(OR(D779&lt;=0,E779&lt;=0,F779&lt;=0,D779&lt;=E779),"违规：加仓价必须高于新止损价，金额须大于0",IF(AND(B779&gt;1,COUNTIFS($A$2:$A$1001,A779,$B$2:$B$1001,B779-1,$G$2:$G$1001,"&gt;0")=0),"违规：须先完成上一次加仓",IF(AND(B779&gt;1,E779&lt;SUMIFS($E$2:$E$1001,$A$2:$A$1001,A779,$B$2:$B$1001,B779-1)),"违规：新止损价不得低于上一次",IF(AND(B779&gt;1,F779&gt;SUMIFS($F$2:$F$1001,$A$2:$A$1001,A779,$B$2:$B$1001,B779-1)),"违规：风险预算须逐次不增加",IF(OR(_LockStatus="已锁仓",_LockStatus="解锁信息不完整"),"违规：锁仓期间禁止加仓",IF(G779="","计划可执行：建议股数见N列",IF(OR(G779&lt;=0,G779&lt;&gt;INT(G779),MOD(G779,100)&lt;&gt;0),"违规：实际股数须为100股整数倍",IF(G779&gt;N779,"违规：实际股数超过风险或金字塔上限",IF(AND(B779&gt;1,G779&gt;SUMIFS($G$2:$G$1001,$A$2:$A$1001,A779,$B$2:$B$1001,B779-1)),"违规：加仓股数须逐次不增加",IF(Q779&gt;F779,"违规：止损风险超过本次预算","通过")))))))))))))))</f>
        <v/>
      </c>
    </row>
    <row r="780" ht="17" spans="1:18">
      <c r="A780" s="13"/>
      <c r="B780" s="14"/>
      <c r="C780" s="15"/>
      <c r="D780" s="16"/>
      <c r="E780" s="16"/>
      <c r="F780" s="16"/>
      <c r="G780" s="14"/>
      <c r="H780" s="17" t="str">
        <f t="shared" si="96"/>
        <v/>
      </c>
      <c r="I780" s="18" t="str">
        <f>IF(OR(A780="",B780=""),"",IFERROR(LOOKUP(2,1/(单次交易!$A$2:$A$201=A780),单次交易!$H$2:$H$201),0)+SUMIFS($G$2:$G$1001,$A$2:$A$1001,A780,$B$2:$B$1001,"&lt;"&amp;B780))</f>
        <v/>
      </c>
      <c r="J780" s="17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17" t="str">
        <f t="shared" si="97"/>
        <v/>
      </c>
      <c r="L780" s="18" t="str">
        <f t="shared" si="98"/>
        <v/>
      </c>
      <c r="M780" s="18" t="str">
        <f t="shared" si="99"/>
        <v/>
      </c>
      <c r="N780" s="18" t="str">
        <f t="shared" si="100"/>
        <v/>
      </c>
      <c r="O780" s="18" t="str">
        <f t="shared" si="101"/>
        <v/>
      </c>
      <c r="P780" s="17" t="str">
        <f t="shared" si="102"/>
        <v/>
      </c>
      <c r="Q780" s="17" t="str">
        <f t="shared" si="103"/>
        <v/>
      </c>
      <c r="R780" s="19" t="str">
        <f ca="1">IF(A780="","",IF(COUNTIF(_TradeIds,A780)=0,"违规：交易编号不存在",IF(OR(B780="",B780&lt;1,B780&gt;5,B780&lt;&gt;INT(B780)),"违规：加仓序号须为1到5的整数",IF(COUNTIFS($A$2:$A$1001,A780,$B$2:$B$1001,B780)&gt;1,"违规：同一交易的加仓序号重复",IF(OR(D780="",E780="",F780=""),"计划不完整：请填写加仓价、新止损价和风险预算",IF(OR(D780&lt;=0,E780&lt;=0,F780&lt;=0,D780&lt;=E780),"违规：加仓价必须高于新止损价，金额须大于0",IF(AND(B780&gt;1,COUNTIFS($A$2:$A$1001,A780,$B$2:$B$1001,B780-1,$G$2:$G$1001,"&gt;0")=0),"违规：须先完成上一次加仓",IF(AND(B780&gt;1,E780&lt;SUMIFS($E$2:$E$1001,$A$2:$A$1001,A780,$B$2:$B$1001,B780-1)),"违规：新止损价不得低于上一次",IF(AND(B780&gt;1,F780&gt;SUMIFS($F$2:$F$1001,$A$2:$A$1001,A780,$B$2:$B$1001,B780-1)),"违规：风险预算须逐次不增加",IF(OR(_LockStatus="已锁仓",_LockStatus="解锁信息不完整"),"违规：锁仓期间禁止加仓",IF(G780="","计划可执行：建议股数见N列",IF(OR(G780&lt;=0,G780&lt;&gt;INT(G780),MOD(G780,100)&lt;&gt;0),"违规：实际股数须为100股整数倍",IF(G780&gt;N780,"违规：实际股数超过风险或金字塔上限",IF(AND(B780&gt;1,G780&gt;SUMIFS($G$2:$G$1001,$A$2:$A$1001,A780,$B$2:$B$1001,B780-1)),"违规：加仓股数须逐次不增加",IF(Q780&gt;F780,"违规：止损风险超过本次预算","通过")))))))))))))))</f>
        <v/>
      </c>
    </row>
    <row r="781" ht="17" spans="1:18">
      <c r="A781" s="13"/>
      <c r="B781" s="14"/>
      <c r="C781" s="15"/>
      <c r="D781" s="16"/>
      <c r="E781" s="16"/>
      <c r="F781" s="16"/>
      <c r="G781" s="14"/>
      <c r="H781" s="17" t="str">
        <f t="shared" si="96"/>
        <v/>
      </c>
      <c r="I781" s="18" t="str">
        <f>IF(OR(A781="",B781=""),"",IFERROR(LOOKUP(2,1/(单次交易!$A$2:$A$201=A781),单次交易!$H$2:$H$201),0)+SUMIFS($G$2:$G$1001,$A$2:$A$1001,A781,$B$2:$B$1001,"&lt;"&amp;B781))</f>
        <v/>
      </c>
      <c r="J781" s="17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17" t="str">
        <f t="shared" si="97"/>
        <v/>
      </c>
      <c r="L781" s="18" t="str">
        <f t="shared" si="98"/>
        <v/>
      </c>
      <c r="M781" s="18" t="str">
        <f t="shared" si="99"/>
        <v/>
      </c>
      <c r="N781" s="18" t="str">
        <f t="shared" si="100"/>
        <v/>
      </c>
      <c r="O781" s="18" t="str">
        <f t="shared" si="101"/>
        <v/>
      </c>
      <c r="P781" s="17" t="str">
        <f t="shared" si="102"/>
        <v/>
      </c>
      <c r="Q781" s="17" t="str">
        <f t="shared" si="103"/>
        <v/>
      </c>
      <c r="R781" s="19" t="str">
        <f ca="1">IF(A781="","",IF(COUNTIF(_TradeIds,A781)=0,"违规：交易编号不存在",IF(OR(B781="",B781&lt;1,B781&gt;5,B781&lt;&gt;INT(B781)),"违规：加仓序号须为1到5的整数",IF(COUNTIFS($A$2:$A$1001,A781,$B$2:$B$1001,B781)&gt;1,"违规：同一交易的加仓序号重复",IF(OR(D781="",E781="",F781=""),"计划不完整：请填写加仓价、新止损价和风险预算",IF(OR(D781&lt;=0,E781&lt;=0,F781&lt;=0,D781&lt;=E781),"违规：加仓价必须高于新止损价，金额须大于0",IF(AND(B781&gt;1,COUNTIFS($A$2:$A$1001,A781,$B$2:$B$1001,B781-1,$G$2:$G$1001,"&gt;0")=0),"违规：须先完成上一次加仓",IF(AND(B781&gt;1,E781&lt;SUMIFS($E$2:$E$1001,$A$2:$A$1001,A781,$B$2:$B$1001,B781-1)),"违规：新止损价不得低于上一次",IF(AND(B781&gt;1,F781&gt;SUMIFS($F$2:$F$1001,$A$2:$A$1001,A781,$B$2:$B$1001,B781-1)),"违规：风险预算须逐次不增加",IF(OR(_LockStatus="已锁仓",_LockStatus="解锁信息不完整"),"违规：锁仓期间禁止加仓",IF(G781="","计划可执行：建议股数见N列",IF(OR(G781&lt;=0,G781&lt;&gt;INT(G781),MOD(G781,100)&lt;&gt;0),"违规：实际股数须为100股整数倍",IF(G781&gt;N781,"违规：实际股数超过风险或金字塔上限",IF(AND(B781&gt;1,G781&gt;SUMIFS($G$2:$G$1001,$A$2:$A$1001,A781,$B$2:$B$1001,B781-1)),"违规：加仓股数须逐次不增加",IF(Q781&gt;F781,"违规：止损风险超过本次预算","通过")))))))))))))))</f>
        <v/>
      </c>
    </row>
    <row r="782" ht="17" spans="1:18">
      <c r="A782" s="13"/>
      <c r="B782" s="14"/>
      <c r="C782" s="15"/>
      <c r="D782" s="16"/>
      <c r="E782" s="16"/>
      <c r="F782" s="16"/>
      <c r="G782" s="14"/>
      <c r="H782" s="17" t="str">
        <f t="shared" si="96"/>
        <v/>
      </c>
      <c r="I782" s="18" t="str">
        <f>IF(OR(A782="",B782=""),"",IFERROR(LOOKUP(2,1/(单次交易!$A$2:$A$201=A782),单次交易!$H$2:$H$201),0)+SUMIFS($G$2:$G$1001,$A$2:$A$1001,A782,$B$2:$B$1001,"&lt;"&amp;B782))</f>
        <v/>
      </c>
      <c r="J782" s="17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17" t="str">
        <f t="shared" si="97"/>
        <v/>
      </c>
      <c r="L782" s="18" t="str">
        <f t="shared" si="98"/>
        <v/>
      </c>
      <c r="M782" s="18" t="str">
        <f t="shared" si="99"/>
        <v/>
      </c>
      <c r="N782" s="18" t="str">
        <f t="shared" si="100"/>
        <v/>
      </c>
      <c r="O782" s="18" t="str">
        <f t="shared" si="101"/>
        <v/>
      </c>
      <c r="P782" s="17" t="str">
        <f t="shared" si="102"/>
        <v/>
      </c>
      <c r="Q782" s="17" t="str">
        <f t="shared" si="103"/>
        <v/>
      </c>
      <c r="R782" s="19" t="str">
        <f ca="1">IF(A782="","",IF(COUNTIF(_TradeIds,A782)=0,"违规：交易编号不存在",IF(OR(B782="",B782&lt;1,B782&gt;5,B782&lt;&gt;INT(B782)),"违规：加仓序号须为1到5的整数",IF(COUNTIFS($A$2:$A$1001,A782,$B$2:$B$1001,B782)&gt;1,"违规：同一交易的加仓序号重复",IF(OR(D782="",E782="",F782=""),"计划不完整：请填写加仓价、新止损价和风险预算",IF(OR(D782&lt;=0,E782&lt;=0,F782&lt;=0,D782&lt;=E782),"违规：加仓价必须高于新止损价，金额须大于0",IF(AND(B782&gt;1,COUNTIFS($A$2:$A$1001,A782,$B$2:$B$1001,B782-1,$G$2:$G$1001,"&gt;0")=0),"违规：须先完成上一次加仓",IF(AND(B782&gt;1,E782&lt;SUMIFS($E$2:$E$1001,$A$2:$A$1001,A782,$B$2:$B$1001,B782-1)),"违规：新止损价不得低于上一次",IF(AND(B782&gt;1,F782&gt;SUMIFS($F$2:$F$1001,$A$2:$A$1001,A782,$B$2:$B$1001,B782-1)),"违规：风险预算须逐次不增加",IF(OR(_LockStatus="已锁仓",_LockStatus="解锁信息不完整"),"违规：锁仓期间禁止加仓",IF(G782="","计划可执行：建议股数见N列",IF(OR(G782&lt;=0,G782&lt;&gt;INT(G782),MOD(G782,100)&lt;&gt;0),"违规：实际股数须为100股整数倍",IF(G782&gt;N782,"违规：实际股数超过风险或金字塔上限",IF(AND(B782&gt;1,G782&gt;SUMIFS($G$2:$G$1001,$A$2:$A$1001,A782,$B$2:$B$1001,B782-1)),"违规：加仓股数须逐次不增加",IF(Q782&gt;F782,"违规：止损风险超过本次预算","通过")))))))))))))))</f>
        <v/>
      </c>
    </row>
    <row r="783" ht="17" spans="1:18">
      <c r="A783" s="13"/>
      <c r="B783" s="14"/>
      <c r="C783" s="15"/>
      <c r="D783" s="16"/>
      <c r="E783" s="16"/>
      <c r="F783" s="16"/>
      <c r="G783" s="14"/>
      <c r="H783" s="17" t="str">
        <f t="shared" si="96"/>
        <v/>
      </c>
      <c r="I783" s="18" t="str">
        <f>IF(OR(A783="",B783=""),"",IFERROR(LOOKUP(2,1/(单次交易!$A$2:$A$201=A783),单次交易!$H$2:$H$201),0)+SUMIFS($G$2:$G$1001,$A$2:$A$1001,A783,$B$2:$B$1001,"&lt;"&amp;B783))</f>
        <v/>
      </c>
      <c r="J783" s="17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17" t="str">
        <f t="shared" si="97"/>
        <v/>
      </c>
      <c r="L783" s="18" t="str">
        <f t="shared" si="98"/>
        <v/>
      </c>
      <c r="M783" s="18" t="str">
        <f t="shared" si="99"/>
        <v/>
      </c>
      <c r="N783" s="18" t="str">
        <f t="shared" si="100"/>
        <v/>
      </c>
      <c r="O783" s="18" t="str">
        <f t="shared" si="101"/>
        <v/>
      </c>
      <c r="P783" s="17" t="str">
        <f t="shared" si="102"/>
        <v/>
      </c>
      <c r="Q783" s="17" t="str">
        <f t="shared" si="103"/>
        <v/>
      </c>
      <c r="R783" s="19" t="str">
        <f ca="1">IF(A783="","",IF(COUNTIF(_TradeIds,A783)=0,"违规：交易编号不存在",IF(OR(B783="",B783&lt;1,B783&gt;5,B783&lt;&gt;INT(B783)),"违规：加仓序号须为1到5的整数",IF(COUNTIFS($A$2:$A$1001,A783,$B$2:$B$1001,B783)&gt;1,"违规：同一交易的加仓序号重复",IF(OR(D783="",E783="",F783=""),"计划不完整：请填写加仓价、新止损价和风险预算",IF(OR(D783&lt;=0,E783&lt;=0,F783&lt;=0,D783&lt;=E783),"违规：加仓价必须高于新止损价，金额须大于0",IF(AND(B783&gt;1,COUNTIFS($A$2:$A$1001,A783,$B$2:$B$1001,B783-1,$G$2:$G$1001,"&gt;0")=0),"违规：须先完成上一次加仓",IF(AND(B783&gt;1,E783&lt;SUMIFS($E$2:$E$1001,$A$2:$A$1001,A783,$B$2:$B$1001,B783-1)),"违规：新止损价不得低于上一次",IF(AND(B783&gt;1,F783&gt;SUMIFS($F$2:$F$1001,$A$2:$A$1001,A783,$B$2:$B$1001,B783-1)),"违规：风险预算须逐次不增加",IF(OR(_LockStatus="已锁仓",_LockStatus="解锁信息不完整"),"违规：锁仓期间禁止加仓",IF(G783="","计划可执行：建议股数见N列",IF(OR(G783&lt;=0,G783&lt;&gt;INT(G783),MOD(G783,100)&lt;&gt;0),"违规：实际股数须为100股整数倍",IF(G783&gt;N783,"违规：实际股数超过风险或金字塔上限",IF(AND(B783&gt;1,G783&gt;SUMIFS($G$2:$G$1001,$A$2:$A$1001,A783,$B$2:$B$1001,B783-1)),"违规：加仓股数须逐次不增加",IF(Q783&gt;F783,"违规：止损风险超过本次预算","通过")))))))))))))))</f>
        <v/>
      </c>
    </row>
    <row r="784" ht="17" spans="1:18">
      <c r="A784" s="13"/>
      <c r="B784" s="14"/>
      <c r="C784" s="15"/>
      <c r="D784" s="16"/>
      <c r="E784" s="16"/>
      <c r="F784" s="16"/>
      <c r="G784" s="14"/>
      <c r="H784" s="17" t="str">
        <f t="shared" si="96"/>
        <v/>
      </c>
      <c r="I784" s="18" t="str">
        <f>IF(OR(A784="",B784=""),"",IFERROR(LOOKUP(2,1/(单次交易!$A$2:$A$201=A784),单次交易!$H$2:$H$201),0)+SUMIFS($G$2:$G$1001,$A$2:$A$1001,A784,$B$2:$B$1001,"&lt;"&amp;B784))</f>
        <v/>
      </c>
      <c r="J784" s="17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17" t="str">
        <f t="shared" si="97"/>
        <v/>
      </c>
      <c r="L784" s="18" t="str">
        <f t="shared" si="98"/>
        <v/>
      </c>
      <c r="M784" s="18" t="str">
        <f t="shared" si="99"/>
        <v/>
      </c>
      <c r="N784" s="18" t="str">
        <f t="shared" si="100"/>
        <v/>
      </c>
      <c r="O784" s="18" t="str">
        <f t="shared" si="101"/>
        <v/>
      </c>
      <c r="P784" s="17" t="str">
        <f t="shared" si="102"/>
        <v/>
      </c>
      <c r="Q784" s="17" t="str">
        <f t="shared" si="103"/>
        <v/>
      </c>
      <c r="R784" s="19" t="str">
        <f ca="1">IF(A784="","",IF(COUNTIF(_TradeIds,A784)=0,"违规：交易编号不存在",IF(OR(B784="",B784&lt;1,B784&gt;5,B784&lt;&gt;INT(B784)),"违规：加仓序号须为1到5的整数",IF(COUNTIFS($A$2:$A$1001,A784,$B$2:$B$1001,B784)&gt;1,"违规：同一交易的加仓序号重复",IF(OR(D784="",E784="",F784=""),"计划不完整：请填写加仓价、新止损价和风险预算",IF(OR(D784&lt;=0,E784&lt;=0,F784&lt;=0,D784&lt;=E784),"违规：加仓价必须高于新止损价，金额须大于0",IF(AND(B784&gt;1,COUNTIFS($A$2:$A$1001,A784,$B$2:$B$1001,B784-1,$G$2:$G$1001,"&gt;0")=0),"违规：须先完成上一次加仓",IF(AND(B784&gt;1,E784&lt;SUMIFS($E$2:$E$1001,$A$2:$A$1001,A784,$B$2:$B$1001,B784-1)),"违规：新止损价不得低于上一次",IF(AND(B784&gt;1,F784&gt;SUMIFS($F$2:$F$1001,$A$2:$A$1001,A784,$B$2:$B$1001,B784-1)),"违规：风险预算须逐次不增加",IF(OR(_LockStatus="已锁仓",_LockStatus="解锁信息不完整"),"违规：锁仓期间禁止加仓",IF(G784="","计划可执行：建议股数见N列",IF(OR(G784&lt;=0,G784&lt;&gt;INT(G784),MOD(G784,100)&lt;&gt;0),"违规：实际股数须为100股整数倍",IF(G784&gt;N784,"违规：实际股数超过风险或金字塔上限",IF(AND(B784&gt;1,G784&gt;SUMIFS($G$2:$G$1001,$A$2:$A$1001,A784,$B$2:$B$1001,B784-1)),"违规：加仓股数须逐次不增加",IF(Q784&gt;F784,"违规：止损风险超过本次预算","通过")))))))))))))))</f>
        <v/>
      </c>
    </row>
    <row r="785" ht="17" spans="1:18">
      <c r="A785" s="13"/>
      <c r="B785" s="14"/>
      <c r="C785" s="15"/>
      <c r="D785" s="16"/>
      <c r="E785" s="16"/>
      <c r="F785" s="16"/>
      <c r="G785" s="14"/>
      <c r="H785" s="17" t="str">
        <f t="shared" si="96"/>
        <v/>
      </c>
      <c r="I785" s="18" t="str">
        <f>IF(OR(A785="",B785=""),"",IFERROR(LOOKUP(2,1/(单次交易!$A$2:$A$201=A785),单次交易!$H$2:$H$201),0)+SUMIFS($G$2:$G$1001,$A$2:$A$1001,A785,$B$2:$B$1001,"&lt;"&amp;B785))</f>
        <v/>
      </c>
      <c r="J785" s="17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17" t="str">
        <f t="shared" si="97"/>
        <v/>
      </c>
      <c r="L785" s="18" t="str">
        <f t="shared" si="98"/>
        <v/>
      </c>
      <c r="M785" s="18" t="str">
        <f t="shared" si="99"/>
        <v/>
      </c>
      <c r="N785" s="18" t="str">
        <f t="shared" si="100"/>
        <v/>
      </c>
      <c r="O785" s="18" t="str">
        <f t="shared" si="101"/>
        <v/>
      </c>
      <c r="P785" s="17" t="str">
        <f t="shared" si="102"/>
        <v/>
      </c>
      <c r="Q785" s="17" t="str">
        <f t="shared" si="103"/>
        <v/>
      </c>
      <c r="R785" s="19" t="str">
        <f ca="1">IF(A785="","",IF(COUNTIF(_TradeIds,A785)=0,"违规：交易编号不存在",IF(OR(B785="",B785&lt;1,B785&gt;5,B785&lt;&gt;INT(B785)),"违规：加仓序号须为1到5的整数",IF(COUNTIFS($A$2:$A$1001,A785,$B$2:$B$1001,B785)&gt;1,"违规：同一交易的加仓序号重复",IF(OR(D785="",E785="",F785=""),"计划不完整：请填写加仓价、新止损价和风险预算",IF(OR(D785&lt;=0,E785&lt;=0,F785&lt;=0,D785&lt;=E785),"违规：加仓价必须高于新止损价，金额须大于0",IF(AND(B785&gt;1,COUNTIFS($A$2:$A$1001,A785,$B$2:$B$1001,B785-1,$G$2:$G$1001,"&gt;0")=0),"违规：须先完成上一次加仓",IF(AND(B785&gt;1,E785&lt;SUMIFS($E$2:$E$1001,$A$2:$A$1001,A785,$B$2:$B$1001,B785-1)),"违规：新止损价不得低于上一次",IF(AND(B785&gt;1,F785&gt;SUMIFS($F$2:$F$1001,$A$2:$A$1001,A785,$B$2:$B$1001,B785-1)),"违规：风险预算须逐次不增加",IF(OR(_LockStatus="已锁仓",_LockStatus="解锁信息不完整"),"违规：锁仓期间禁止加仓",IF(G785="","计划可执行：建议股数见N列",IF(OR(G785&lt;=0,G785&lt;&gt;INT(G785),MOD(G785,100)&lt;&gt;0),"违规：实际股数须为100股整数倍",IF(G785&gt;N785,"违规：实际股数超过风险或金字塔上限",IF(AND(B785&gt;1,G785&gt;SUMIFS($G$2:$G$1001,$A$2:$A$1001,A785,$B$2:$B$1001,B785-1)),"违规：加仓股数须逐次不增加",IF(Q785&gt;F785,"违规：止损风险超过本次预算","通过")))))))))))))))</f>
        <v/>
      </c>
    </row>
    <row r="786" ht="17" spans="1:18">
      <c r="A786" s="13"/>
      <c r="B786" s="14"/>
      <c r="C786" s="15"/>
      <c r="D786" s="16"/>
      <c r="E786" s="16"/>
      <c r="F786" s="16"/>
      <c r="G786" s="14"/>
      <c r="H786" s="17" t="str">
        <f t="shared" si="96"/>
        <v/>
      </c>
      <c r="I786" s="18" t="str">
        <f>IF(OR(A786="",B786=""),"",IFERROR(LOOKUP(2,1/(单次交易!$A$2:$A$201=A786),单次交易!$H$2:$H$201),0)+SUMIFS($G$2:$G$1001,$A$2:$A$1001,A786,$B$2:$B$1001,"&lt;"&amp;B786))</f>
        <v/>
      </c>
      <c r="J786" s="17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17" t="str">
        <f t="shared" si="97"/>
        <v/>
      </c>
      <c r="L786" s="18" t="str">
        <f t="shared" si="98"/>
        <v/>
      </c>
      <c r="M786" s="18" t="str">
        <f t="shared" si="99"/>
        <v/>
      </c>
      <c r="N786" s="18" t="str">
        <f t="shared" si="100"/>
        <v/>
      </c>
      <c r="O786" s="18" t="str">
        <f t="shared" si="101"/>
        <v/>
      </c>
      <c r="P786" s="17" t="str">
        <f t="shared" si="102"/>
        <v/>
      </c>
      <c r="Q786" s="17" t="str">
        <f t="shared" si="103"/>
        <v/>
      </c>
      <c r="R786" s="19" t="str">
        <f ca="1">IF(A786="","",IF(COUNTIF(_TradeIds,A786)=0,"违规：交易编号不存在",IF(OR(B786="",B786&lt;1,B786&gt;5,B786&lt;&gt;INT(B786)),"违规：加仓序号须为1到5的整数",IF(COUNTIFS($A$2:$A$1001,A786,$B$2:$B$1001,B786)&gt;1,"违规：同一交易的加仓序号重复",IF(OR(D786="",E786="",F786=""),"计划不完整：请填写加仓价、新止损价和风险预算",IF(OR(D786&lt;=0,E786&lt;=0,F786&lt;=0,D786&lt;=E786),"违规：加仓价必须高于新止损价，金额须大于0",IF(AND(B786&gt;1,COUNTIFS($A$2:$A$1001,A786,$B$2:$B$1001,B786-1,$G$2:$G$1001,"&gt;0")=0),"违规：须先完成上一次加仓",IF(AND(B786&gt;1,E786&lt;SUMIFS($E$2:$E$1001,$A$2:$A$1001,A786,$B$2:$B$1001,B786-1)),"违规：新止损价不得低于上一次",IF(AND(B786&gt;1,F786&gt;SUMIFS($F$2:$F$1001,$A$2:$A$1001,A786,$B$2:$B$1001,B786-1)),"违规：风险预算须逐次不增加",IF(OR(_LockStatus="已锁仓",_LockStatus="解锁信息不完整"),"违规：锁仓期间禁止加仓",IF(G786="","计划可执行：建议股数见N列",IF(OR(G786&lt;=0,G786&lt;&gt;INT(G786),MOD(G786,100)&lt;&gt;0),"违规：实际股数须为100股整数倍",IF(G786&gt;N786,"违规：实际股数超过风险或金字塔上限",IF(AND(B786&gt;1,G786&gt;SUMIFS($G$2:$G$1001,$A$2:$A$1001,A786,$B$2:$B$1001,B786-1)),"违规：加仓股数须逐次不增加",IF(Q786&gt;F786,"违规：止损风险超过本次预算","通过")))))))))))))))</f>
        <v/>
      </c>
    </row>
    <row r="787" ht="17" spans="1:18">
      <c r="A787" s="13"/>
      <c r="B787" s="14"/>
      <c r="C787" s="15"/>
      <c r="D787" s="16"/>
      <c r="E787" s="16"/>
      <c r="F787" s="16"/>
      <c r="G787" s="14"/>
      <c r="H787" s="17" t="str">
        <f t="shared" si="96"/>
        <v/>
      </c>
      <c r="I787" s="18" t="str">
        <f>IF(OR(A787="",B787=""),"",IFERROR(LOOKUP(2,1/(单次交易!$A$2:$A$201=A787),单次交易!$H$2:$H$201),0)+SUMIFS($G$2:$G$1001,$A$2:$A$1001,A787,$B$2:$B$1001,"&lt;"&amp;B787))</f>
        <v/>
      </c>
      <c r="J787" s="17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17" t="str">
        <f t="shared" si="97"/>
        <v/>
      </c>
      <c r="L787" s="18" t="str">
        <f t="shared" si="98"/>
        <v/>
      </c>
      <c r="M787" s="18" t="str">
        <f t="shared" si="99"/>
        <v/>
      </c>
      <c r="N787" s="18" t="str">
        <f t="shared" si="100"/>
        <v/>
      </c>
      <c r="O787" s="18" t="str">
        <f t="shared" si="101"/>
        <v/>
      </c>
      <c r="P787" s="17" t="str">
        <f t="shared" si="102"/>
        <v/>
      </c>
      <c r="Q787" s="17" t="str">
        <f t="shared" si="103"/>
        <v/>
      </c>
      <c r="R787" s="19" t="str">
        <f ca="1">IF(A787="","",IF(COUNTIF(_TradeIds,A787)=0,"违规：交易编号不存在",IF(OR(B787="",B787&lt;1,B787&gt;5,B787&lt;&gt;INT(B787)),"违规：加仓序号须为1到5的整数",IF(COUNTIFS($A$2:$A$1001,A787,$B$2:$B$1001,B787)&gt;1,"违规：同一交易的加仓序号重复",IF(OR(D787="",E787="",F787=""),"计划不完整：请填写加仓价、新止损价和风险预算",IF(OR(D787&lt;=0,E787&lt;=0,F787&lt;=0,D787&lt;=E787),"违规：加仓价必须高于新止损价，金额须大于0",IF(AND(B787&gt;1,COUNTIFS($A$2:$A$1001,A787,$B$2:$B$1001,B787-1,$G$2:$G$1001,"&gt;0")=0),"违规：须先完成上一次加仓",IF(AND(B787&gt;1,E787&lt;SUMIFS($E$2:$E$1001,$A$2:$A$1001,A787,$B$2:$B$1001,B787-1)),"违规：新止损价不得低于上一次",IF(AND(B787&gt;1,F787&gt;SUMIFS($F$2:$F$1001,$A$2:$A$1001,A787,$B$2:$B$1001,B787-1)),"违规：风险预算须逐次不增加",IF(OR(_LockStatus="已锁仓",_LockStatus="解锁信息不完整"),"违规：锁仓期间禁止加仓",IF(G787="","计划可执行：建议股数见N列",IF(OR(G787&lt;=0,G787&lt;&gt;INT(G787),MOD(G787,100)&lt;&gt;0),"违规：实际股数须为100股整数倍",IF(G787&gt;N787,"违规：实际股数超过风险或金字塔上限",IF(AND(B787&gt;1,G787&gt;SUMIFS($G$2:$G$1001,$A$2:$A$1001,A787,$B$2:$B$1001,B787-1)),"违规：加仓股数须逐次不增加",IF(Q787&gt;F787,"违规：止损风险超过本次预算","通过")))))))))))))))</f>
        <v/>
      </c>
    </row>
    <row r="788" ht="17" spans="1:18">
      <c r="A788" s="13"/>
      <c r="B788" s="14"/>
      <c r="C788" s="15"/>
      <c r="D788" s="16"/>
      <c r="E788" s="16"/>
      <c r="F788" s="16"/>
      <c r="G788" s="14"/>
      <c r="H788" s="17" t="str">
        <f t="shared" si="96"/>
        <v/>
      </c>
      <c r="I788" s="18" t="str">
        <f>IF(OR(A788="",B788=""),"",IFERROR(LOOKUP(2,1/(单次交易!$A$2:$A$201=A788),单次交易!$H$2:$H$201),0)+SUMIFS($G$2:$G$1001,$A$2:$A$1001,A788,$B$2:$B$1001,"&lt;"&amp;B788))</f>
        <v/>
      </c>
      <c r="J788" s="17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17" t="str">
        <f t="shared" si="97"/>
        <v/>
      </c>
      <c r="L788" s="18" t="str">
        <f t="shared" si="98"/>
        <v/>
      </c>
      <c r="M788" s="18" t="str">
        <f t="shared" si="99"/>
        <v/>
      </c>
      <c r="N788" s="18" t="str">
        <f t="shared" si="100"/>
        <v/>
      </c>
      <c r="O788" s="18" t="str">
        <f t="shared" si="101"/>
        <v/>
      </c>
      <c r="P788" s="17" t="str">
        <f t="shared" si="102"/>
        <v/>
      </c>
      <c r="Q788" s="17" t="str">
        <f t="shared" si="103"/>
        <v/>
      </c>
      <c r="R788" s="19" t="str">
        <f ca="1">IF(A788="","",IF(COUNTIF(_TradeIds,A788)=0,"违规：交易编号不存在",IF(OR(B788="",B788&lt;1,B788&gt;5,B788&lt;&gt;INT(B788)),"违规：加仓序号须为1到5的整数",IF(COUNTIFS($A$2:$A$1001,A788,$B$2:$B$1001,B788)&gt;1,"违规：同一交易的加仓序号重复",IF(OR(D788="",E788="",F788=""),"计划不完整：请填写加仓价、新止损价和风险预算",IF(OR(D788&lt;=0,E788&lt;=0,F788&lt;=0,D788&lt;=E788),"违规：加仓价必须高于新止损价，金额须大于0",IF(AND(B788&gt;1,COUNTIFS($A$2:$A$1001,A788,$B$2:$B$1001,B788-1,$G$2:$G$1001,"&gt;0")=0),"违规：须先完成上一次加仓",IF(AND(B788&gt;1,E788&lt;SUMIFS($E$2:$E$1001,$A$2:$A$1001,A788,$B$2:$B$1001,B788-1)),"违规：新止损价不得低于上一次",IF(AND(B788&gt;1,F788&gt;SUMIFS($F$2:$F$1001,$A$2:$A$1001,A788,$B$2:$B$1001,B788-1)),"违规：风险预算须逐次不增加",IF(OR(_LockStatus="已锁仓",_LockStatus="解锁信息不完整"),"违规：锁仓期间禁止加仓",IF(G788="","计划可执行：建议股数见N列",IF(OR(G788&lt;=0,G788&lt;&gt;INT(G788),MOD(G788,100)&lt;&gt;0),"违规：实际股数须为100股整数倍",IF(G788&gt;N788,"违规：实际股数超过风险或金字塔上限",IF(AND(B788&gt;1,G788&gt;SUMIFS($G$2:$G$1001,$A$2:$A$1001,A788,$B$2:$B$1001,B788-1)),"违规：加仓股数须逐次不增加",IF(Q788&gt;F788,"违规：止损风险超过本次预算","通过")))))))))))))))</f>
        <v/>
      </c>
    </row>
    <row r="789" ht="17" spans="1:18">
      <c r="A789" s="13"/>
      <c r="B789" s="14"/>
      <c r="C789" s="15"/>
      <c r="D789" s="16"/>
      <c r="E789" s="16"/>
      <c r="F789" s="16"/>
      <c r="G789" s="14"/>
      <c r="H789" s="17" t="str">
        <f t="shared" si="96"/>
        <v/>
      </c>
      <c r="I789" s="18" t="str">
        <f>IF(OR(A789="",B789=""),"",IFERROR(LOOKUP(2,1/(单次交易!$A$2:$A$201=A789),单次交易!$H$2:$H$201),0)+SUMIFS($G$2:$G$1001,$A$2:$A$1001,A789,$B$2:$B$1001,"&lt;"&amp;B789))</f>
        <v/>
      </c>
      <c r="J789" s="17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17" t="str">
        <f t="shared" si="97"/>
        <v/>
      </c>
      <c r="L789" s="18" t="str">
        <f t="shared" si="98"/>
        <v/>
      </c>
      <c r="M789" s="18" t="str">
        <f t="shared" si="99"/>
        <v/>
      </c>
      <c r="N789" s="18" t="str">
        <f t="shared" si="100"/>
        <v/>
      </c>
      <c r="O789" s="18" t="str">
        <f t="shared" si="101"/>
        <v/>
      </c>
      <c r="P789" s="17" t="str">
        <f t="shared" si="102"/>
        <v/>
      </c>
      <c r="Q789" s="17" t="str">
        <f t="shared" si="103"/>
        <v/>
      </c>
      <c r="R789" s="19" t="str">
        <f ca="1">IF(A789="","",IF(COUNTIF(_TradeIds,A789)=0,"违规：交易编号不存在",IF(OR(B789="",B789&lt;1,B789&gt;5,B789&lt;&gt;INT(B789)),"违规：加仓序号须为1到5的整数",IF(COUNTIFS($A$2:$A$1001,A789,$B$2:$B$1001,B789)&gt;1,"违规：同一交易的加仓序号重复",IF(OR(D789="",E789="",F789=""),"计划不完整：请填写加仓价、新止损价和风险预算",IF(OR(D789&lt;=0,E789&lt;=0,F789&lt;=0,D789&lt;=E789),"违规：加仓价必须高于新止损价，金额须大于0",IF(AND(B789&gt;1,COUNTIFS($A$2:$A$1001,A789,$B$2:$B$1001,B789-1,$G$2:$G$1001,"&gt;0")=0),"违规：须先完成上一次加仓",IF(AND(B789&gt;1,E789&lt;SUMIFS($E$2:$E$1001,$A$2:$A$1001,A789,$B$2:$B$1001,B789-1)),"违规：新止损价不得低于上一次",IF(AND(B789&gt;1,F789&gt;SUMIFS($F$2:$F$1001,$A$2:$A$1001,A789,$B$2:$B$1001,B789-1)),"违规：风险预算须逐次不增加",IF(OR(_LockStatus="已锁仓",_LockStatus="解锁信息不完整"),"违规：锁仓期间禁止加仓",IF(G789="","计划可执行：建议股数见N列",IF(OR(G789&lt;=0,G789&lt;&gt;INT(G789),MOD(G789,100)&lt;&gt;0),"违规：实际股数须为100股整数倍",IF(G789&gt;N789,"违规：实际股数超过风险或金字塔上限",IF(AND(B789&gt;1,G789&gt;SUMIFS($G$2:$G$1001,$A$2:$A$1001,A789,$B$2:$B$1001,B789-1)),"违规：加仓股数须逐次不增加",IF(Q789&gt;F789,"违规：止损风险超过本次预算","通过")))))))))))))))</f>
        <v/>
      </c>
    </row>
    <row r="790" ht="17" spans="1:18">
      <c r="A790" s="13"/>
      <c r="B790" s="14"/>
      <c r="C790" s="15"/>
      <c r="D790" s="16"/>
      <c r="E790" s="16"/>
      <c r="F790" s="16"/>
      <c r="G790" s="14"/>
      <c r="H790" s="17" t="str">
        <f t="shared" si="96"/>
        <v/>
      </c>
      <c r="I790" s="18" t="str">
        <f>IF(OR(A790="",B790=""),"",IFERROR(LOOKUP(2,1/(单次交易!$A$2:$A$201=A790),单次交易!$H$2:$H$201),0)+SUMIFS($G$2:$G$1001,$A$2:$A$1001,A790,$B$2:$B$1001,"&lt;"&amp;B790))</f>
        <v/>
      </c>
      <c r="J790" s="17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17" t="str">
        <f t="shared" si="97"/>
        <v/>
      </c>
      <c r="L790" s="18" t="str">
        <f t="shared" si="98"/>
        <v/>
      </c>
      <c r="M790" s="18" t="str">
        <f t="shared" si="99"/>
        <v/>
      </c>
      <c r="N790" s="18" t="str">
        <f t="shared" si="100"/>
        <v/>
      </c>
      <c r="O790" s="18" t="str">
        <f t="shared" si="101"/>
        <v/>
      </c>
      <c r="P790" s="17" t="str">
        <f t="shared" si="102"/>
        <v/>
      </c>
      <c r="Q790" s="17" t="str">
        <f t="shared" si="103"/>
        <v/>
      </c>
      <c r="R790" s="19" t="str">
        <f ca="1">IF(A790="","",IF(COUNTIF(_TradeIds,A790)=0,"违规：交易编号不存在",IF(OR(B790="",B790&lt;1,B790&gt;5,B790&lt;&gt;INT(B790)),"违规：加仓序号须为1到5的整数",IF(COUNTIFS($A$2:$A$1001,A790,$B$2:$B$1001,B790)&gt;1,"违规：同一交易的加仓序号重复",IF(OR(D790="",E790="",F790=""),"计划不完整：请填写加仓价、新止损价和风险预算",IF(OR(D790&lt;=0,E790&lt;=0,F790&lt;=0,D790&lt;=E790),"违规：加仓价必须高于新止损价，金额须大于0",IF(AND(B790&gt;1,COUNTIFS($A$2:$A$1001,A790,$B$2:$B$1001,B790-1,$G$2:$G$1001,"&gt;0")=0),"违规：须先完成上一次加仓",IF(AND(B790&gt;1,E790&lt;SUMIFS($E$2:$E$1001,$A$2:$A$1001,A790,$B$2:$B$1001,B790-1)),"违规：新止损价不得低于上一次",IF(AND(B790&gt;1,F790&gt;SUMIFS($F$2:$F$1001,$A$2:$A$1001,A790,$B$2:$B$1001,B790-1)),"违规：风险预算须逐次不增加",IF(OR(_LockStatus="已锁仓",_LockStatus="解锁信息不完整"),"违规：锁仓期间禁止加仓",IF(G790="","计划可执行：建议股数见N列",IF(OR(G790&lt;=0,G790&lt;&gt;INT(G790),MOD(G790,100)&lt;&gt;0),"违规：实际股数须为100股整数倍",IF(G790&gt;N790,"违规：实际股数超过风险或金字塔上限",IF(AND(B790&gt;1,G790&gt;SUMIFS($G$2:$G$1001,$A$2:$A$1001,A790,$B$2:$B$1001,B790-1)),"违规：加仓股数须逐次不增加",IF(Q790&gt;F790,"违规：止损风险超过本次预算","通过")))))))))))))))</f>
        <v/>
      </c>
    </row>
    <row r="791" ht="17" spans="1:18">
      <c r="A791" s="13"/>
      <c r="B791" s="14"/>
      <c r="C791" s="15"/>
      <c r="D791" s="16"/>
      <c r="E791" s="16"/>
      <c r="F791" s="16"/>
      <c r="G791" s="14"/>
      <c r="H791" s="17" t="str">
        <f t="shared" si="96"/>
        <v/>
      </c>
      <c r="I791" s="18" t="str">
        <f>IF(OR(A791="",B791=""),"",IFERROR(LOOKUP(2,1/(单次交易!$A$2:$A$201=A791),单次交易!$H$2:$H$201),0)+SUMIFS($G$2:$G$1001,$A$2:$A$1001,A791,$B$2:$B$1001,"&lt;"&amp;B791))</f>
        <v/>
      </c>
      <c r="J791" s="17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17" t="str">
        <f t="shared" si="97"/>
        <v/>
      </c>
      <c r="L791" s="18" t="str">
        <f t="shared" si="98"/>
        <v/>
      </c>
      <c r="M791" s="18" t="str">
        <f t="shared" si="99"/>
        <v/>
      </c>
      <c r="N791" s="18" t="str">
        <f t="shared" si="100"/>
        <v/>
      </c>
      <c r="O791" s="18" t="str">
        <f t="shared" si="101"/>
        <v/>
      </c>
      <c r="P791" s="17" t="str">
        <f t="shared" si="102"/>
        <v/>
      </c>
      <c r="Q791" s="17" t="str">
        <f t="shared" si="103"/>
        <v/>
      </c>
      <c r="R791" s="19" t="str">
        <f ca="1">IF(A791="","",IF(COUNTIF(_TradeIds,A791)=0,"违规：交易编号不存在",IF(OR(B791="",B791&lt;1,B791&gt;5,B791&lt;&gt;INT(B791)),"违规：加仓序号须为1到5的整数",IF(COUNTIFS($A$2:$A$1001,A791,$B$2:$B$1001,B791)&gt;1,"违规：同一交易的加仓序号重复",IF(OR(D791="",E791="",F791=""),"计划不完整：请填写加仓价、新止损价和风险预算",IF(OR(D791&lt;=0,E791&lt;=0,F791&lt;=0,D791&lt;=E791),"违规：加仓价必须高于新止损价，金额须大于0",IF(AND(B791&gt;1,COUNTIFS($A$2:$A$1001,A791,$B$2:$B$1001,B791-1,$G$2:$G$1001,"&gt;0")=0),"违规：须先完成上一次加仓",IF(AND(B791&gt;1,E791&lt;SUMIFS($E$2:$E$1001,$A$2:$A$1001,A791,$B$2:$B$1001,B791-1)),"违规：新止损价不得低于上一次",IF(AND(B791&gt;1,F791&gt;SUMIFS($F$2:$F$1001,$A$2:$A$1001,A791,$B$2:$B$1001,B791-1)),"违规：风险预算须逐次不增加",IF(OR(_LockStatus="已锁仓",_LockStatus="解锁信息不完整"),"违规：锁仓期间禁止加仓",IF(G791="","计划可执行：建议股数见N列",IF(OR(G791&lt;=0,G791&lt;&gt;INT(G791),MOD(G791,100)&lt;&gt;0),"违规：实际股数须为100股整数倍",IF(G791&gt;N791,"违规：实际股数超过风险或金字塔上限",IF(AND(B791&gt;1,G791&gt;SUMIFS($G$2:$G$1001,$A$2:$A$1001,A791,$B$2:$B$1001,B791-1)),"违规：加仓股数须逐次不增加",IF(Q791&gt;F791,"违规：止损风险超过本次预算","通过")))))))))))))))</f>
        <v/>
      </c>
    </row>
    <row r="792" ht="17" spans="1:18">
      <c r="A792" s="13"/>
      <c r="B792" s="14"/>
      <c r="C792" s="15"/>
      <c r="D792" s="16"/>
      <c r="E792" s="16"/>
      <c r="F792" s="16"/>
      <c r="G792" s="14"/>
      <c r="H792" s="17" t="str">
        <f t="shared" si="96"/>
        <v/>
      </c>
      <c r="I792" s="18" t="str">
        <f>IF(OR(A792="",B792=""),"",IFERROR(LOOKUP(2,1/(单次交易!$A$2:$A$201=A792),单次交易!$H$2:$H$201),0)+SUMIFS($G$2:$G$1001,$A$2:$A$1001,A792,$B$2:$B$1001,"&lt;"&amp;B792))</f>
        <v/>
      </c>
      <c r="J792" s="17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17" t="str">
        <f t="shared" si="97"/>
        <v/>
      </c>
      <c r="L792" s="18" t="str">
        <f t="shared" si="98"/>
        <v/>
      </c>
      <c r="M792" s="18" t="str">
        <f t="shared" si="99"/>
        <v/>
      </c>
      <c r="N792" s="18" t="str">
        <f t="shared" si="100"/>
        <v/>
      </c>
      <c r="O792" s="18" t="str">
        <f t="shared" si="101"/>
        <v/>
      </c>
      <c r="P792" s="17" t="str">
        <f t="shared" si="102"/>
        <v/>
      </c>
      <c r="Q792" s="17" t="str">
        <f t="shared" si="103"/>
        <v/>
      </c>
      <c r="R792" s="19" t="str">
        <f ca="1">IF(A792="","",IF(COUNTIF(_TradeIds,A792)=0,"违规：交易编号不存在",IF(OR(B792="",B792&lt;1,B792&gt;5,B792&lt;&gt;INT(B792)),"违规：加仓序号须为1到5的整数",IF(COUNTIFS($A$2:$A$1001,A792,$B$2:$B$1001,B792)&gt;1,"违规：同一交易的加仓序号重复",IF(OR(D792="",E792="",F792=""),"计划不完整：请填写加仓价、新止损价和风险预算",IF(OR(D792&lt;=0,E792&lt;=0,F792&lt;=0,D792&lt;=E792),"违规：加仓价必须高于新止损价，金额须大于0",IF(AND(B792&gt;1,COUNTIFS($A$2:$A$1001,A792,$B$2:$B$1001,B792-1,$G$2:$G$1001,"&gt;0")=0),"违规：须先完成上一次加仓",IF(AND(B792&gt;1,E792&lt;SUMIFS($E$2:$E$1001,$A$2:$A$1001,A792,$B$2:$B$1001,B792-1)),"违规：新止损价不得低于上一次",IF(AND(B792&gt;1,F792&gt;SUMIFS($F$2:$F$1001,$A$2:$A$1001,A792,$B$2:$B$1001,B792-1)),"违规：风险预算须逐次不增加",IF(OR(_LockStatus="已锁仓",_LockStatus="解锁信息不完整"),"违规：锁仓期间禁止加仓",IF(G792="","计划可执行：建议股数见N列",IF(OR(G792&lt;=0,G792&lt;&gt;INT(G792),MOD(G792,100)&lt;&gt;0),"违规：实际股数须为100股整数倍",IF(G792&gt;N792,"违规：实际股数超过风险或金字塔上限",IF(AND(B792&gt;1,G792&gt;SUMIFS($G$2:$G$1001,$A$2:$A$1001,A792,$B$2:$B$1001,B792-1)),"违规：加仓股数须逐次不增加",IF(Q792&gt;F792,"违规：止损风险超过本次预算","通过")))))))))))))))</f>
        <v/>
      </c>
    </row>
    <row r="793" ht="17" spans="1:18">
      <c r="A793" s="13"/>
      <c r="B793" s="14"/>
      <c r="C793" s="15"/>
      <c r="D793" s="16"/>
      <c r="E793" s="16"/>
      <c r="F793" s="16"/>
      <c r="G793" s="14"/>
      <c r="H793" s="17" t="str">
        <f t="shared" si="96"/>
        <v/>
      </c>
      <c r="I793" s="18" t="str">
        <f>IF(OR(A793="",B793=""),"",IFERROR(LOOKUP(2,1/(单次交易!$A$2:$A$201=A793),单次交易!$H$2:$H$201),0)+SUMIFS($G$2:$G$1001,$A$2:$A$1001,A793,$B$2:$B$1001,"&lt;"&amp;B793))</f>
        <v/>
      </c>
      <c r="J793" s="17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17" t="str">
        <f t="shared" si="97"/>
        <v/>
      </c>
      <c r="L793" s="18" t="str">
        <f t="shared" si="98"/>
        <v/>
      </c>
      <c r="M793" s="18" t="str">
        <f t="shared" si="99"/>
        <v/>
      </c>
      <c r="N793" s="18" t="str">
        <f t="shared" si="100"/>
        <v/>
      </c>
      <c r="O793" s="18" t="str">
        <f t="shared" si="101"/>
        <v/>
      </c>
      <c r="P793" s="17" t="str">
        <f t="shared" si="102"/>
        <v/>
      </c>
      <c r="Q793" s="17" t="str">
        <f t="shared" si="103"/>
        <v/>
      </c>
      <c r="R793" s="19" t="str">
        <f ca="1">IF(A793="","",IF(COUNTIF(_TradeIds,A793)=0,"违规：交易编号不存在",IF(OR(B793="",B793&lt;1,B793&gt;5,B793&lt;&gt;INT(B793)),"违规：加仓序号须为1到5的整数",IF(COUNTIFS($A$2:$A$1001,A793,$B$2:$B$1001,B793)&gt;1,"违规：同一交易的加仓序号重复",IF(OR(D793="",E793="",F793=""),"计划不完整：请填写加仓价、新止损价和风险预算",IF(OR(D793&lt;=0,E793&lt;=0,F793&lt;=0,D793&lt;=E793),"违规：加仓价必须高于新止损价，金额须大于0",IF(AND(B793&gt;1,COUNTIFS($A$2:$A$1001,A793,$B$2:$B$1001,B793-1,$G$2:$G$1001,"&gt;0")=0),"违规：须先完成上一次加仓",IF(AND(B793&gt;1,E793&lt;SUMIFS($E$2:$E$1001,$A$2:$A$1001,A793,$B$2:$B$1001,B793-1)),"违规：新止损价不得低于上一次",IF(AND(B793&gt;1,F793&gt;SUMIFS($F$2:$F$1001,$A$2:$A$1001,A793,$B$2:$B$1001,B793-1)),"违规：风险预算须逐次不增加",IF(OR(_LockStatus="已锁仓",_LockStatus="解锁信息不完整"),"违规：锁仓期间禁止加仓",IF(G793="","计划可执行：建议股数见N列",IF(OR(G793&lt;=0,G793&lt;&gt;INT(G793),MOD(G793,100)&lt;&gt;0),"违规：实际股数须为100股整数倍",IF(G793&gt;N793,"违规：实际股数超过风险或金字塔上限",IF(AND(B793&gt;1,G793&gt;SUMIFS($G$2:$G$1001,$A$2:$A$1001,A793,$B$2:$B$1001,B793-1)),"违规：加仓股数须逐次不增加",IF(Q793&gt;F793,"违规：止损风险超过本次预算","通过")))))))))))))))</f>
        <v/>
      </c>
    </row>
    <row r="794" ht="17" spans="1:18">
      <c r="A794" s="13"/>
      <c r="B794" s="14"/>
      <c r="C794" s="15"/>
      <c r="D794" s="16"/>
      <c r="E794" s="16"/>
      <c r="F794" s="16"/>
      <c r="G794" s="14"/>
      <c r="H794" s="17" t="str">
        <f t="shared" si="96"/>
        <v/>
      </c>
      <c r="I794" s="18" t="str">
        <f>IF(OR(A794="",B794=""),"",IFERROR(LOOKUP(2,1/(单次交易!$A$2:$A$201=A794),单次交易!$H$2:$H$201),0)+SUMIFS($G$2:$G$1001,$A$2:$A$1001,A794,$B$2:$B$1001,"&lt;"&amp;B794))</f>
        <v/>
      </c>
      <c r="J794" s="17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17" t="str">
        <f t="shared" si="97"/>
        <v/>
      </c>
      <c r="L794" s="18" t="str">
        <f t="shared" si="98"/>
        <v/>
      </c>
      <c r="M794" s="18" t="str">
        <f t="shared" si="99"/>
        <v/>
      </c>
      <c r="N794" s="18" t="str">
        <f t="shared" si="100"/>
        <v/>
      </c>
      <c r="O794" s="18" t="str">
        <f t="shared" si="101"/>
        <v/>
      </c>
      <c r="P794" s="17" t="str">
        <f t="shared" si="102"/>
        <v/>
      </c>
      <c r="Q794" s="17" t="str">
        <f t="shared" si="103"/>
        <v/>
      </c>
      <c r="R794" s="19" t="str">
        <f ca="1">IF(A794="","",IF(COUNTIF(_TradeIds,A794)=0,"违规：交易编号不存在",IF(OR(B794="",B794&lt;1,B794&gt;5,B794&lt;&gt;INT(B794)),"违规：加仓序号须为1到5的整数",IF(COUNTIFS($A$2:$A$1001,A794,$B$2:$B$1001,B794)&gt;1,"违规：同一交易的加仓序号重复",IF(OR(D794="",E794="",F794=""),"计划不完整：请填写加仓价、新止损价和风险预算",IF(OR(D794&lt;=0,E794&lt;=0,F794&lt;=0,D794&lt;=E794),"违规：加仓价必须高于新止损价，金额须大于0",IF(AND(B794&gt;1,COUNTIFS($A$2:$A$1001,A794,$B$2:$B$1001,B794-1,$G$2:$G$1001,"&gt;0")=0),"违规：须先完成上一次加仓",IF(AND(B794&gt;1,E794&lt;SUMIFS($E$2:$E$1001,$A$2:$A$1001,A794,$B$2:$B$1001,B794-1)),"违规：新止损价不得低于上一次",IF(AND(B794&gt;1,F794&gt;SUMIFS($F$2:$F$1001,$A$2:$A$1001,A794,$B$2:$B$1001,B794-1)),"违规：风险预算须逐次不增加",IF(OR(_LockStatus="已锁仓",_LockStatus="解锁信息不完整"),"违规：锁仓期间禁止加仓",IF(G794="","计划可执行：建议股数见N列",IF(OR(G794&lt;=0,G794&lt;&gt;INT(G794),MOD(G794,100)&lt;&gt;0),"违规：实际股数须为100股整数倍",IF(G794&gt;N794,"违规：实际股数超过风险或金字塔上限",IF(AND(B794&gt;1,G794&gt;SUMIFS($G$2:$G$1001,$A$2:$A$1001,A794,$B$2:$B$1001,B794-1)),"违规：加仓股数须逐次不增加",IF(Q794&gt;F794,"违规：止损风险超过本次预算","通过")))))))))))))))</f>
        <v/>
      </c>
    </row>
    <row r="795" ht="17" spans="1:18">
      <c r="A795" s="13"/>
      <c r="B795" s="14"/>
      <c r="C795" s="15"/>
      <c r="D795" s="16"/>
      <c r="E795" s="16"/>
      <c r="F795" s="16"/>
      <c r="G795" s="14"/>
      <c r="H795" s="17" t="str">
        <f t="shared" si="96"/>
        <v/>
      </c>
      <c r="I795" s="18" t="str">
        <f>IF(OR(A795="",B795=""),"",IFERROR(LOOKUP(2,1/(单次交易!$A$2:$A$201=A795),单次交易!$H$2:$H$201),0)+SUMIFS($G$2:$G$1001,$A$2:$A$1001,A795,$B$2:$B$1001,"&lt;"&amp;B795))</f>
        <v/>
      </c>
      <c r="J795" s="17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17" t="str">
        <f t="shared" si="97"/>
        <v/>
      </c>
      <c r="L795" s="18" t="str">
        <f t="shared" si="98"/>
        <v/>
      </c>
      <c r="M795" s="18" t="str">
        <f t="shared" si="99"/>
        <v/>
      </c>
      <c r="N795" s="18" t="str">
        <f t="shared" si="100"/>
        <v/>
      </c>
      <c r="O795" s="18" t="str">
        <f t="shared" si="101"/>
        <v/>
      </c>
      <c r="P795" s="17" t="str">
        <f t="shared" si="102"/>
        <v/>
      </c>
      <c r="Q795" s="17" t="str">
        <f t="shared" si="103"/>
        <v/>
      </c>
      <c r="R795" s="19" t="str">
        <f ca="1">IF(A795="","",IF(COUNTIF(_TradeIds,A795)=0,"违规：交易编号不存在",IF(OR(B795="",B795&lt;1,B795&gt;5,B795&lt;&gt;INT(B795)),"违规：加仓序号须为1到5的整数",IF(COUNTIFS($A$2:$A$1001,A795,$B$2:$B$1001,B795)&gt;1,"违规：同一交易的加仓序号重复",IF(OR(D795="",E795="",F795=""),"计划不完整：请填写加仓价、新止损价和风险预算",IF(OR(D795&lt;=0,E795&lt;=0,F795&lt;=0,D795&lt;=E795),"违规：加仓价必须高于新止损价，金额须大于0",IF(AND(B795&gt;1,COUNTIFS($A$2:$A$1001,A795,$B$2:$B$1001,B795-1,$G$2:$G$1001,"&gt;0")=0),"违规：须先完成上一次加仓",IF(AND(B795&gt;1,E795&lt;SUMIFS($E$2:$E$1001,$A$2:$A$1001,A795,$B$2:$B$1001,B795-1)),"违规：新止损价不得低于上一次",IF(AND(B795&gt;1,F795&gt;SUMIFS($F$2:$F$1001,$A$2:$A$1001,A795,$B$2:$B$1001,B795-1)),"违规：风险预算须逐次不增加",IF(OR(_LockStatus="已锁仓",_LockStatus="解锁信息不完整"),"违规：锁仓期间禁止加仓",IF(G795="","计划可执行：建议股数见N列",IF(OR(G795&lt;=0,G795&lt;&gt;INT(G795),MOD(G795,100)&lt;&gt;0),"违规：实际股数须为100股整数倍",IF(G795&gt;N795,"违规：实际股数超过风险或金字塔上限",IF(AND(B795&gt;1,G795&gt;SUMIFS($G$2:$G$1001,$A$2:$A$1001,A795,$B$2:$B$1001,B795-1)),"违规：加仓股数须逐次不增加",IF(Q795&gt;F795,"违规：止损风险超过本次预算","通过")))))))))))))))</f>
        <v/>
      </c>
    </row>
    <row r="796" ht="17" spans="1:18">
      <c r="A796" s="13"/>
      <c r="B796" s="14"/>
      <c r="C796" s="15"/>
      <c r="D796" s="16"/>
      <c r="E796" s="16"/>
      <c r="F796" s="16"/>
      <c r="G796" s="14"/>
      <c r="H796" s="17" t="str">
        <f t="shared" si="96"/>
        <v/>
      </c>
      <c r="I796" s="18" t="str">
        <f>IF(OR(A796="",B796=""),"",IFERROR(LOOKUP(2,1/(单次交易!$A$2:$A$201=A796),单次交易!$H$2:$H$201),0)+SUMIFS($G$2:$G$1001,$A$2:$A$1001,A796,$B$2:$B$1001,"&lt;"&amp;B796))</f>
        <v/>
      </c>
      <c r="J796" s="17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17" t="str">
        <f t="shared" si="97"/>
        <v/>
      </c>
      <c r="L796" s="18" t="str">
        <f t="shared" si="98"/>
        <v/>
      </c>
      <c r="M796" s="18" t="str">
        <f t="shared" si="99"/>
        <v/>
      </c>
      <c r="N796" s="18" t="str">
        <f t="shared" si="100"/>
        <v/>
      </c>
      <c r="O796" s="18" t="str">
        <f t="shared" si="101"/>
        <v/>
      </c>
      <c r="P796" s="17" t="str">
        <f t="shared" si="102"/>
        <v/>
      </c>
      <c r="Q796" s="17" t="str">
        <f t="shared" si="103"/>
        <v/>
      </c>
      <c r="R796" s="19" t="str">
        <f ca="1">IF(A796="","",IF(COUNTIF(_TradeIds,A796)=0,"违规：交易编号不存在",IF(OR(B796="",B796&lt;1,B796&gt;5,B796&lt;&gt;INT(B796)),"违规：加仓序号须为1到5的整数",IF(COUNTIFS($A$2:$A$1001,A796,$B$2:$B$1001,B796)&gt;1,"违规：同一交易的加仓序号重复",IF(OR(D796="",E796="",F796=""),"计划不完整：请填写加仓价、新止损价和风险预算",IF(OR(D796&lt;=0,E796&lt;=0,F796&lt;=0,D796&lt;=E796),"违规：加仓价必须高于新止损价，金额须大于0",IF(AND(B796&gt;1,COUNTIFS($A$2:$A$1001,A796,$B$2:$B$1001,B796-1,$G$2:$G$1001,"&gt;0")=0),"违规：须先完成上一次加仓",IF(AND(B796&gt;1,E796&lt;SUMIFS($E$2:$E$1001,$A$2:$A$1001,A796,$B$2:$B$1001,B796-1)),"违规：新止损价不得低于上一次",IF(AND(B796&gt;1,F796&gt;SUMIFS($F$2:$F$1001,$A$2:$A$1001,A796,$B$2:$B$1001,B796-1)),"违规：风险预算须逐次不增加",IF(OR(_LockStatus="已锁仓",_LockStatus="解锁信息不完整"),"违规：锁仓期间禁止加仓",IF(G796="","计划可执行：建议股数见N列",IF(OR(G796&lt;=0,G796&lt;&gt;INT(G796),MOD(G796,100)&lt;&gt;0),"违规：实际股数须为100股整数倍",IF(G796&gt;N796,"违规：实际股数超过风险或金字塔上限",IF(AND(B796&gt;1,G796&gt;SUMIFS($G$2:$G$1001,$A$2:$A$1001,A796,$B$2:$B$1001,B796-1)),"违规：加仓股数须逐次不增加",IF(Q796&gt;F796,"违规：止损风险超过本次预算","通过")))))))))))))))</f>
        <v/>
      </c>
    </row>
    <row r="797" ht="17" spans="1:18">
      <c r="A797" s="13"/>
      <c r="B797" s="14"/>
      <c r="C797" s="15"/>
      <c r="D797" s="16"/>
      <c r="E797" s="16"/>
      <c r="F797" s="16"/>
      <c r="G797" s="14"/>
      <c r="H797" s="17" t="str">
        <f t="shared" si="96"/>
        <v/>
      </c>
      <c r="I797" s="18" t="str">
        <f>IF(OR(A797="",B797=""),"",IFERROR(LOOKUP(2,1/(单次交易!$A$2:$A$201=A797),单次交易!$H$2:$H$201),0)+SUMIFS($G$2:$G$1001,$A$2:$A$1001,A797,$B$2:$B$1001,"&lt;"&amp;B797))</f>
        <v/>
      </c>
      <c r="J797" s="17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17" t="str">
        <f t="shared" si="97"/>
        <v/>
      </c>
      <c r="L797" s="18" t="str">
        <f t="shared" si="98"/>
        <v/>
      </c>
      <c r="M797" s="18" t="str">
        <f t="shared" si="99"/>
        <v/>
      </c>
      <c r="N797" s="18" t="str">
        <f t="shared" si="100"/>
        <v/>
      </c>
      <c r="O797" s="18" t="str">
        <f t="shared" si="101"/>
        <v/>
      </c>
      <c r="P797" s="17" t="str">
        <f t="shared" si="102"/>
        <v/>
      </c>
      <c r="Q797" s="17" t="str">
        <f t="shared" si="103"/>
        <v/>
      </c>
      <c r="R797" s="19" t="str">
        <f ca="1">IF(A797="","",IF(COUNTIF(_TradeIds,A797)=0,"违规：交易编号不存在",IF(OR(B797="",B797&lt;1,B797&gt;5,B797&lt;&gt;INT(B797)),"违规：加仓序号须为1到5的整数",IF(COUNTIFS($A$2:$A$1001,A797,$B$2:$B$1001,B797)&gt;1,"违规：同一交易的加仓序号重复",IF(OR(D797="",E797="",F797=""),"计划不完整：请填写加仓价、新止损价和风险预算",IF(OR(D797&lt;=0,E797&lt;=0,F797&lt;=0,D797&lt;=E797),"违规：加仓价必须高于新止损价，金额须大于0",IF(AND(B797&gt;1,COUNTIFS($A$2:$A$1001,A797,$B$2:$B$1001,B797-1,$G$2:$G$1001,"&gt;0")=0),"违规：须先完成上一次加仓",IF(AND(B797&gt;1,E797&lt;SUMIFS($E$2:$E$1001,$A$2:$A$1001,A797,$B$2:$B$1001,B797-1)),"违规：新止损价不得低于上一次",IF(AND(B797&gt;1,F797&gt;SUMIFS($F$2:$F$1001,$A$2:$A$1001,A797,$B$2:$B$1001,B797-1)),"违规：风险预算须逐次不增加",IF(OR(_LockStatus="已锁仓",_LockStatus="解锁信息不完整"),"违规：锁仓期间禁止加仓",IF(G797="","计划可执行：建议股数见N列",IF(OR(G797&lt;=0,G797&lt;&gt;INT(G797),MOD(G797,100)&lt;&gt;0),"违规：实际股数须为100股整数倍",IF(G797&gt;N797,"违规：实际股数超过风险或金字塔上限",IF(AND(B797&gt;1,G797&gt;SUMIFS($G$2:$G$1001,$A$2:$A$1001,A797,$B$2:$B$1001,B797-1)),"违规：加仓股数须逐次不增加",IF(Q797&gt;F797,"违规：止损风险超过本次预算","通过")))))))))))))))</f>
        <v/>
      </c>
    </row>
    <row r="798" ht="17" spans="1:18">
      <c r="A798" s="13"/>
      <c r="B798" s="14"/>
      <c r="C798" s="15"/>
      <c r="D798" s="16"/>
      <c r="E798" s="16"/>
      <c r="F798" s="16"/>
      <c r="G798" s="14"/>
      <c r="H798" s="17" t="str">
        <f t="shared" si="96"/>
        <v/>
      </c>
      <c r="I798" s="18" t="str">
        <f>IF(OR(A798="",B798=""),"",IFERROR(LOOKUP(2,1/(单次交易!$A$2:$A$201=A798),单次交易!$H$2:$H$201),0)+SUMIFS($G$2:$G$1001,$A$2:$A$1001,A798,$B$2:$B$1001,"&lt;"&amp;B798))</f>
        <v/>
      </c>
      <c r="J798" s="17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17" t="str">
        <f t="shared" si="97"/>
        <v/>
      </c>
      <c r="L798" s="18" t="str">
        <f t="shared" si="98"/>
        <v/>
      </c>
      <c r="M798" s="18" t="str">
        <f t="shared" si="99"/>
        <v/>
      </c>
      <c r="N798" s="18" t="str">
        <f t="shared" si="100"/>
        <v/>
      </c>
      <c r="O798" s="18" t="str">
        <f t="shared" si="101"/>
        <v/>
      </c>
      <c r="P798" s="17" t="str">
        <f t="shared" si="102"/>
        <v/>
      </c>
      <c r="Q798" s="17" t="str">
        <f t="shared" si="103"/>
        <v/>
      </c>
      <c r="R798" s="19" t="str">
        <f ca="1">IF(A798="","",IF(COUNTIF(_TradeIds,A798)=0,"违规：交易编号不存在",IF(OR(B798="",B798&lt;1,B798&gt;5,B798&lt;&gt;INT(B798)),"违规：加仓序号须为1到5的整数",IF(COUNTIFS($A$2:$A$1001,A798,$B$2:$B$1001,B798)&gt;1,"违规：同一交易的加仓序号重复",IF(OR(D798="",E798="",F798=""),"计划不完整：请填写加仓价、新止损价和风险预算",IF(OR(D798&lt;=0,E798&lt;=0,F798&lt;=0,D798&lt;=E798),"违规：加仓价必须高于新止损价，金额须大于0",IF(AND(B798&gt;1,COUNTIFS($A$2:$A$1001,A798,$B$2:$B$1001,B798-1,$G$2:$G$1001,"&gt;0")=0),"违规：须先完成上一次加仓",IF(AND(B798&gt;1,E798&lt;SUMIFS($E$2:$E$1001,$A$2:$A$1001,A798,$B$2:$B$1001,B798-1)),"违规：新止损价不得低于上一次",IF(AND(B798&gt;1,F798&gt;SUMIFS($F$2:$F$1001,$A$2:$A$1001,A798,$B$2:$B$1001,B798-1)),"违规：风险预算须逐次不增加",IF(OR(_LockStatus="已锁仓",_LockStatus="解锁信息不完整"),"违规：锁仓期间禁止加仓",IF(G798="","计划可执行：建议股数见N列",IF(OR(G798&lt;=0,G798&lt;&gt;INT(G798),MOD(G798,100)&lt;&gt;0),"违规：实际股数须为100股整数倍",IF(G798&gt;N798,"违规：实际股数超过风险或金字塔上限",IF(AND(B798&gt;1,G798&gt;SUMIFS($G$2:$G$1001,$A$2:$A$1001,A798,$B$2:$B$1001,B798-1)),"违规：加仓股数须逐次不增加",IF(Q798&gt;F798,"违规：止损风险超过本次预算","通过")))))))))))))))</f>
        <v/>
      </c>
    </row>
    <row r="799" ht="17" spans="1:18">
      <c r="A799" s="13"/>
      <c r="B799" s="14"/>
      <c r="C799" s="15"/>
      <c r="D799" s="16"/>
      <c r="E799" s="16"/>
      <c r="F799" s="16"/>
      <c r="G799" s="14"/>
      <c r="H799" s="17" t="str">
        <f t="shared" si="96"/>
        <v/>
      </c>
      <c r="I799" s="18" t="str">
        <f>IF(OR(A799="",B799=""),"",IFERROR(LOOKUP(2,1/(单次交易!$A$2:$A$201=A799),单次交易!$H$2:$H$201),0)+SUMIFS($G$2:$G$1001,$A$2:$A$1001,A799,$B$2:$B$1001,"&lt;"&amp;B799))</f>
        <v/>
      </c>
      <c r="J799" s="17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17" t="str">
        <f t="shared" si="97"/>
        <v/>
      </c>
      <c r="L799" s="18" t="str">
        <f t="shared" si="98"/>
        <v/>
      </c>
      <c r="M799" s="18" t="str">
        <f t="shared" si="99"/>
        <v/>
      </c>
      <c r="N799" s="18" t="str">
        <f t="shared" si="100"/>
        <v/>
      </c>
      <c r="O799" s="18" t="str">
        <f t="shared" si="101"/>
        <v/>
      </c>
      <c r="P799" s="17" t="str">
        <f t="shared" si="102"/>
        <v/>
      </c>
      <c r="Q799" s="17" t="str">
        <f t="shared" si="103"/>
        <v/>
      </c>
      <c r="R799" s="19" t="str">
        <f ca="1">IF(A799="","",IF(COUNTIF(_TradeIds,A799)=0,"违规：交易编号不存在",IF(OR(B799="",B799&lt;1,B799&gt;5,B799&lt;&gt;INT(B799)),"违规：加仓序号须为1到5的整数",IF(COUNTIFS($A$2:$A$1001,A799,$B$2:$B$1001,B799)&gt;1,"违规：同一交易的加仓序号重复",IF(OR(D799="",E799="",F799=""),"计划不完整：请填写加仓价、新止损价和风险预算",IF(OR(D799&lt;=0,E799&lt;=0,F799&lt;=0,D799&lt;=E799),"违规：加仓价必须高于新止损价，金额须大于0",IF(AND(B799&gt;1,COUNTIFS($A$2:$A$1001,A799,$B$2:$B$1001,B799-1,$G$2:$G$1001,"&gt;0")=0),"违规：须先完成上一次加仓",IF(AND(B799&gt;1,E799&lt;SUMIFS($E$2:$E$1001,$A$2:$A$1001,A799,$B$2:$B$1001,B799-1)),"违规：新止损价不得低于上一次",IF(AND(B799&gt;1,F799&gt;SUMIFS($F$2:$F$1001,$A$2:$A$1001,A799,$B$2:$B$1001,B799-1)),"违规：风险预算须逐次不增加",IF(OR(_LockStatus="已锁仓",_LockStatus="解锁信息不完整"),"违规：锁仓期间禁止加仓",IF(G799="","计划可执行：建议股数见N列",IF(OR(G799&lt;=0,G799&lt;&gt;INT(G799),MOD(G799,100)&lt;&gt;0),"违规：实际股数须为100股整数倍",IF(G799&gt;N799,"违规：实际股数超过风险或金字塔上限",IF(AND(B799&gt;1,G799&gt;SUMIFS($G$2:$G$1001,$A$2:$A$1001,A799,$B$2:$B$1001,B799-1)),"违规：加仓股数须逐次不增加",IF(Q799&gt;F799,"违规：止损风险超过本次预算","通过")))))))))))))))</f>
        <v/>
      </c>
    </row>
    <row r="800" ht="17" spans="1:18">
      <c r="A800" s="13"/>
      <c r="B800" s="14"/>
      <c r="C800" s="15"/>
      <c r="D800" s="16"/>
      <c r="E800" s="16"/>
      <c r="F800" s="16"/>
      <c r="G800" s="14"/>
      <c r="H800" s="17" t="str">
        <f t="shared" si="96"/>
        <v/>
      </c>
      <c r="I800" s="18" t="str">
        <f>IF(OR(A800="",B800=""),"",IFERROR(LOOKUP(2,1/(单次交易!$A$2:$A$201=A800),单次交易!$H$2:$H$201),0)+SUMIFS($G$2:$G$1001,$A$2:$A$1001,A800,$B$2:$B$1001,"&lt;"&amp;B800))</f>
        <v/>
      </c>
      <c r="J800" s="17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17" t="str">
        <f t="shared" si="97"/>
        <v/>
      </c>
      <c r="L800" s="18" t="str">
        <f t="shared" si="98"/>
        <v/>
      </c>
      <c r="M800" s="18" t="str">
        <f t="shared" si="99"/>
        <v/>
      </c>
      <c r="N800" s="18" t="str">
        <f t="shared" si="100"/>
        <v/>
      </c>
      <c r="O800" s="18" t="str">
        <f t="shared" si="101"/>
        <v/>
      </c>
      <c r="P800" s="17" t="str">
        <f t="shared" si="102"/>
        <v/>
      </c>
      <c r="Q800" s="17" t="str">
        <f t="shared" si="103"/>
        <v/>
      </c>
      <c r="R800" s="19" t="str">
        <f ca="1">IF(A800="","",IF(COUNTIF(_TradeIds,A800)=0,"违规：交易编号不存在",IF(OR(B800="",B800&lt;1,B800&gt;5,B800&lt;&gt;INT(B800)),"违规：加仓序号须为1到5的整数",IF(COUNTIFS($A$2:$A$1001,A800,$B$2:$B$1001,B800)&gt;1,"违规：同一交易的加仓序号重复",IF(OR(D800="",E800="",F800=""),"计划不完整：请填写加仓价、新止损价和风险预算",IF(OR(D800&lt;=0,E800&lt;=0,F800&lt;=0,D800&lt;=E800),"违规：加仓价必须高于新止损价，金额须大于0",IF(AND(B800&gt;1,COUNTIFS($A$2:$A$1001,A800,$B$2:$B$1001,B800-1,$G$2:$G$1001,"&gt;0")=0),"违规：须先完成上一次加仓",IF(AND(B800&gt;1,E800&lt;SUMIFS($E$2:$E$1001,$A$2:$A$1001,A800,$B$2:$B$1001,B800-1)),"违规：新止损价不得低于上一次",IF(AND(B800&gt;1,F800&gt;SUMIFS($F$2:$F$1001,$A$2:$A$1001,A800,$B$2:$B$1001,B800-1)),"违规：风险预算须逐次不增加",IF(OR(_LockStatus="已锁仓",_LockStatus="解锁信息不完整"),"违规：锁仓期间禁止加仓",IF(G800="","计划可执行：建议股数见N列",IF(OR(G800&lt;=0,G800&lt;&gt;INT(G800),MOD(G800,100)&lt;&gt;0),"违规：实际股数须为100股整数倍",IF(G800&gt;N800,"违规：实际股数超过风险或金字塔上限",IF(AND(B800&gt;1,G800&gt;SUMIFS($G$2:$G$1001,$A$2:$A$1001,A800,$B$2:$B$1001,B800-1)),"违规：加仓股数须逐次不增加",IF(Q800&gt;F800,"违规：止损风险超过本次预算","通过")))))))))))))))</f>
        <v/>
      </c>
    </row>
    <row r="801" ht="17" spans="1:18">
      <c r="A801" s="13"/>
      <c r="B801" s="14"/>
      <c r="C801" s="15"/>
      <c r="D801" s="16"/>
      <c r="E801" s="16"/>
      <c r="F801" s="16"/>
      <c r="G801" s="14"/>
      <c r="H801" s="17" t="str">
        <f t="shared" si="96"/>
        <v/>
      </c>
      <c r="I801" s="18" t="str">
        <f>IF(OR(A801="",B801=""),"",IFERROR(LOOKUP(2,1/(单次交易!$A$2:$A$201=A801),单次交易!$H$2:$H$201),0)+SUMIFS($G$2:$G$1001,$A$2:$A$1001,A801,$B$2:$B$1001,"&lt;"&amp;B801))</f>
        <v/>
      </c>
      <c r="J801" s="17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17" t="str">
        <f t="shared" si="97"/>
        <v/>
      </c>
      <c r="L801" s="18" t="str">
        <f t="shared" si="98"/>
        <v/>
      </c>
      <c r="M801" s="18" t="str">
        <f t="shared" si="99"/>
        <v/>
      </c>
      <c r="N801" s="18" t="str">
        <f t="shared" si="100"/>
        <v/>
      </c>
      <c r="O801" s="18" t="str">
        <f t="shared" si="101"/>
        <v/>
      </c>
      <c r="P801" s="17" t="str">
        <f t="shared" si="102"/>
        <v/>
      </c>
      <c r="Q801" s="17" t="str">
        <f t="shared" si="103"/>
        <v/>
      </c>
      <c r="R801" s="19" t="str">
        <f ca="1">IF(A801="","",IF(COUNTIF(_TradeIds,A801)=0,"违规：交易编号不存在",IF(OR(B801="",B801&lt;1,B801&gt;5,B801&lt;&gt;INT(B801)),"违规：加仓序号须为1到5的整数",IF(COUNTIFS($A$2:$A$1001,A801,$B$2:$B$1001,B801)&gt;1,"违规：同一交易的加仓序号重复",IF(OR(D801="",E801="",F801=""),"计划不完整：请填写加仓价、新止损价和风险预算",IF(OR(D801&lt;=0,E801&lt;=0,F801&lt;=0,D801&lt;=E801),"违规：加仓价必须高于新止损价，金额须大于0",IF(AND(B801&gt;1,COUNTIFS($A$2:$A$1001,A801,$B$2:$B$1001,B801-1,$G$2:$G$1001,"&gt;0")=0),"违规：须先完成上一次加仓",IF(AND(B801&gt;1,E801&lt;SUMIFS($E$2:$E$1001,$A$2:$A$1001,A801,$B$2:$B$1001,B801-1)),"违规：新止损价不得低于上一次",IF(AND(B801&gt;1,F801&gt;SUMIFS($F$2:$F$1001,$A$2:$A$1001,A801,$B$2:$B$1001,B801-1)),"违规：风险预算须逐次不增加",IF(OR(_LockStatus="已锁仓",_LockStatus="解锁信息不完整"),"违规：锁仓期间禁止加仓",IF(G801="","计划可执行：建议股数见N列",IF(OR(G801&lt;=0,G801&lt;&gt;INT(G801),MOD(G801,100)&lt;&gt;0),"违规：实际股数须为100股整数倍",IF(G801&gt;N801,"违规：实际股数超过风险或金字塔上限",IF(AND(B801&gt;1,G801&gt;SUMIFS($G$2:$G$1001,$A$2:$A$1001,A801,$B$2:$B$1001,B801-1)),"违规：加仓股数须逐次不增加",IF(Q801&gt;F801,"违规：止损风险超过本次预算","通过")))))))))))))))</f>
        <v/>
      </c>
    </row>
    <row r="802" ht="17" spans="1:18">
      <c r="A802" s="13"/>
      <c r="B802" s="14"/>
      <c r="C802" s="15"/>
      <c r="D802" s="16"/>
      <c r="E802" s="16"/>
      <c r="F802" s="16"/>
      <c r="G802" s="14"/>
      <c r="H802" s="17" t="str">
        <f t="shared" si="96"/>
        <v/>
      </c>
      <c r="I802" s="18" t="str">
        <f>IF(OR(A802="",B802=""),"",IFERROR(LOOKUP(2,1/(单次交易!$A$2:$A$201=A802),单次交易!$H$2:$H$201),0)+SUMIFS($G$2:$G$1001,$A$2:$A$1001,A802,$B$2:$B$1001,"&lt;"&amp;B802))</f>
        <v/>
      </c>
      <c r="J802" s="17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17" t="str">
        <f t="shared" si="97"/>
        <v/>
      </c>
      <c r="L802" s="18" t="str">
        <f t="shared" si="98"/>
        <v/>
      </c>
      <c r="M802" s="18" t="str">
        <f t="shared" si="99"/>
        <v/>
      </c>
      <c r="N802" s="18" t="str">
        <f t="shared" si="100"/>
        <v/>
      </c>
      <c r="O802" s="18" t="str">
        <f t="shared" si="101"/>
        <v/>
      </c>
      <c r="P802" s="17" t="str">
        <f t="shared" si="102"/>
        <v/>
      </c>
      <c r="Q802" s="17" t="str">
        <f t="shared" si="103"/>
        <v/>
      </c>
      <c r="R802" s="19" t="str">
        <f ca="1">IF(A802="","",IF(COUNTIF(_TradeIds,A802)=0,"违规：交易编号不存在",IF(OR(B802="",B802&lt;1,B802&gt;5,B802&lt;&gt;INT(B802)),"违规：加仓序号须为1到5的整数",IF(COUNTIFS($A$2:$A$1001,A802,$B$2:$B$1001,B802)&gt;1,"违规：同一交易的加仓序号重复",IF(OR(D802="",E802="",F802=""),"计划不完整：请填写加仓价、新止损价和风险预算",IF(OR(D802&lt;=0,E802&lt;=0,F802&lt;=0,D802&lt;=E802),"违规：加仓价必须高于新止损价，金额须大于0",IF(AND(B802&gt;1,COUNTIFS($A$2:$A$1001,A802,$B$2:$B$1001,B802-1,$G$2:$G$1001,"&gt;0")=0),"违规：须先完成上一次加仓",IF(AND(B802&gt;1,E802&lt;SUMIFS($E$2:$E$1001,$A$2:$A$1001,A802,$B$2:$B$1001,B802-1)),"违规：新止损价不得低于上一次",IF(AND(B802&gt;1,F802&gt;SUMIFS($F$2:$F$1001,$A$2:$A$1001,A802,$B$2:$B$1001,B802-1)),"违规：风险预算须逐次不增加",IF(OR(_LockStatus="已锁仓",_LockStatus="解锁信息不完整"),"违规：锁仓期间禁止加仓",IF(G802="","计划可执行：建议股数见N列",IF(OR(G802&lt;=0,G802&lt;&gt;INT(G802),MOD(G802,100)&lt;&gt;0),"违规：实际股数须为100股整数倍",IF(G802&gt;N802,"违规：实际股数超过风险或金字塔上限",IF(AND(B802&gt;1,G802&gt;SUMIFS($G$2:$G$1001,$A$2:$A$1001,A802,$B$2:$B$1001,B802-1)),"违规：加仓股数须逐次不增加",IF(Q802&gt;F802,"违规：止损风险超过本次预算","通过")))))))))))))))</f>
        <v/>
      </c>
    </row>
    <row r="803" ht="17" spans="1:18">
      <c r="A803" s="13"/>
      <c r="B803" s="14"/>
      <c r="C803" s="15"/>
      <c r="D803" s="16"/>
      <c r="E803" s="16"/>
      <c r="F803" s="16"/>
      <c r="G803" s="14"/>
      <c r="H803" s="17" t="str">
        <f t="shared" si="96"/>
        <v/>
      </c>
      <c r="I803" s="18" t="str">
        <f>IF(OR(A803="",B803=""),"",IFERROR(LOOKUP(2,1/(单次交易!$A$2:$A$201=A803),单次交易!$H$2:$H$201),0)+SUMIFS($G$2:$G$1001,$A$2:$A$1001,A803,$B$2:$B$1001,"&lt;"&amp;B803))</f>
        <v/>
      </c>
      <c r="J803" s="17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17" t="str">
        <f t="shared" si="97"/>
        <v/>
      </c>
      <c r="L803" s="18" t="str">
        <f t="shared" si="98"/>
        <v/>
      </c>
      <c r="M803" s="18" t="str">
        <f t="shared" si="99"/>
        <v/>
      </c>
      <c r="N803" s="18" t="str">
        <f t="shared" si="100"/>
        <v/>
      </c>
      <c r="O803" s="18" t="str">
        <f t="shared" si="101"/>
        <v/>
      </c>
      <c r="P803" s="17" t="str">
        <f t="shared" si="102"/>
        <v/>
      </c>
      <c r="Q803" s="17" t="str">
        <f t="shared" si="103"/>
        <v/>
      </c>
      <c r="R803" s="19" t="str">
        <f ca="1">IF(A803="","",IF(COUNTIF(_TradeIds,A803)=0,"违规：交易编号不存在",IF(OR(B803="",B803&lt;1,B803&gt;5,B803&lt;&gt;INT(B803)),"违规：加仓序号须为1到5的整数",IF(COUNTIFS($A$2:$A$1001,A803,$B$2:$B$1001,B803)&gt;1,"违规：同一交易的加仓序号重复",IF(OR(D803="",E803="",F803=""),"计划不完整：请填写加仓价、新止损价和风险预算",IF(OR(D803&lt;=0,E803&lt;=0,F803&lt;=0,D803&lt;=E803),"违规：加仓价必须高于新止损价，金额须大于0",IF(AND(B803&gt;1,COUNTIFS($A$2:$A$1001,A803,$B$2:$B$1001,B803-1,$G$2:$G$1001,"&gt;0")=0),"违规：须先完成上一次加仓",IF(AND(B803&gt;1,E803&lt;SUMIFS($E$2:$E$1001,$A$2:$A$1001,A803,$B$2:$B$1001,B803-1)),"违规：新止损价不得低于上一次",IF(AND(B803&gt;1,F803&gt;SUMIFS($F$2:$F$1001,$A$2:$A$1001,A803,$B$2:$B$1001,B803-1)),"违规：风险预算须逐次不增加",IF(OR(_LockStatus="已锁仓",_LockStatus="解锁信息不完整"),"违规：锁仓期间禁止加仓",IF(G803="","计划可执行：建议股数见N列",IF(OR(G803&lt;=0,G803&lt;&gt;INT(G803),MOD(G803,100)&lt;&gt;0),"违规：实际股数须为100股整数倍",IF(G803&gt;N803,"违规：实际股数超过风险或金字塔上限",IF(AND(B803&gt;1,G803&gt;SUMIFS($G$2:$G$1001,$A$2:$A$1001,A803,$B$2:$B$1001,B803-1)),"违规：加仓股数须逐次不增加",IF(Q803&gt;F803,"违规：止损风险超过本次预算","通过")))))))))))))))</f>
        <v/>
      </c>
    </row>
    <row r="804" ht="17" spans="1:18">
      <c r="A804" s="13"/>
      <c r="B804" s="14"/>
      <c r="C804" s="15"/>
      <c r="D804" s="16"/>
      <c r="E804" s="16"/>
      <c r="F804" s="16"/>
      <c r="G804" s="14"/>
      <c r="H804" s="17" t="str">
        <f t="shared" si="96"/>
        <v/>
      </c>
      <c r="I804" s="18" t="str">
        <f>IF(OR(A804="",B804=""),"",IFERROR(LOOKUP(2,1/(单次交易!$A$2:$A$201=A804),单次交易!$H$2:$H$201),0)+SUMIFS($G$2:$G$1001,$A$2:$A$1001,A804,$B$2:$B$1001,"&lt;"&amp;B804))</f>
        <v/>
      </c>
      <c r="J804" s="17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17" t="str">
        <f t="shared" si="97"/>
        <v/>
      </c>
      <c r="L804" s="18" t="str">
        <f t="shared" si="98"/>
        <v/>
      </c>
      <c r="M804" s="18" t="str">
        <f t="shared" si="99"/>
        <v/>
      </c>
      <c r="N804" s="18" t="str">
        <f t="shared" si="100"/>
        <v/>
      </c>
      <c r="O804" s="18" t="str">
        <f t="shared" si="101"/>
        <v/>
      </c>
      <c r="P804" s="17" t="str">
        <f t="shared" si="102"/>
        <v/>
      </c>
      <c r="Q804" s="17" t="str">
        <f t="shared" si="103"/>
        <v/>
      </c>
      <c r="R804" s="19" t="str">
        <f ca="1">IF(A804="","",IF(COUNTIF(_TradeIds,A804)=0,"违规：交易编号不存在",IF(OR(B804="",B804&lt;1,B804&gt;5,B804&lt;&gt;INT(B804)),"违规：加仓序号须为1到5的整数",IF(COUNTIFS($A$2:$A$1001,A804,$B$2:$B$1001,B804)&gt;1,"违规：同一交易的加仓序号重复",IF(OR(D804="",E804="",F804=""),"计划不完整：请填写加仓价、新止损价和风险预算",IF(OR(D804&lt;=0,E804&lt;=0,F804&lt;=0,D804&lt;=E804),"违规：加仓价必须高于新止损价，金额须大于0",IF(AND(B804&gt;1,COUNTIFS($A$2:$A$1001,A804,$B$2:$B$1001,B804-1,$G$2:$G$1001,"&gt;0")=0),"违规：须先完成上一次加仓",IF(AND(B804&gt;1,E804&lt;SUMIFS($E$2:$E$1001,$A$2:$A$1001,A804,$B$2:$B$1001,B804-1)),"违规：新止损价不得低于上一次",IF(AND(B804&gt;1,F804&gt;SUMIFS($F$2:$F$1001,$A$2:$A$1001,A804,$B$2:$B$1001,B804-1)),"违规：风险预算须逐次不增加",IF(OR(_LockStatus="已锁仓",_LockStatus="解锁信息不完整"),"违规：锁仓期间禁止加仓",IF(G804="","计划可执行：建议股数见N列",IF(OR(G804&lt;=0,G804&lt;&gt;INT(G804),MOD(G804,100)&lt;&gt;0),"违规：实际股数须为100股整数倍",IF(G804&gt;N804,"违规：实际股数超过风险或金字塔上限",IF(AND(B804&gt;1,G804&gt;SUMIFS($G$2:$G$1001,$A$2:$A$1001,A804,$B$2:$B$1001,B804-1)),"违规：加仓股数须逐次不增加",IF(Q804&gt;F804,"违规：止损风险超过本次预算","通过")))))))))))))))</f>
        <v/>
      </c>
    </row>
    <row r="805" ht="17" spans="1:18">
      <c r="A805" s="13"/>
      <c r="B805" s="14"/>
      <c r="C805" s="15"/>
      <c r="D805" s="16"/>
      <c r="E805" s="16"/>
      <c r="F805" s="16"/>
      <c r="G805" s="14"/>
      <c r="H805" s="17" t="str">
        <f t="shared" si="96"/>
        <v/>
      </c>
      <c r="I805" s="18" t="str">
        <f>IF(OR(A805="",B805=""),"",IFERROR(LOOKUP(2,1/(单次交易!$A$2:$A$201=A805),单次交易!$H$2:$H$201),0)+SUMIFS($G$2:$G$1001,$A$2:$A$1001,A805,$B$2:$B$1001,"&lt;"&amp;B805))</f>
        <v/>
      </c>
      <c r="J805" s="17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17" t="str">
        <f t="shared" si="97"/>
        <v/>
      </c>
      <c r="L805" s="18" t="str">
        <f t="shared" si="98"/>
        <v/>
      </c>
      <c r="M805" s="18" t="str">
        <f t="shared" si="99"/>
        <v/>
      </c>
      <c r="N805" s="18" t="str">
        <f t="shared" si="100"/>
        <v/>
      </c>
      <c r="O805" s="18" t="str">
        <f t="shared" si="101"/>
        <v/>
      </c>
      <c r="P805" s="17" t="str">
        <f t="shared" si="102"/>
        <v/>
      </c>
      <c r="Q805" s="17" t="str">
        <f t="shared" si="103"/>
        <v/>
      </c>
      <c r="R805" s="19" t="str">
        <f ca="1">IF(A805="","",IF(COUNTIF(_TradeIds,A805)=0,"违规：交易编号不存在",IF(OR(B805="",B805&lt;1,B805&gt;5,B805&lt;&gt;INT(B805)),"违规：加仓序号须为1到5的整数",IF(COUNTIFS($A$2:$A$1001,A805,$B$2:$B$1001,B805)&gt;1,"违规：同一交易的加仓序号重复",IF(OR(D805="",E805="",F805=""),"计划不完整：请填写加仓价、新止损价和风险预算",IF(OR(D805&lt;=0,E805&lt;=0,F805&lt;=0,D805&lt;=E805),"违规：加仓价必须高于新止损价，金额须大于0",IF(AND(B805&gt;1,COUNTIFS($A$2:$A$1001,A805,$B$2:$B$1001,B805-1,$G$2:$G$1001,"&gt;0")=0),"违规：须先完成上一次加仓",IF(AND(B805&gt;1,E805&lt;SUMIFS($E$2:$E$1001,$A$2:$A$1001,A805,$B$2:$B$1001,B805-1)),"违规：新止损价不得低于上一次",IF(AND(B805&gt;1,F805&gt;SUMIFS($F$2:$F$1001,$A$2:$A$1001,A805,$B$2:$B$1001,B805-1)),"违规：风险预算须逐次不增加",IF(OR(_LockStatus="已锁仓",_LockStatus="解锁信息不完整"),"违规：锁仓期间禁止加仓",IF(G805="","计划可执行：建议股数见N列",IF(OR(G805&lt;=0,G805&lt;&gt;INT(G805),MOD(G805,100)&lt;&gt;0),"违规：实际股数须为100股整数倍",IF(G805&gt;N805,"违规：实际股数超过风险或金字塔上限",IF(AND(B805&gt;1,G805&gt;SUMIFS($G$2:$G$1001,$A$2:$A$1001,A805,$B$2:$B$1001,B805-1)),"违规：加仓股数须逐次不增加",IF(Q805&gt;F805,"违规：止损风险超过本次预算","通过")))))))))))))))</f>
        <v/>
      </c>
    </row>
    <row r="806" ht="17" spans="1:18">
      <c r="A806" s="13"/>
      <c r="B806" s="14"/>
      <c r="C806" s="15"/>
      <c r="D806" s="16"/>
      <c r="E806" s="16"/>
      <c r="F806" s="16"/>
      <c r="G806" s="14"/>
      <c r="H806" s="17" t="str">
        <f t="shared" si="96"/>
        <v/>
      </c>
      <c r="I806" s="18" t="str">
        <f>IF(OR(A806="",B806=""),"",IFERROR(LOOKUP(2,1/(单次交易!$A$2:$A$201=A806),单次交易!$H$2:$H$201),0)+SUMIFS($G$2:$G$1001,$A$2:$A$1001,A806,$B$2:$B$1001,"&lt;"&amp;B806))</f>
        <v/>
      </c>
      <c r="J806" s="17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17" t="str">
        <f t="shared" si="97"/>
        <v/>
      </c>
      <c r="L806" s="18" t="str">
        <f t="shared" si="98"/>
        <v/>
      </c>
      <c r="M806" s="18" t="str">
        <f t="shared" si="99"/>
        <v/>
      </c>
      <c r="N806" s="18" t="str">
        <f t="shared" si="100"/>
        <v/>
      </c>
      <c r="O806" s="18" t="str">
        <f t="shared" si="101"/>
        <v/>
      </c>
      <c r="P806" s="17" t="str">
        <f t="shared" si="102"/>
        <v/>
      </c>
      <c r="Q806" s="17" t="str">
        <f t="shared" si="103"/>
        <v/>
      </c>
      <c r="R806" s="19" t="str">
        <f ca="1">IF(A806="","",IF(COUNTIF(_TradeIds,A806)=0,"违规：交易编号不存在",IF(OR(B806="",B806&lt;1,B806&gt;5,B806&lt;&gt;INT(B806)),"违规：加仓序号须为1到5的整数",IF(COUNTIFS($A$2:$A$1001,A806,$B$2:$B$1001,B806)&gt;1,"违规：同一交易的加仓序号重复",IF(OR(D806="",E806="",F806=""),"计划不完整：请填写加仓价、新止损价和风险预算",IF(OR(D806&lt;=0,E806&lt;=0,F806&lt;=0,D806&lt;=E806),"违规：加仓价必须高于新止损价，金额须大于0",IF(AND(B806&gt;1,COUNTIFS($A$2:$A$1001,A806,$B$2:$B$1001,B806-1,$G$2:$G$1001,"&gt;0")=0),"违规：须先完成上一次加仓",IF(AND(B806&gt;1,E806&lt;SUMIFS($E$2:$E$1001,$A$2:$A$1001,A806,$B$2:$B$1001,B806-1)),"违规：新止损价不得低于上一次",IF(AND(B806&gt;1,F806&gt;SUMIFS($F$2:$F$1001,$A$2:$A$1001,A806,$B$2:$B$1001,B806-1)),"违规：风险预算须逐次不增加",IF(OR(_LockStatus="已锁仓",_LockStatus="解锁信息不完整"),"违规：锁仓期间禁止加仓",IF(G806="","计划可执行：建议股数见N列",IF(OR(G806&lt;=0,G806&lt;&gt;INT(G806),MOD(G806,100)&lt;&gt;0),"违规：实际股数须为100股整数倍",IF(G806&gt;N806,"违规：实际股数超过风险或金字塔上限",IF(AND(B806&gt;1,G806&gt;SUMIFS($G$2:$G$1001,$A$2:$A$1001,A806,$B$2:$B$1001,B806-1)),"违规：加仓股数须逐次不增加",IF(Q806&gt;F806,"违规：止损风险超过本次预算","通过")))))))))))))))</f>
        <v/>
      </c>
    </row>
    <row r="807" ht="17" spans="1:18">
      <c r="A807" s="13"/>
      <c r="B807" s="14"/>
      <c r="C807" s="15"/>
      <c r="D807" s="16"/>
      <c r="E807" s="16"/>
      <c r="F807" s="16"/>
      <c r="G807" s="14"/>
      <c r="H807" s="17" t="str">
        <f t="shared" si="96"/>
        <v/>
      </c>
      <c r="I807" s="18" t="str">
        <f>IF(OR(A807="",B807=""),"",IFERROR(LOOKUP(2,1/(单次交易!$A$2:$A$201=A807),单次交易!$H$2:$H$201),0)+SUMIFS($G$2:$G$1001,$A$2:$A$1001,A807,$B$2:$B$1001,"&lt;"&amp;B807))</f>
        <v/>
      </c>
      <c r="J807" s="17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17" t="str">
        <f t="shared" si="97"/>
        <v/>
      </c>
      <c r="L807" s="18" t="str">
        <f t="shared" si="98"/>
        <v/>
      </c>
      <c r="M807" s="18" t="str">
        <f t="shared" si="99"/>
        <v/>
      </c>
      <c r="N807" s="18" t="str">
        <f t="shared" si="100"/>
        <v/>
      </c>
      <c r="O807" s="18" t="str">
        <f t="shared" si="101"/>
        <v/>
      </c>
      <c r="P807" s="17" t="str">
        <f t="shared" si="102"/>
        <v/>
      </c>
      <c r="Q807" s="17" t="str">
        <f t="shared" si="103"/>
        <v/>
      </c>
      <c r="R807" s="19" t="str">
        <f ca="1">IF(A807="","",IF(COUNTIF(_TradeIds,A807)=0,"违规：交易编号不存在",IF(OR(B807="",B807&lt;1,B807&gt;5,B807&lt;&gt;INT(B807)),"违规：加仓序号须为1到5的整数",IF(COUNTIFS($A$2:$A$1001,A807,$B$2:$B$1001,B807)&gt;1,"违规：同一交易的加仓序号重复",IF(OR(D807="",E807="",F807=""),"计划不完整：请填写加仓价、新止损价和风险预算",IF(OR(D807&lt;=0,E807&lt;=0,F807&lt;=0,D807&lt;=E807),"违规：加仓价必须高于新止损价，金额须大于0",IF(AND(B807&gt;1,COUNTIFS($A$2:$A$1001,A807,$B$2:$B$1001,B807-1,$G$2:$G$1001,"&gt;0")=0),"违规：须先完成上一次加仓",IF(AND(B807&gt;1,E807&lt;SUMIFS($E$2:$E$1001,$A$2:$A$1001,A807,$B$2:$B$1001,B807-1)),"违规：新止损价不得低于上一次",IF(AND(B807&gt;1,F807&gt;SUMIFS($F$2:$F$1001,$A$2:$A$1001,A807,$B$2:$B$1001,B807-1)),"违规：风险预算须逐次不增加",IF(OR(_LockStatus="已锁仓",_LockStatus="解锁信息不完整"),"违规：锁仓期间禁止加仓",IF(G807="","计划可执行：建议股数见N列",IF(OR(G807&lt;=0,G807&lt;&gt;INT(G807),MOD(G807,100)&lt;&gt;0),"违规：实际股数须为100股整数倍",IF(G807&gt;N807,"违规：实际股数超过风险或金字塔上限",IF(AND(B807&gt;1,G807&gt;SUMIFS($G$2:$G$1001,$A$2:$A$1001,A807,$B$2:$B$1001,B807-1)),"违规：加仓股数须逐次不增加",IF(Q807&gt;F807,"违规：止损风险超过本次预算","通过")))))))))))))))</f>
        <v/>
      </c>
    </row>
    <row r="808" ht="17" spans="1:18">
      <c r="A808" s="13"/>
      <c r="B808" s="14"/>
      <c r="C808" s="15"/>
      <c r="D808" s="16"/>
      <c r="E808" s="16"/>
      <c r="F808" s="16"/>
      <c r="G808" s="14"/>
      <c r="H808" s="17" t="str">
        <f t="shared" si="96"/>
        <v/>
      </c>
      <c r="I808" s="18" t="str">
        <f>IF(OR(A808="",B808=""),"",IFERROR(LOOKUP(2,1/(单次交易!$A$2:$A$201=A808),单次交易!$H$2:$H$201),0)+SUMIFS($G$2:$G$1001,$A$2:$A$1001,A808,$B$2:$B$1001,"&lt;"&amp;B808))</f>
        <v/>
      </c>
      <c r="J808" s="17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17" t="str">
        <f t="shared" si="97"/>
        <v/>
      </c>
      <c r="L808" s="18" t="str">
        <f t="shared" si="98"/>
        <v/>
      </c>
      <c r="M808" s="18" t="str">
        <f t="shared" si="99"/>
        <v/>
      </c>
      <c r="N808" s="18" t="str">
        <f t="shared" si="100"/>
        <v/>
      </c>
      <c r="O808" s="18" t="str">
        <f t="shared" si="101"/>
        <v/>
      </c>
      <c r="P808" s="17" t="str">
        <f t="shared" si="102"/>
        <v/>
      </c>
      <c r="Q808" s="17" t="str">
        <f t="shared" si="103"/>
        <v/>
      </c>
      <c r="R808" s="19" t="str">
        <f ca="1">IF(A808="","",IF(COUNTIF(_TradeIds,A808)=0,"违规：交易编号不存在",IF(OR(B808="",B808&lt;1,B808&gt;5,B808&lt;&gt;INT(B808)),"违规：加仓序号须为1到5的整数",IF(COUNTIFS($A$2:$A$1001,A808,$B$2:$B$1001,B808)&gt;1,"违规：同一交易的加仓序号重复",IF(OR(D808="",E808="",F808=""),"计划不完整：请填写加仓价、新止损价和风险预算",IF(OR(D808&lt;=0,E808&lt;=0,F808&lt;=0,D808&lt;=E808),"违规：加仓价必须高于新止损价，金额须大于0",IF(AND(B808&gt;1,COUNTIFS($A$2:$A$1001,A808,$B$2:$B$1001,B808-1,$G$2:$G$1001,"&gt;0")=0),"违规：须先完成上一次加仓",IF(AND(B808&gt;1,E808&lt;SUMIFS($E$2:$E$1001,$A$2:$A$1001,A808,$B$2:$B$1001,B808-1)),"违规：新止损价不得低于上一次",IF(AND(B808&gt;1,F808&gt;SUMIFS($F$2:$F$1001,$A$2:$A$1001,A808,$B$2:$B$1001,B808-1)),"违规：风险预算须逐次不增加",IF(OR(_LockStatus="已锁仓",_LockStatus="解锁信息不完整"),"违规：锁仓期间禁止加仓",IF(G808="","计划可执行：建议股数见N列",IF(OR(G808&lt;=0,G808&lt;&gt;INT(G808),MOD(G808,100)&lt;&gt;0),"违规：实际股数须为100股整数倍",IF(G808&gt;N808,"违规：实际股数超过风险或金字塔上限",IF(AND(B808&gt;1,G808&gt;SUMIFS($G$2:$G$1001,$A$2:$A$1001,A808,$B$2:$B$1001,B808-1)),"违规：加仓股数须逐次不增加",IF(Q808&gt;F808,"违规：止损风险超过本次预算","通过")))))))))))))))</f>
        <v/>
      </c>
    </row>
    <row r="809" ht="17" spans="1:18">
      <c r="A809" s="13"/>
      <c r="B809" s="14"/>
      <c r="C809" s="15"/>
      <c r="D809" s="16"/>
      <c r="E809" s="16"/>
      <c r="F809" s="16"/>
      <c r="G809" s="14"/>
      <c r="H809" s="17" t="str">
        <f t="shared" si="96"/>
        <v/>
      </c>
      <c r="I809" s="18" t="str">
        <f>IF(OR(A809="",B809=""),"",IFERROR(LOOKUP(2,1/(单次交易!$A$2:$A$201=A809),单次交易!$H$2:$H$201),0)+SUMIFS($G$2:$G$1001,$A$2:$A$1001,A809,$B$2:$B$1001,"&lt;"&amp;B809))</f>
        <v/>
      </c>
      <c r="J809" s="17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17" t="str">
        <f t="shared" si="97"/>
        <v/>
      </c>
      <c r="L809" s="18" t="str">
        <f t="shared" si="98"/>
        <v/>
      </c>
      <c r="M809" s="18" t="str">
        <f t="shared" si="99"/>
        <v/>
      </c>
      <c r="N809" s="18" t="str">
        <f t="shared" si="100"/>
        <v/>
      </c>
      <c r="O809" s="18" t="str">
        <f t="shared" si="101"/>
        <v/>
      </c>
      <c r="P809" s="17" t="str">
        <f t="shared" si="102"/>
        <v/>
      </c>
      <c r="Q809" s="17" t="str">
        <f t="shared" si="103"/>
        <v/>
      </c>
      <c r="R809" s="19" t="str">
        <f ca="1">IF(A809="","",IF(COUNTIF(_TradeIds,A809)=0,"违规：交易编号不存在",IF(OR(B809="",B809&lt;1,B809&gt;5,B809&lt;&gt;INT(B809)),"违规：加仓序号须为1到5的整数",IF(COUNTIFS($A$2:$A$1001,A809,$B$2:$B$1001,B809)&gt;1,"违规：同一交易的加仓序号重复",IF(OR(D809="",E809="",F809=""),"计划不完整：请填写加仓价、新止损价和风险预算",IF(OR(D809&lt;=0,E809&lt;=0,F809&lt;=0,D809&lt;=E809),"违规：加仓价必须高于新止损价，金额须大于0",IF(AND(B809&gt;1,COUNTIFS($A$2:$A$1001,A809,$B$2:$B$1001,B809-1,$G$2:$G$1001,"&gt;0")=0),"违规：须先完成上一次加仓",IF(AND(B809&gt;1,E809&lt;SUMIFS($E$2:$E$1001,$A$2:$A$1001,A809,$B$2:$B$1001,B809-1)),"违规：新止损价不得低于上一次",IF(AND(B809&gt;1,F809&gt;SUMIFS($F$2:$F$1001,$A$2:$A$1001,A809,$B$2:$B$1001,B809-1)),"违规：风险预算须逐次不增加",IF(OR(_LockStatus="已锁仓",_LockStatus="解锁信息不完整"),"违规：锁仓期间禁止加仓",IF(G809="","计划可执行：建议股数见N列",IF(OR(G809&lt;=0,G809&lt;&gt;INT(G809),MOD(G809,100)&lt;&gt;0),"违规：实际股数须为100股整数倍",IF(G809&gt;N809,"违规：实际股数超过风险或金字塔上限",IF(AND(B809&gt;1,G809&gt;SUMIFS($G$2:$G$1001,$A$2:$A$1001,A809,$B$2:$B$1001,B809-1)),"违规：加仓股数须逐次不增加",IF(Q809&gt;F809,"违规：止损风险超过本次预算","通过")))))))))))))))</f>
        <v/>
      </c>
    </row>
    <row r="810" ht="17" spans="1:18">
      <c r="A810" s="13"/>
      <c r="B810" s="14"/>
      <c r="C810" s="15"/>
      <c r="D810" s="16"/>
      <c r="E810" s="16"/>
      <c r="F810" s="16"/>
      <c r="G810" s="14"/>
      <c r="H810" s="17" t="str">
        <f t="shared" si="96"/>
        <v/>
      </c>
      <c r="I810" s="18" t="str">
        <f>IF(OR(A810="",B810=""),"",IFERROR(LOOKUP(2,1/(单次交易!$A$2:$A$201=A810),单次交易!$H$2:$H$201),0)+SUMIFS($G$2:$G$1001,$A$2:$A$1001,A810,$B$2:$B$1001,"&lt;"&amp;B810))</f>
        <v/>
      </c>
      <c r="J810" s="17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17" t="str">
        <f t="shared" si="97"/>
        <v/>
      </c>
      <c r="L810" s="18" t="str">
        <f t="shared" si="98"/>
        <v/>
      </c>
      <c r="M810" s="18" t="str">
        <f t="shared" si="99"/>
        <v/>
      </c>
      <c r="N810" s="18" t="str">
        <f t="shared" si="100"/>
        <v/>
      </c>
      <c r="O810" s="18" t="str">
        <f t="shared" si="101"/>
        <v/>
      </c>
      <c r="P810" s="17" t="str">
        <f t="shared" si="102"/>
        <v/>
      </c>
      <c r="Q810" s="17" t="str">
        <f t="shared" si="103"/>
        <v/>
      </c>
      <c r="R810" s="19" t="str">
        <f ca="1">IF(A810="","",IF(COUNTIF(_TradeIds,A810)=0,"违规：交易编号不存在",IF(OR(B810="",B810&lt;1,B810&gt;5,B810&lt;&gt;INT(B810)),"违规：加仓序号须为1到5的整数",IF(COUNTIFS($A$2:$A$1001,A810,$B$2:$B$1001,B810)&gt;1,"违规：同一交易的加仓序号重复",IF(OR(D810="",E810="",F810=""),"计划不完整：请填写加仓价、新止损价和风险预算",IF(OR(D810&lt;=0,E810&lt;=0,F810&lt;=0,D810&lt;=E810),"违规：加仓价必须高于新止损价，金额须大于0",IF(AND(B810&gt;1,COUNTIFS($A$2:$A$1001,A810,$B$2:$B$1001,B810-1,$G$2:$G$1001,"&gt;0")=0),"违规：须先完成上一次加仓",IF(AND(B810&gt;1,E810&lt;SUMIFS($E$2:$E$1001,$A$2:$A$1001,A810,$B$2:$B$1001,B810-1)),"违规：新止损价不得低于上一次",IF(AND(B810&gt;1,F810&gt;SUMIFS($F$2:$F$1001,$A$2:$A$1001,A810,$B$2:$B$1001,B810-1)),"违规：风险预算须逐次不增加",IF(OR(_LockStatus="已锁仓",_LockStatus="解锁信息不完整"),"违规：锁仓期间禁止加仓",IF(G810="","计划可执行：建议股数见N列",IF(OR(G810&lt;=0,G810&lt;&gt;INT(G810),MOD(G810,100)&lt;&gt;0),"违规：实际股数须为100股整数倍",IF(G810&gt;N810,"违规：实际股数超过风险或金字塔上限",IF(AND(B810&gt;1,G810&gt;SUMIFS($G$2:$G$1001,$A$2:$A$1001,A810,$B$2:$B$1001,B810-1)),"违规：加仓股数须逐次不增加",IF(Q810&gt;F810,"违规：止损风险超过本次预算","通过")))))))))))))))</f>
        <v/>
      </c>
    </row>
    <row r="811" ht="17" spans="1:18">
      <c r="A811" s="13"/>
      <c r="B811" s="14"/>
      <c r="C811" s="15"/>
      <c r="D811" s="16"/>
      <c r="E811" s="16"/>
      <c r="F811" s="16"/>
      <c r="G811" s="14"/>
      <c r="H811" s="17" t="str">
        <f t="shared" si="96"/>
        <v/>
      </c>
      <c r="I811" s="18" t="str">
        <f>IF(OR(A811="",B811=""),"",IFERROR(LOOKUP(2,1/(单次交易!$A$2:$A$201=A811),单次交易!$H$2:$H$201),0)+SUMIFS($G$2:$G$1001,$A$2:$A$1001,A811,$B$2:$B$1001,"&lt;"&amp;B811))</f>
        <v/>
      </c>
      <c r="J811" s="17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17" t="str">
        <f t="shared" si="97"/>
        <v/>
      </c>
      <c r="L811" s="18" t="str">
        <f t="shared" si="98"/>
        <v/>
      </c>
      <c r="M811" s="18" t="str">
        <f t="shared" si="99"/>
        <v/>
      </c>
      <c r="N811" s="18" t="str">
        <f t="shared" si="100"/>
        <v/>
      </c>
      <c r="O811" s="18" t="str">
        <f t="shared" si="101"/>
        <v/>
      </c>
      <c r="P811" s="17" t="str">
        <f t="shared" si="102"/>
        <v/>
      </c>
      <c r="Q811" s="17" t="str">
        <f t="shared" si="103"/>
        <v/>
      </c>
      <c r="R811" s="19" t="str">
        <f ca="1">IF(A811="","",IF(COUNTIF(_TradeIds,A811)=0,"违规：交易编号不存在",IF(OR(B811="",B811&lt;1,B811&gt;5,B811&lt;&gt;INT(B811)),"违规：加仓序号须为1到5的整数",IF(COUNTIFS($A$2:$A$1001,A811,$B$2:$B$1001,B811)&gt;1,"违规：同一交易的加仓序号重复",IF(OR(D811="",E811="",F811=""),"计划不完整：请填写加仓价、新止损价和风险预算",IF(OR(D811&lt;=0,E811&lt;=0,F811&lt;=0,D811&lt;=E811),"违规：加仓价必须高于新止损价，金额须大于0",IF(AND(B811&gt;1,COUNTIFS($A$2:$A$1001,A811,$B$2:$B$1001,B811-1,$G$2:$G$1001,"&gt;0")=0),"违规：须先完成上一次加仓",IF(AND(B811&gt;1,E811&lt;SUMIFS($E$2:$E$1001,$A$2:$A$1001,A811,$B$2:$B$1001,B811-1)),"违规：新止损价不得低于上一次",IF(AND(B811&gt;1,F811&gt;SUMIFS($F$2:$F$1001,$A$2:$A$1001,A811,$B$2:$B$1001,B811-1)),"违规：风险预算须逐次不增加",IF(OR(_LockStatus="已锁仓",_LockStatus="解锁信息不完整"),"违规：锁仓期间禁止加仓",IF(G811="","计划可执行：建议股数见N列",IF(OR(G811&lt;=0,G811&lt;&gt;INT(G811),MOD(G811,100)&lt;&gt;0),"违规：实际股数须为100股整数倍",IF(G811&gt;N811,"违规：实际股数超过风险或金字塔上限",IF(AND(B811&gt;1,G811&gt;SUMIFS($G$2:$G$1001,$A$2:$A$1001,A811,$B$2:$B$1001,B811-1)),"违规：加仓股数须逐次不增加",IF(Q811&gt;F811,"违规：止损风险超过本次预算","通过")))))))))))))))</f>
        <v/>
      </c>
    </row>
    <row r="812" ht="17" spans="1:18">
      <c r="A812" s="13"/>
      <c r="B812" s="14"/>
      <c r="C812" s="15"/>
      <c r="D812" s="16"/>
      <c r="E812" s="16"/>
      <c r="F812" s="16"/>
      <c r="G812" s="14"/>
      <c r="H812" s="17" t="str">
        <f t="shared" si="96"/>
        <v/>
      </c>
      <c r="I812" s="18" t="str">
        <f>IF(OR(A812="",B812=""),"",IFERROR(LOOKUP(2,1/(单次交易!$A$2:$A$201=A812),单次交易!$H$2:$H$201),0)+SUMIFS($G$2:$G$1001,$A$2:$A$1001,A812,$B$2:$B$1001,"&lt;"&amp;B812))</f>
        <v/>
      </c>
      <c r="J812" s="17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17" t="str">
        <f t="shared" si="97"/>
        <v/>
      </c>
      <c r="L812" s="18" t="str">
        <f t="shared" si="98"/>
        <v/>
      </c>
      <c r="M812" s="18" t="str">
        <f t="shared" si="99"/>
        <v/>
      </c>
      <c r="N812" s="18" t="str">
        <f t="shared" si="100"/>
        <v/>
      </c>
      <c r="O812" s="18" t="str">
        <f t="shared" si="101"/>
        <v/>
      </c>
      <c r="P812" s="17" t="str">
        <f t="shared" si="102"/>
        <v/>
      </c>
      <c r="Q812" s="17" t="str">
        <f t="shared" si="103"/>
        <v/>
      </c>
      <c r="R812" s="19" t="str">
        <f ca="1">IF(A812="","",IF(COUNTIF(_TradeIds,A812)=0,"违规：交易编号不存在",IF(OR(B812="",B812&lt;1,B812&gt;5,B812&lt;&gt;INT(B812)),"违规：加仓序号须为1到5的整数",IF(COUNTIFS($A$2:$A$1001,A812,$B$2:$B$1001,B812)&gt;1,"违规：同一交易的加仓序号重复",IF(OR(D812="",E812="",F812=""),"计划不完整：请填写加仓价、新止损价和风险预算",IF(OR(D812&lt;=0,E812&lt;=0,F812&lt;=0,D812&lt;=E812),"违规：加仓价必须高于新止损价，金额须大于0",IF(AND(B812&gt;1,COUNTIFS($A$2:$A$1001,A812,$B$2:$B$1001,B812-1,$G$2:$G$1001,"&gt;0")=0),"违规：须先完成上一次加仓",IF(AND(B812&gt;1,E812&lt;SUMIFS($E$2:$E$1001,$A$2:$A$1001,A812,$B$2:$B$1001,B812-1)),"违规：新止损价不得低于上一次",IF(AND(B812&gt;1,F812&gt;SUMIFS($F$2:$F$1001,$A$2:$A$1001,A812,$B$2:$B$1001,B812-1)),"违规：风险预算须逐次不增加",IF(OR(_LockStatus="已锁仓",_LockStatus="解锁信息不完整"),"违规：锁仓期间禁止加仓",IF(G812="","计划可执行：建议股数见N列",IF(OR(G812&lt;=0,G812&lt;&gt;INT(G812),MOD(G812,100)&lt;&gt;0),"违规：实际股数须为100股整数倍",IF(G812&gt;N812,"违规：实际股数超过风险或金字塔上限",IF(AND(B812&gt;1,G812&gt;SUMIFS($G$2:$G$1001,$A$2:$A$1001,A812,$B$2:$B$1001,B812-1)),"违规：加仓股数须逐次不增加",IF(Q812&gt;F812,"违规：止损风险超过本次预算","通过")))))))))))))))</f>
        <v/>
      </c>
    </row>
    <row r="813" ht="17" spans="1:18">
      <c r="A813" s="13"/>
      <c r="B813" s="14"/>
      <c r="C813" s="15"/>
      <c r="D813" s="16"/>
      <c r="E813" s="16"/>
      <c r="F813" s="16"/>
      <c r="G813" s="14"/>
      <c r="H813" s="17" t="str">
        <f t="shared" si="96"/>
        <v/>
      </c>
      <c r="I813" s="18" t="str">
        <f>IF(OR(A813="",B813=""),"",IFERROR(LOOKUP(2,1/(单次交易!$A$2:$A$201=A813),单次交易!$H$2:$H$201),0)+SUMIFS($G$2:$G$1001,$A$2:$A$1001,A813,$B$2:$B$1001,"&lt;"&amp;B813))</f>
        <v/>
      </c>
      <c r="J813" s="17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17" t="str">
        <f t="shared" si="97"/>
        <v/>
      </c>
      <c r="L813" s="18" t="str">
        <f t="shared" si="98"/>
        <v/>
      </c>
      <c r="M813" s="18" t="str">
        <f t="shared" si="99"/>
        <v/>
      </c>
      <c r="N813" s="18" t="str">
        <f t="shared" si="100"/>
        <v/>
      </c>
      <c r="O813" s="18" t="str">
        <f t="shared" si="101"/>
        <v/>
      </c>
      <c r="P813" s="17" t="str">
        <f t="shared" si="102"/>
        <v/>
      </c>
      <c r="Q813" s="17" t="str">
        <f t="shared" si="103"/>
        <v/>
      </c>
      <c r="R813" s="19" t="str">
        <f ca="1">IF(A813="","",IF(COUNTIF(_TradeIds,A813)=0,"违规：交易编号不存在",IF(OR(B813="",B813&lt;1,B813&gt;5,B813&lt;&gt;INT(B813)),"违规：加仓序号须为1到5的整数",IF(COUNTIFS($A$2:$A$1001,A813,$B$2:$B$1001,B813)&gt;1,"违规：同一交易的加仓序号重复",IF(OR(D813="",E813="",F813=""),"计划不完整：请填写加仓价、新止损价和风险预算",IF(OR(D813&lt;=0,E813&lt;=0,F813&lt;=0,D813&lt;=E813),"违规：加仓价必须高于新止损价，金额须大于0",IF(AND(B813&gt;1,COUNTIFS($A$2:$A$1001,A813,$B$2:$B$1001,B813-1,$G$2:$G$1001,"&gt;0")=0),"违规：须先完成上一次加仓",IF(AND(B813&gt;1,E813&lt;SUMIFS($E$2:$E$1001,$A$2:$A$1001,A813,$B$2:$B$1001,B813-1)),"违规：新止损价不得低于上一次",IF(AND(B813&gt;1,F813&gt;SUMIFS($F$2:$F$1001,$A$2:$A$1001,A813,$B$2:$B$1001,B813-1)),"违规：风险预算须逐次不增加",IF(OR(_LockStatus="已锁仓",_LockStatus="解锁信息不完整"),"违规：锁仓期间禁止加仓",IF(G813="","计划可执行：建议股数见N列",IF(OR(G813&lt;=0,G813&lt;&gt;INT(G813),MOD(G813,100)&lt;&gt;0),"违规：实际股数须为100股整数倍",IF(G813&gt;N813,"违规：实际股数超过风险或金字塔上限",IF(AND(B813&gt;1,G813&gt;SUMIFS($G$2:$G$1001,$A$2:$A$1001,A813,$B$2:$B$1001,B813-1)),"违规：加仓股数须逐次不增加",IF(Q813&gt;F813,"违规：止损风险超过本次预算","通过")))))))))))))))</f>
        <v/>
      </c>
    </row>
    <row r="814" ht="17" spans="1:18">
      <c r="A814" s="13"/>
      <c r="B814" s="14"/>
      <c r="C814" s="15"/>
      <c r="D814" s="16"/>
      <c r="E814" s="16"/>
      <c r="F814" s="16"/>
      <c r="G814" s="14"/>
      <c r="H814" s="17" t="str">
        <f t="shared" si="96"/>
        <v/>
      </c>
      <c r="I814" s="18" t="str">
        <f>IF(OR(A814="",B814=""),"",IFERROR(LOOKUP(2,1/(单次交易!$A$2:$A$201=A814),单次交易!$H$2:$H$201),0)+SUMIFS($G$2:$G$1001,$A$2:$A$1001,A814,$B$2:$B$1001,"&lt;"&amp;B814))</f>
        <v/>
      </c>
      <c r="J814" s="17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17" t="str">
        <f t="shared" si="97"/>
        <v/>
      </c>
      <c r="L814" s="18" t="str">
        <f t="shared" si="98"/>
        <v/>
      </c>
      <c r="M814" s="18" t="str">
        <f t="shared" si="99"/>
        <v/>
      </c>
      <c r="N814" s="18" t="str">
        <f t="shared" si="100"/>
        <v/>
      </c>
      <c r="O814" s="18" t="str">
        <f t="shared" si="101"/>
        <v/>
      </c>
      <c r="P814" s="17" t="str">
        <f t="shared" si="102"/>
        <v/>
      </c>
      <c r="Q814" s="17" t="str">
        <f t="shared" si="103"/>
        <v/>
      </c>
      <c r="R814" s="19" t="str">
        <f ca="1">IF(A814="","",IF(COUNTIF(_TradeIds,A814)=0,"违规：交易编号不存在",IF(OR(B814="",B814&lt;1,B814&gt;5,B814&lt;&gt;INT(B814)),"违规：加仓序号须为1到5的整数",IF(COUNTIFS($A$2:$A$1001,A814,$B$2:$B$1001,B814)&gt;1,"违规：同一交易的加仓序号重复",IF(OR(D814="",E814="",F814=""),"计划不完整：请填写加仓价、新止损价和风险预算",IF(OR(D814&lt;=0,E814&lt;=0,F814&lt;=0,D814&lt;=E814),"违规：加仓价必须高于新止损价，金额须大于0",IF(AND(B814&gt;1,COUNTIFS($A$2:$A$1001,A814,$B$2:$B$1001,B814-1,$G$2:$G$1001,"&gt;0")=0),"违规：须先完成上一次加仓",IF(AND(B814&gt;1,E814&lt;SUMIFS($E$2:$E$1001,$A$2:$A$1001,A814,$B$2:$B$1001,B814-1)),"违规：新止损价不得低于上一次",IF(AND(B814&gt;1,F814&gt;SUMIFS($F$2:$F$1001,$A$2:$A$1001,A814,$B$2:$B$1001,B814-1)),"违规：风险预算须逐次不增加",IF(OR(_LockStatus="已锁仓",_LockStatus="解锁信息不完整"),"违规：锁仓期间禁止加仓",IF(G814="","计划可执行：建议股数见N列",IF(OR(G814&lt;=0,G814&lt;&gt;INT(G814),MOD(G814,100)&lt;&gt;0),"违规：实际股数须为100股整数倍",IF(G814&gt;N814,"违规：实际股数超过风险或金字塔上限",IF(AND(B814&gt;1,G814&gt;SUMIFS($G$2:$G$1001,$A$2:$A$1001,A814,$B$2:$B$1001,B814-1)),"违规：加仓股数须逐次不增加",IF(Q814&gt;F814,"违规：止损风险超过本次预算","通过")))))))))))))))</f>
        <v/>
      </c>
    </row>
    <row r="815" ht="17" spans="1:18">
      <c r="A815" s="13"/>
      <c r="B815" s="14"/>
      <c r="C815" s="15"/>
      <c r="D815" s="16"/>
      <c r="E815" s="16"/>
      <c r="F815" s="16"/>
      <c r="G815" s="14"/>
      <c r="H815" s="17" t="str">
        <f t="shared" si="96"/>
        <v/>
      </c>
      <c r="I815" s="18" t="str">
        <f>IF(OR(A815="",B815=""),"",IFERROR(LOOKUP(2,1/(单次交易!$A$2:$A$201=A815),单次交易!$H$2:$H$201),0)+SUMIFS($G$2:$G$1001,$A$2:$A$1001,A815,$B$2:$B$1001,"&lt;"&amp;B815))</f>
        <v/>
      </c>
      <c r="J815" s="17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17" t="str">
        <f t="shared" si="97"/>
        <v/>
      </c>
      <c r="L815" s="18" t="str">
        <f t="shared" si="98"/>
        <v/>
      </c>
      <c r="M815" s="18" t="str">
        <f t="shared" si="99"/>
        <v/>
      </c>
      <c r="N815" s="18" t="str">
        <f t="shared" si="100"/>
        <v/>
      </c>
      <c r="O815" s="18" t="str">
        <f t="shared" si="101"/>
        <v/>
      </c>
      <c r="P815" s="17" t="str">
        <f t="shared" si="102"/>
        <v/>
      </c>
      <c r="Q815" s="17" t="str">
        <f t="shared" si="103"/>
        <v/>
      </c>
      <c r="R815" s="19" t="str">
        <f ca="1">IF(A815="","",IF(COUNTIF(_TradeIds,A815)=0,"违规：交易编号不存在",IF(OR(B815="",B815&lt;1,B815&gt;5,B815&lt;&gt;INT(B815)),"违规：加仓序号须为1到5的整数",IF(COUNTIFS($A$2:$A$1001,A815,$B$2:$B$1001,B815)&gt;1,"违规：同一交易的加仓序号重复",IF(OR(D815="",E815="",F815=""),"计划不完整：请填写加仓价、新止损价和风险预算",IF(OR(D815&lt;=0,E815&lt;=0,F815&lt;=0,D815&lt;=E815),"违规：加仓价必须高于新止损价，金额须大于0",IF(AND(B815&gt;1,COUNTIFS($A$2:$A$1001,A815,$B$2:$B$1001,B815-1,$G$2:$G$1001,"&gt;0")=0),"违规：须先完成上一次加仓",IF(AND(B815&gt;1,E815&lt;SUMIFS($E$2:$E$1001,$A$2:$A$1001,A815,$B$2:$B$1001,B815-1)),"违规：新止损价不得低于上一次",IF(AND(B815&gt;1,F815&gt;SUMIFS($F$2:$F$1001,$A$2:$A$1001,A815,$B$2:$B$1001,B815-1)),"违规：风险预算须逐次不增加",IF(OR(_LockStatus="已锁仓",_LockStatus="解锁信息不完整"),"违规：锁仓期间禁止加仓",IF(G815="","计划可执行：建议股数见N列",IF(OR(G815&lt;=0,G815&lt;&gt;INT(G815),MOD(G815,100)&lt;&gt;0),"违规：实际股数须为100股整数倍",IF(G815&gt;N815,"违规：实际股数超过风险或金字塔上限",IF(AND(B815&gt;1,G815&gt;SUMIFS($G$2:$G$1001,$A$2:$A$1001,A815,$B$2:$B$1001,B815-1)),"违规：加仓股数须逐次不增加",IF(Q815&gt;F815,"违规：止损风险超过本次预算","通过")))))))))))))))</f>
        <v/>
      </c>
    </row>
    <row r="816" ht="17" spans="1:18">
      <c r="A816" s="13"/>
      <c r="B816" s="14"/>
      <c r="C816" s="15"/>
      <c r="D816" s="16"/>
      <c r="E816" s="16"/>
      <c r="F816" s="16"/>
      <c r="G816" s="14"/>
      <c r="H816" s="17" t="str">
        <f t="shared" si="96"/>
        <v/>
      </c>
      <c r="I816" s="18" t="str">
        <f>IF(OR(A816="",B816=""),"",IFERROR(LOOKUP(2,1/(单次交易!$A$2:$A$201=A816),单次交易!$H$2:$H$201),0)+SUMIFS($G$2:$G$1001,$A$2:$A$1001,A816,$B$2:$B$1001,"&lt;"&amp;B816))</f>
        <v/>
      </c>
      <c r="J816" s="17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17" t="str">
        <f t="shared" si="97"/>
        <v/>
      </c>
      <c r="L816" s="18" t="str">
        <f t="shared" si="98"/>
        <v/>
      </c>
      <c r="M816" s="18" t="str">
        <f t="shared" si="99"/>
        <v/>
      </c>
      <c r="N816" s="18" t="str">
        <f t="shared" si="100"/>
        <v/>
      </c>
      <c r="O816" s="18" t="str">
        <f t="shared" si="101"/>
        <v/>
      </c>
      <c r="P816" s="17" t="str">
        <f t="shared" si="102"/>
        <v/>
      </c>
      <c r="Q816" s="17" t="str">
        <f t="shared" si="103"/>
        <v/>
      </c>
      <c r="R816" s="19" t="str">
        <f ca="1">IF(A816="","",IF(COUNTIF(_TradeIds,A816)=0,"违规：交易编号不存在",IF(OR(B816="",B816&lt;1,B816&gt;5,B816&lt;&gt;INT(B816)),"违规：加仓序号须为1到5的整数",IF(COUNTIFS($A$2:$A$1001,A816,$B$2:$B$1001,B816)&gt;1,"违规：同一交易的加仓序号重复",IF(OR(D816="",E816="",F816=""),"计划不完整：请填写加仓价、新止损价和风险预算",IF(OR(D816&lt;=0,E816&lt;=0,F816&lt;=0,D816&lt;=E816),"违规：加仓价必须高于新止损价，金额须大于0",IF(AND(B816&gt;1,COUNTIFS($A$2:$A$1001,A816,$B$2:$B$1001,B816-1,$G$2:$G$1001,"&gt;0")=0),"违规：须先完成上一次加仓",IF(AND(B816&gt;1,E816&lt;SUMIFS($E$2:$E$1001,$A$2:$A$1001,A816,$B$2:$B$1001,B816-1)),"违规：新止损价不得低于上一次",IF(AND(B816&gt;1,F816&gt;SUMIFS($F$2:$F$1001,$A$2:$A$1001,A816,$B$2:$B$1001,B816-1)),"违规：风险预算须逐次不增加",IF(OR(_LockStatus="已锁仓",_LockStatus="解锁信息不完整"),"违规：锁仓期间禁止加仓",IF(G816="","计划可执行：建议股数见N列",IF(OR(G816&lt;=0,G816&lt;&gt;INT(G816),MOD(G816,100)&lt;&gt;0),"违规：实际股数须为100股整数倍",IF(G816&gt;N816,"违规：实际股数超过风险或金字塔上限",IF(AND(B816&gt;1,G816&gt;SUMIFS($G$2:$G$1001,$A$2:$A$1001,A816,$B$2:$B$1001,B816-1)),"违规：加仓股数须逐次不增加",IF(Q816&gt;F816,"违规：止损风险超过本次预算","通过")))))))))))))))</f>
        <v/>
      </c>
    </row>
    <row r="817" ht="17" spans="1:18">
      <c r="A817" s="13"/>
      <c r="B817" s="14"/>
      <c r="C817" s="15"/>
      <c r="D817" s="16"/>
      <c r="E817" s="16"/>
      <c r="F817" s="16"/>
      <c r="G817" s="14"/>
      <c r="H817" s="17" t="str">
        <f t="shared" si="96"/>
        <v/>
      </c>
      <c r="I817" s="18" t="str">
        <f>IF(OR(A817="",B817=""),"",IFERROR(LOOKUP(2,1/(单次交易!$A$2:$A$201=A817),单次交易!$H$2:$H$201),0)+SUMIFS($G$2:$G$1001,$A$2:$A$1001,A817,$B$2:$B$1001,"&lt;"&amp;B817))</f>
        <v/>
      </c>
      <c r="J817" s="17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17" t="str">
        <f t="shared" si="97"/>
        <v/>
      </c>
      <c r="L817" s="18" t="str">
        <f t="shared" si="98"/>
        <v/>
      </c>
      <c r="M817" s="18" t="str">
        <f t="shared" si="99"/>
        <v/>
      </c>
      <c r="N817" s="18" t="str">
        <f t="shared" si="100"/>
        <v/>
      </c>
      <c r="O817" s="18" t="str">
        <f t="shared" si="101"/>
        <v/>
      </c>
      <c r="P817" s="17" t="str">
        <f t="shared" si="102"/>
        <v/>
      </c>
      <c r="Q817" s="17" t="str">
        <f t="shared" si="103"/>
        <v/>
      </c>
      <c r="R817" s="19" t="str">
        <f ca="1">IF(A817="","",IF(COUNTIF(_TradeIds,A817)=0,"违规：交易编号不存在",IF(OR(B817="",B817&lt;1,B817&gt;5,B817&lt;&gt;INT(B817)),"违规：加仓序号须为1到5的整数",IF(COUNTIFS($A$2:$A$1001,A817,$B$2:$B$1001,B817)&gt;1,"违规：同一交易的加仓序号重复",IF(OR(D817="",E817="",F817=""),"计划不完整：请填写加仓价、新止损价和风险预算",IF(OR(D817&lt;=0,E817&lt;=0,F817&lt;=0,D817&lt;=E817),"违规：加仓价必须高于新止损价，金额须大于0",IF(AND(B817&gt;1,COUNTIFS($A$2:$A$1001,A817,$B$2:$B$1001,B817-1,$G$2:$G$1001,"&gt;0")=0),"违规：须先完成上一次加仓",IF(AND(B817&gt;1,E817&lt;SUMIFS($E$2:$E$1001,$A$2:$A$1001,A817,$B$2:$B$1001,B817-1)),"违规：新止损价不得低于上一次",IF(AND(B817&gt;1,F817&gt;SUMIFS($F$2:$F$1001,$A$2:$A$1001,A817,$B$2:$B$1001,B817-1)),"违规：风险预算须逐次不增加",IF(OR(_LockStatus="已锁仓",_LockStatus="解锁信息不完整"),"违规：锁仓期间禁止加仓",IF(G817="","计划可执行：建议股数见N列",IF(OR(G817&lt;=0,G817&lt;&gt;INT(G817),MOD(G817,100)&lt;&gt;0),"违规：实际股数须为100股整数倍",IF(G817&gt;N817,"违规：实际股数超过风险或金字塔上限",IF(AND(B817&gt;1,G817&gt;SUMIFS($G$2:$G$1001,$A$2:$A$1001,A817,$B$2:$B$1001,B817-1)),"违规：加仓股数须逐次不增加",IF(Q817&gt;F817,"违规：止损风险超过本次预算","通过")))))))))))))))</f>
        <v/>
      </c>
    </row>
    <row r="818" ht="17" spans="1:18">
      <c r="A818" s="13"/>
      <c r="B818" s="14"/>
      <c r="C818" s="15"/>
      <c r="D818" s="16"/>
      <c r="E818" s="16"/>
      <c r="F818" s="16"/>
      <c r="G818" s="14"/>
      <c r="H818" s="17" t="str">
        <f t="shared" si="96"/>
        <v/>
      </c>
      <c r="I818" s="18" t="str">
        <f>IF(OR(A818="",B818=""),"",IFERROR(LOOKUP(2,1/(单次交易!$A$2:$A$201=A818),单次交易!$H$2:$H$201),0)+SUMIFS($G$2:$G$1001,$A$2:$A$1001,A818,$B$2:$B$1001,"&lt;"&amp;B818))</f>
        <v/>
      </c>
      <c r="J818" s="17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17" t="str">
        <f t="shared" si="97"/>
        <v/>
      </c>
      <c r="L818" s="18" t="str">
        <f t="shared" si="98"/>
        <v/>
      </c>
      <c r="M818" s="18" t="str">
        <f t="shared" si="99"/>
        <v/>
      </c>
      <c r="N818" s="18" t="str">
        <f t="shared" si="100"/>
        <v/>
      </c>
      <c r="O818" s="18" t="str">
        <f t="shared" si="101"/>
        <v/>
      </c>
      <c r="P818" s="17" t="str">
        <f t="shared" si="102"/>
        <v/>
      </c>
      <c r="Q818" s="17" t="str">
        <f t="shared" si="103"/>
        <v/>
      </c>
      <c r="R818" s="19" t="str">
        <f ca="1">IF(A818="","",IF(COUNTIF(_TradeIds,A818)=0,"违规：交易编号不存在",IF(OR(B818="",B818&lt;1,B818&gt;5,B818&lt;&gt;INT(B818)),"违规：加仓序号须为1到5的整数",IF(COUNTIFS($A$2:$A$1001,A818,$B$2:$B$1001,B818)&gt;1,"违规：同一交易的加仓序号重复",IF(OR(D818="",E818="",F818=""),"计划不完整：请填写加仓价、新止损价和风险预算",IF(OR(D818&lt;=0,E818&lt;=0,F818&lt;=0,D818&lt;=E818),"违规：加仓价必须高于新止损价，金额须大于0",IF(AND(B818&gt;1,COUNTIFS($A$2:$A$1001,A818,$B$2:$B$1001,B818-1,$G$2:$G$1001,"&gt;0")=0),"违规：须先完成上一次加仓",IF(AND(B818&gt;1,E818&lt;SUMIFS($E$2:$E$1001,$A$2:$A$1001,A818,$B$2:$B$1001,B818-1)),"违规：新止损价不得低于上一次",IF(AND(B818&gt;1,F818&gt;SUMIFS($F$2:$F$1001,$A$2:$A$1001,A818,$B$2:$B$1001,B818-1)),"违规：风险预算须逐次不增加",IF(OR(_LockStatus="已锁仓",_LockStatus="解锁信息不完整"),"违规：锁仓期间禁止加仓",IF(G818="","计划可执行：建议股数见N列",IF(OR(G818&lt;=0,G818&lt;&gt;INT(G818),MOD(G818,100)&lt;&gt;0),"违规：实际股数须为100股整数倍",IF(G818&gt;N818,"违规：实际股数超过风险或金字塔上限",IF(AND(B818&gt;1,G818&gt;SUMIFS($G$2:$G$1001,$A$2:$A$1001,A818,$B$2:$B$1001,B818-1)),"违规：加仓股数须逐次不增加",IF(Q818&gt;F818,"违规：止损风险超过本次预算","通过")))))))))))))))</f>
        <v/>
      </c>
    </row>
    <row r="819" ht="17" spans="1:18">
      <c r="A819" s="13"/>
      <c r="B819" s="14"/>
      <c r="C819" s="15"/>
      <c r="D819" s="16"/>
      <c r="E819" s="16"/>
      <c r="F819" s="16"/>
      <c r="G819" s="14"/>
      <c r="H819" s="17" t="str">
        <f t="shared" si="96"/>
        <v/>
      </c>
      <c r="I819" s="18" t="str">
        <f>IF(OR(A819="",B819=""),"",IFERROR(LOOKUP(2,1/(单次交易!$A$2:$A$201=A819),单次交易!$H$2:$H$201),0)+SUMIFS($G$2:$G$1001,$A$2:$A$1001,A819,$B$2:$B$1001,"&lt;"&amp;B819))</f>
        <v/>
      </c>
      <c r="J819" s="17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17" t="str">
        <f t="shared" si="97"/>
        <v/>
      </c>
      <c r="L819" s="18" t="str">
        <f t="shared" si="98"/>
        <v/>
      </c>
      <c r="M819" s="18" t="str">
        <f t="shared" si="99"/>
        <v/>
      </c>
      <c r="N819" s="18" t="str">
        <f t="shared" si="100"/>
        <v/>
      </c>
      <c r="O819" s="18" t="str">
        <f t="shared" si="101"/>
        <v/>
      </c>
      <c r="P819" s="17" t="str">
        <f t="shared" si="102"/>
        <v/>
      </c>
      <c r="Q819" s="17" t="str">
        <f t="shared" si="103"/>
        <v/>
      </c>
      <c r="R819" s="19" t="str">
        <f ca="1">IF(A819="","",IF(COUNTIF(_TradeIds,A819)=0,"违规：交易编号不存在",IF(OR(B819="",B819&lt;1,B819&gt;5,B819&lt;&gt;INT(B819)),"违规：加仓序号须为1到5的整数",IF(COUNTIFS($A$2:$A$1001,A819,$B$2:$B$1001,B819)&gt;1,"违规：同一交易的加仓序号重复",IF(OR(D819="",E819="",F819=""),"计划不完整：请填写加仓价、新止损价和风险预算",IF(OR(D819&lt;=0,E819&lt;=0,F819&lt;=0,D819&lt;=E819),"违规：加仓价必须高于新止损价，金额须大于0",IF(AND(B819&gt;1,COUNTIFS($A$2:$A$1001,A819,$B$2:$B$1001,B819-1,$G$2:$G$1001,"&gt;0")=0),"违规：须先完成上一次加仓",IF(AND(B819&gt;1,E819&lt;SUMIFS($E$2:$E$1001,$A$2:$A$1001,A819,$B$2:$B$1001,B819-1)),"违规：新止损价不得低于上一次",IF(AND(B819&gt;1,F819&gt;SUMIFS($F$2:$F$1001,$A$2:$A$1001,A819,$B$2:$B$1001,B819-1)),"违规：风险预算须逐次不增加",IF(OR(_LockStatus="已锁仓",_LockStatus="解锁信息不完整"),"违规：锁仓期间禁止加仓",IF(G819="","计划可执行：建议股数见N列",IF(OR(G819&lt;=0,G819&lt;&gt;INT(G819),MOD(G819,100)&lt;&gt;0),"违规：实际股数须为100股整数倍",IF(G819&gt;N819,"违规：实际股数超过风险或金字塔上限",IF(AND(B819&gt;1,G819&gt;SUMIFS($G$2:$G$1001,$A$2:$A$1001,A819,$B$2:$B$1001,B819-1)),"违规：加仓股数须逐次不增加",IF(Q819&gt;F819,"违规：止损风险超过本次预算","通过")))))))))))))))</f>
        <v/>
      </c>
    </row>
    <row r="820" ht="17" spans="1:18">
      <c r="A820" s="13"/>
      <c r="B820" s="14"/>
      <c r="C820" s="15"/>
      <c r="D820" s="16"/>
      <c r="E820" s="16"/>
      <c r="F820" s="16"/>
      <c r="G820" s="14"/>
      <c r="H820" s="17" t="str">
        <f t="shared" si="96"/>
        <v/>
      </c>
      <c r="I820" s="18" t="str">
        <f>IF(OR(A820="",B820=""),"",IFERROR(LOOKUP(2,1/(单次交易!$A$2:$A$201=A820),单次交易!$H$2:$H$201),0)+SUMIFS($G$2:$G$1001,$A$2:$A$1001,A820,$B$2:$B$1001,"&lt;"&amp;B820))</f>
        <v/>
      </c>
      <c r="J820" s="17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17" t="str">
        <f t="shared" si="97"/>
        <v/>
      </c>
      <c r="L820" s="18" t="str">
        <f t="shared" si="98"/>
        <v/>
      </c>
      <c r="M820" s="18" t="str">
        <f t="shared" si="99"/>
        <v/>
      </c>
      <c r="N820" s="18" t="str">
        <f t="shared" si="100"/>
        <v/>
      </c>
      <c r="O820" s="18" t="str">
        <f t="shared" si="101"/>
        <v/>
      </c>
      <c r="P820" s="17" t="str">
        <f t="shared" si="102"/>
        <v/>
      </c>
      <c r="Q820" s="17" t="str">
        <f t="shared" si="103"/>
        <v/>
      </c>
      <c r="R820" s="19" t="str">
        <f ca="1">IF(A820="","",IF(COUNTIF(_TradeIds,A820)=0,"违规：交易编号不存在",IF(OR(B820="",B820&lt;1,B820&gt;5,B820&lt;&gt;INT(B820)),"违规：加仓序号须为1到5的整数",IF(COUNTIFS($A$2:$A$1001,A820,$B$2:$B$1001,B820)&gt;1,"违规：同一交易的加仓序号重复",IF(OR(D820="",E820="",F820=""),"计划不完整：请填写加仓价、新止损价和风险预算",IF(OR(D820&lt;=0,E820&lt;=0,F820&lt;=0,D820&lt;=E820),"违规：加仓价必须高于新止损价，金额须大于0",IF(AND(B820&gt;1,COUNTIFS($A$2:$A$1001,A820,$B$2:$B$1001,B820-1,$G$2:$G$1001,"&gt;0")=0),"违规：须先完成上一次加仓",IF(AND(B820&gt;1,E820&lt;SUMIFS($E$2:$E$1001,$A$2:$A$1001,A820,$B$2:$B$1001,B820-1)),"违规：新止损价不得低于上一次",IF(AND(B820&gt;1,F820&gt;SUMIFS($F$2:$F$1001,$A$2:$A$1001,A820,$B$2:$B$1001,B820-1)),"违规：风险预算须逐次不增加",IF(OR(_LockStatus="已锁仓",_LockStatus="解锁信息不完整"),"违规：锁仓期间禁止加仓",IF(G820="","计划可执行：建议股数见N列",IF(OR(G820&lt;=0,G820&lt;&gt;INT(G820),MOD(G820,100)&lt;&gt;0),"违规：实际股数须为100股整数倍",IF(G820&gt;N820,"违规：实际股数超过风险或金字塔上限",IF(AND(B820&gt;1,G820&gt;SUMIFS($G$2:$G$1001,$A$2:$A$1001,A820,$B$2:$B$1001,B820-1)),"违规：加仓股数须逐次不增加",IF(Q820&gt;F820,"违规：止损风险超过本次预算","通过")))))))))))))))</f>
        <v/>
      </c>
    </row>
    <row r="821" ht="17" spans="1:18">
      <c r="A821" s="13"/>
      <c r="B821" s="14"/>
      <c r="C821" s="15"/>
      <c r="D821" s="16"/>
      <c r="E821" s="16"/>
      <c r="F821" s="16"/>
      <c r="G821" s="14"/>
      <c r="H821" s="17" t="str">
        <f t="shared" si="96"/>
        <v/>
      </c>
      <c r="I821" s="18" t="str">
        <f>IF(OR(A821="",B821=""),"",IFERROR(LOOKUP(2,1/(单次交易!$A$2:$A$201=A821),单次交易!$H$2:$H$201),0)+SUMIFS($G$2:$G$1001,$A$2:$A$1001,A821,$B$2:$B$1001,"&lt;"&amp;B821))</f>
        <v/>
      </c>
      <c r="J821" s="17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17" t="str">
        <f t="shared" si="97"/>
        <v/>
      </c>
      <c r="L821" s="18" t="str">
        <f t="shared" si="98"/>
        <v/>
      </c>
      <c r="M821" s="18" t="str">
        <f t="shared" si="99"/>
        <v/>
      </c>
      <c r="N821" s="18" t="str">
        <f t="shared" si="100"/>
        <v/>
      </c>
      <c r="O821" s="18" t="str">
        <f t="shared" si="101"/>
        <v/>
      </c>
      <c r="P821" s="17" t="str">
        <f t="shared" si="102"/>
        <v/>
      </c>
      <c r="Q821" s="17" t="str">
        <f t="shared" si="103"/>
        <v/>
      </c>
      <c r="R821" s="19" t="str">
        <f ca="1">IF(A821="","",IF(COUNTIF(_TradeIds,A821)=0,"违规：交易编号不存在",IF(OR(B821="",B821&lt;1,B821&gt;5,B821&lt;&gt;INT(B821)),"违规：加仓序号须为1到5的整数",IF(COUNTIFS($A$2:$A$1001,A821,$B$2:$B$1001,B821)&gt;1,"违规：同一交易的加仓序号重复",IF(OR(D821="",E821="",F821=""),"计划不完整：请填写加仓价、新止损价和风险预算",IF(OR(D821&lt;=0,E821&lt;=0,F821&lt;=0,D821&lt;=E821),"违规：加仓价必须高于新止损价，金额须大于0",IF(AND(B821&gt;1,COUNTIFS($A$2:$A$1001,A821,$B$2:$B$1001,B821-1,$G$2:$G$1001,"&gt;0")=0),"违规：须先完成上一次加仓",IF(AND(B821&gt;1,E821&lt;SUMIFS($E$2:$E$1001,$A$2:$A$1001,A821,$B$2:$B$1001,B821-1)),"违规：新止损价不得低于上一次",IF(AND(B821&gt;1,F821&gt;SUMIFS($F$2:$F$1001,$A$2:$A$1001,A821,$B$2:$B$1001,B821-1)),"违规：风险预算须逐次不增加",IF(OR(_LockStatus="已锁仓",_LockStatus="解锁信息不完整"),"违规：锁仓期间禁止加仓",IF(G821="","计划可执行：建议股数见N列",IF(OR(G821&lt;=0,G821&lt;&gt;INT(G821),MOD(G821,100)&lt;&gt;0),"违规：实际股数须为100股整数倍",IF(G821&gt;N821,"违规：实际股数超过风险或金字塔上限",IF(AND(B821&gt;1,G821&gt;SUMIFS($G$2:$G$1001,$A$2:$A$1001,A821,$B$2:$B$1001,B821-1)),"违规：加仓股数须逐次不增加",IF(Q821&gt;F821,"违规：止损风险超过本次预算","通过")))))))))))))))</f>
        <v/>
      </c>
    </row>
    <row r="822" ht="17" spans="1:18">
      <c r="A822" s="13"/>
      <c r="B822" s="14"/>
      <c r="C822" s="15"/>
      <c r="D822" s="16"/>
      <c r="E822" s="16"/>
      <c r="F822" s="16"/>
      <c r="G822" s="14"/>
      <c r="H822" s="17" t="str">
        <f t="shared" si="96"/>
        <v/>
      </c>
      <c r="I822" s="18" t="str">
        <f>IF(OR(A822="",B822=""),"",IFERROR(LOOKUP(2,1/(单次交易!$A$2:$A$201=A822),单次交易!$H$2:$H$201),0)+SUMIFS($G$2:$G$1001,$A$2:$A$1001,A822,$B$2:$B$1001,"&lt;"&amp;B822))</f>
        <v/>
      </c>
      <c r="J822" s="17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17" t="str">
        <f t="shared" si="97"/>
        <v/>
      </c>
      <c r="L822" s="18" t="str">
        <f t="shared" si="98"/>
        <v/>
      </c>
      <c r="M822" s="18" t="str">
        <f t="shared" si="99"/>
        <v/>
      </c>
      <c r="N822" s="18" t="str">
        <f t="shared" si="100"/>
        <v/>
      </c>
      <c r="O822" s="18" t="str">
        <f t="shared" si="101"/>
        <v/>
      </c>
      <c r="P822" s="17" t="str">
        <f t="shared" si="102"/>
        <v/>
      </c>
      <c r="Q822" s="17" t="str">
        <f t="shared" si="103"/>
        <v/>
      </c>
      <c r="R822" s="19" t="str">
        <f ca="1">IF(A822="","",IF(COUNTIF(_TradeIds,A822)=0,"违规：交易编号不存在",IF(OR(B822="",B822&lt;1,B822&gt;5,B822&lt;&gt;INT(B822)),"违规：加仓序号须为1到5的整数",IF(COUNTIFS($A$2:$A$1001,A822,$B$2:$B$1001,B822)&gt;1,"违规：同一交易的加仓序号重复",IF(OR(D822="",E822="",F822=""),"计划不完整：请填写加仓价、新止损价和风险预算",IF(OR(D822&lt;=0,E822&lt;=0,F822&lt;=0,D822&lt;=E822),"违规：加仓价必须高于新止损价，金额须大于0",IF(AND(B822&gt;1,COUNTIFS($A$2:$A$1001,A822,$B$2:$B$1001,B822-1,$G$2:$G$1001,"&gt;0")=0),"违规：须先完成上一次加仓",IF(AND(B822&gt;1,E822&lt;SUMIFS($E$2:$E$1001,$A$2:$A$1001,A822,$B$2:$B$1001,B822-1)),"违规：新止损价不得低于上一次",IF(AND(B822&gt;1,F822&gt;SUMIFS($F$2:$F$1001,$A$2:$A$1001,A822,$B$2:$B$1001,B822-1)),"违规：风险预算须逐次不增加",IF(OR(_LockStatus="已锁仓",_LockStatus="解锁信息不完整"),"违规：锁仓期间禁止加仓",IF(G822="","计划可执行：建议股数见N列",IF(OR(G822&lt;=0,G822&lt;&gt;INT(G822),MOD(G822,100)&lt;&gt;0),"违规：实际股数须为100股整数倍",IF(G822&gt;N822,"违规：实际股数超过风险或金字塔上限",IF(AND(B822&gt;1,G822&gt;SUMIFS($G$2:$G$1001,$A$2:$A$1001,A822,$B$2:$B$1001,B822-1)),"违规：加仓股数须逐次不增加",IF(Q822&gt;F822,"违规：止损风险超过本次预算","通过")))))))))))))))</f>
        <v/>
      </c>
    </row>
    <row r="823" ht="17" spans="1:18">
      <c r="A823" s="13"/>
      <c r="B823" s="14"/>
      <c r="C823" s="15"/>
      <c r="D823" s="16"/>
      <c r="E823" s="16"/>
      <c r="F823" s="16"/>
      <c r="G823" s="14"/>
      <c r="H823" s="17" t="str">
        <f t="shared" si="96"/>
        <v/>
      </c>
      <c r="I823" s="18" t="str">
        <f>IF(OR(A823="",B823=""),"",IFERROR(LOOKUP(2,1/(单次交易!$A$2:$A$201=A823),单次交易!$H$2:$H$201),0)+SUMIFS($G$2:$G$1001,$A$2:$A$1001,A823,$B$2:$B$1001,"&lt;"&amp;B823))</f>
        <v/>
      </c>
      <c r="J823" s="17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17" t="str">
        <f t="shared" si="97"/>
        <v/>
      </c>
      <c r="L823" s="18" t="str">
        <f t="shared" si="98"/>
        <v/>
      </c>
      <c r="M823" s="18" t="str">
        <f t="shared" si="99"/>
        <v/>
      </c>
      <c r="N823" s="18" t="str">
        <f t="shared" si="100"/>
        <v/>
      </c>
      <c r="O823" s="18" t="str">
        <f t="shared" si="101"/>
        <v/>
      </c>
      <c r="P823" s="17" t="str">
        <f t="shared" si="102"/>
        <v/>
      </c>
      <c r="Q823" s="17" t="str">
        <f t="shared" si="103"/>
        <v/>
      </c>
      <c r="R823" s="19" t="str">
        <f ca="1">IF(A823="","",IF(COUNTIF(_TradeIds,A823)=0,"违规：交易编号不存在",IF(OR(B823="",B823&lt;1,B823&gt;5,B823&lt;&gt;INT(B823)),"违规：加仓序号须为1到5的整数",IF(COUNTIFS($A$2:$A$1001,A823,$B$2:$B$1001,B823)&gt;1,"违规：同一交易的加仓序号重复",IF(OR(D823="",E823="",F823=""),"计划不完整：请填写加仓价、新止损价和风险预算",IF(OR(D823&lt;=0,E823&lt;=0,F823&lt;=0,D823&lt;=E823),"违规：加仓价必须高于新止损价，金额须大于0",IF(AND(B823&gt;1,COUNTIFS($A$2:$A$1001,A823,$B$2:$B$1001,B823-1,$G$2:$G$1001,"&gt;0")=0),"违规：须先完成上一次加仓",IF(AND(B823&gt;1,E823&lt;SUMIFS($E$2:$E$1001,$A$2:$A$1001,A823,$B$2:$B$1001,B823-1)),"违规：新止损价不得低于上一次",IF(AND(B823&gt;1,F823&gt;SUMIFS($F$2:$F$1001,$A$2:$A$1001,A823,$B$2:$B$1001,B823-1)),"违规：风险预算须逐次不增加",IF(OR(_LockStatus="已锁仓",_LockStatus="解锁信息不完整"),"违规：锁仓期间禁止加仓",IF(G823="","计划可执行：建议股数见N列",IF(OR(G823&lt;=0,G823&lt;&gt;INT(G823),MOD(G823,100)&lt;&gt;0),"违规：实际股数须为100股整数倍",IF(G823&gt;N823,"违规：实际股数超过风险或金字塔上限",IF(AND(B823&gt;1,G823&gt;SUMIFS($G$2:$G$1001,$A$2:$A$1001,A823,$B$2:$B$1001,B823-1)),"违规：加仓股数须逐次不增加",IF(Q823&gt;F823,"违规：止损风险超过本次预算","通过")))))))))))))))</f>
        <v/>
      </c>
    </row>
    <row r="824" ht="17" spans="1:18">
      <c r="A824" s="13"/>
      <c r="B824" s="14"/>
      <c r="C824" s="15"/>
      <c r="D824" s="16"/>
      <c r="E824" s="16"/>
      <c r="F824" s="16"/>
      <c r="G824" s="14"/>
      <c r="H824" s="17" t="str">
        <f t="shared" si="96"/>
        <v/>
      </c>
      <c r="I824" s="18" t="str">
        <f>IF(OR(A824="",B824=""),"",IFERROR(LOOKUP(2,1/(单次交易!$A$2:$A$201=A824),单次交易!$H$2:$H$201),0)+SUMIFS($G$2:$G$1001,$A$2:$A$1001,A824,$B$2:$B$1001,"&lt;"&amp;B824))</f>
        <v/>
      </c>
      <c r="J824" s="17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17" t="str">
        <f t="shared" si="97"/>
        <v/>
      </c>
      <c r="L824" s="18" t="str">
        <f t="shared" si="98"/>
        <v/>
      </c>
      <c r="M824" s="18" t="str">
        <f t="shared" si="99"/>
        <v/>
      </c>
      <c r="N824" s="18" t="str">
        <f t="shared" si="100"/>
        <v/>
      </c>
      <c r="O824" s="18" t="str">
        <f t="shared" si="101"/>
        <v/>
      </c>
      <c r="P824" s="17" t="str">
        <f t="shared" si="102"/>
        <v/>
      </c>
      <c r="Q824" s="17" t="str">
        <f t="shared" si="103"/>
        <v/>
      </c>
      <c r="R824" s="19" t="str">
        <f ca="1">IF(A824="","",IF(COUNTIF(_TradeIds,A824)=0,"违规：交易编号不存在",IF(OR(B824="",B824&lt;1,B824&gt;5,B824&lt;&gt;INT(B824)),"违规：加仓序号须为1到5的整数",IF(COUNTIFS($A$2:$A$1001,A824,$B$2:$B$1001,B824)&gt;1,"违规：同一交易的加仓序号重复",IF(OR(D824="",E824="",F824=""),"计划不完整：请填写加仓价、新止损价和风险预算",IF(OR(D824&lt;=0,E824&lt;=0,F824&lt;=0,D824&lt;=E824),"违规：加仓价必须高于新止损价，金额须大于0",IF(AND(B824&gt;1,COUNTIFS($A$2:$A$1001,A824,$B$2:$B$1001,B824-1,$G$2:$G$1001,"&gt;0")=0),"违规：须先完成上一次加仓",IF(AND(B824&gt;1,E824&lt;SUMIFS($E$2:$E$1001,$A$2:$A$1001,A824,$B$2:$B$1001,B824-1)),"违规：新止损价不得低于上一次",IF(AND(B824&gt;1,F824&gt;SUMIFS($F$2:$F$1001,$A$2:$A$1001,A824,$B$2:$B$1001,B824-1)),"违规：风险预算须逐次不增加",IF(OR(_LockStatus="已锁仓",_LockStatus="解锁信息不完整"),"违规：锁仓期间禁止加仓",IF(G824="","计划可执行：建议股数见N列",IF(OR(G824&lt;=0,G824&lt;&gt;INT(G824),MOD(G824,100)&lt;&gt;0),"违规：实际股数须为100股整数倍",IF(G824&gt;N824,"违规：实际股数超过风险或金字塔上限",IF(AND(B824&gt;1,G824&gt;SUMIFS($G$2:$G$1001,$A$2:$A$1001,A824,$B$2:$B$1001,B824-1)),"违规：加仓股数须逐次不增加",IF(Q824&gt;F824,"违规：止损风险超过本次预算","通过")))))))))))))))</f>
        <v/>
      </c>
    </row>
    <row r="825" ht="17" spans="1:18">
      <c r="A825" s="13"/>
      <c r="B825" s="14"/>
      <c r="C825" s="15"/>
      <c r="D825" s="16"/>
      <c r="E825" s="16"/>
      <c r="F825" s="16"/>
      <c r="G825" s="14"/>
      <c r="H825" s="17" t="str">
        <f t="shared" si="96"/>
        <v/>
      </c>
      <c r="I825" s="18" t="str">
        <f>IF(OR(A825="",B825=""),"",IFERROR(LOOKUP(2,1/(单次交易!$A$2:$A$201=A825),单次交易!$H$2:$H$201),0)+SUMIFS($G$2:$G$1001,$A$2:$A$1001,A825,$B$2:$B$1001,"&lt;"&amp;B825))</f>
        <v/>
      </c>
      <c r="J825" s="17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17" t="str">
        <f t="shared" si="97"/>
        <v/>
      </c>
      <c r="L825" s="18" t="str">
        <f t="shared" si="98"/>
        <v/>
      </c>
      <c r="M825" s="18" t="str">
        <f t="shared" si="99"/>
        <v/>
      </c>
      <c r="N825" s="18" t="str">
        <f t="shared" si="100"/>
        <v/>
      </c>
      <c r="O825" s="18" t="str">
        <f t="shared" si="101"/>
        <v/>
      </c>
      <c r="P825" s="17" t="str">
        <f t="shared" si="102"/>
        <v/>
      </c>
      <c r="Q825" s="17" t="str">
        <f t="shared" si="103"/>
        <v/>
      </c>
      <c r="R825" s="19" t="str">
        <f ca="1">IF(A825="","",IF(COUNTIF(_TradeIds,A825)=0,"违规：交易编号不存在",IF(OR(B825="",B825&lt;1,B825&gt;5,B825&lt;&gt;INT(B825)),"违规：加仓序号须为1到5的整数",IF(COUNTIFS($A$2:$A$1001,A825,$B$2:$B$1001,B825)&gt;1,"违规：同一交易的加仓序号重复",IF(OR(D825="",E825="",F825=""),"计划不完整：请填写加仓价、新止损价和风险预算",IF(OR(D825&lt;=0,E825&lt;=0,F825&lt;=0,D825&lt;=E825),"违规：加仓价必须高于新止损价，金额须大于0",IF(AND(B825&gt;1,COUNTIFS($A$2:$A$1001,A825,$B$2:$B$1001,B825-1,$G$2:$G$1001,"&gt;0")=0),"违规：须先完成上一次加仓",IF(AND(B825&gt;1,E825&lt;SUMIFS($E$2:$E$1001,$A$2:$A$1001,A825,$B$2:$B$1001,B825-1)),"违规：新止损价不得低于上一次",IF(AND(B825&gt;1,F825&gt;SUMIFS($F$2:$F$1001,$A$2:$A$1001,A825,$B$2:$B$1001,B825-1)),"违规：风险预算须逐次不增加",IF(OR(_LockStatus="已锁仓",_LockStatus="解锁信息不完整"),"违规：锁仓期间禁止加仓",IF(G825="","计划可执行：建议股数见N列",IF(OR(G825&lt;=0,G825&lt;&gt;INT(G825),MOD(G825,100)&lt;&gt;0),"违规：实际股数须为100股整数倍",IF(G825&gt;N825,"违规：实际股数超过风险或金字塔上限",IF(AND(B825&gt;1,G825&gt;SUMIFS($G$2:$G$1001,$A$2:$A$1001,A825,$B$2:$B$1001,B825-1)),"违规：加仓股数须逐次不增加",IF(Q825&gt;F825,"违规：止损风险超过本次预算","通过")))))))))))))))</f>
        <v/>
      </c>
    </row>
    <row r="826" ht="17" spans="1:18">
      <c r="A826" s="13"/>
      <c r="B826" s="14"/>
      <c r="C826" s="15"/>
      <c r="D826" s="16"/>
      <c r="E826" s="16"/>
      <c r="F826" s="16"/>
      <c r="G826" s="14"/>
      <c r="H826" s="17" t="str">
        <f t="shared" si="96"/>
        <v/>
      </c>
      <c r="I826" s="18" t="str">
        <f>IF(OR(A826="",B826=""),"",IFERROR(LOOKUP(2,1/(单次交易!$A$2:$A$201=A826),单次交易!$H$2:$H$201),0)+SUMIFS($G$2:$G$1001,$A$2:$A$1001,A826,$B$2:$B$1001,"&lt;"&amp;B826))</f>
        <v/>
      </c>
      <c r="J826" s="17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17" t="str">
        <f t="shared" si="97"/>
        <v/>
      </c>
      <c r="L826" s="18" t="str">
        <f t="shared" si="98"/>
        <v/>
      </c>
      <c r="M826" s="18" t="str">
        <f t="shared" si="99"/>
        <v/>
      </c>
      <c r="N826" s="18" t="str">
        <f t="shared" si="100"/>
        <v/>
      </c>
      <c r="O826" s="18" t="str">
        <f t="shared" si="101"/>
        <v/>
      </c>
      <c r="P826" s="17" t="str">
        <f t="shared" si="102"/>
        <v/>
      </c>
      <c r="Q826" s="17" t="str">
        <f t="shared" si="103"/>
        <v/>
      </c>
      <c r="R826" s="19" t="str">
        <f ca="1">IF(A826="","",IF(COUNTIF(_TradeIds,A826)=0,"违规：交易编号不存在",IF(OR(B826="",B826&lt;1,B826&gt;5,B826&lt;&gt;INT(B826)),"违规：加仓序号须为1到5的整数",IF(COUNTIFS($A$2:$A$1001,A826,$B$2:$B$1001,B826)&gt;1,"违规：同一交易的加仓序号重复",IF(OR(D826="",E826="",F826=""),"计划不完整：请填写加仓价、新止损价和风险预算",IF(OR(D826&lt;=0,E826&lt;=0,F826&lt;=0,D826&lt;=E826),"违规：加仓价必须高于新止损价，金额须大于0",IF(AND(B826&gt;1,COUNTIFS($A$2:$A$1001,A826,$B$2:$B$1001,B826-1,$G$2:$G$1001,"&gt;0")=0),"违规：须先完成上一次加仓",IF(AND(B826&gt;1,E826&lt;SUMIFS($E$2:$E$1001,$A$2:$A$1001,A826,$B$2:$B$1001,B826-1)),"违规：新止损价不得低于上一次",IF(AND(B826&gt;1,F826&gt;SUMIFS($F$2:$F$1001,$A$2:$A$1001,A826,$B$2:$B$1001,B826-1)),"违规：风险预算须逐次不增加",IF(OR(_LockStatus="已锁仓",_LockStatus="解锁信息不完整"),"违规：锁仓期间禁止加仓",IF(G826="","计划可执行：建议股数见N列",IF(OR(G826&lt;=0,G826&lt;&gt;INT(G826),MOD(G826,100)&lt;&gt;0),"违规：实际股数须为100股整数倍",IF(G826&gt;N826,"违规：实际股数超过风险或金字塔上限",IF(AND(B826&gt;1,G826&gt;SUMIFS($G$2:$G$1001,$A$2:$A$1001,A826,$B$2:$B$1001,B826-1)),"违规：加仓股数须逐次不增加",IF(Q826&gt;F826,"违规：止损风险超过本次预算","通过")))))))))))))))</f>
        <v/>
      </c>
    </row>
    <row r="827" ht="17" spans="1:18">
      <c r="A827" s="13"/>
      <c r="B827" s="14"/>
      <c r="C827" s="15"/>
      <c r="D827" s="16"/>
      <c r="E827" s="16"/>
      <c r="F827" s="16"/>
      <c r="G827" s="14"/>
      <c r="H827" s="17" t="str">
        <f t="shared" si="96"/>
        <v/>
      </c>
      <c r="I827" s="18" t="str">
        <f>IF(OR(A827="",B827=""),"",IFERROR(LOOKUP(2,1/(单次交易!$A$2:$A$201=A827),单次交易!$H$2:$H$201),0)+SUMIFS($G$2:$G$1001,$A$2:$A$1001,A827,$B$2:$B$1001,"&lt;"&amp;B827))</f>
        <v/>
      </c>
      <c r="J827" s="17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17" t="str">
        <f t="shared" si="97"/>
        <v/>
      </c>
      <c r="L827" s="18" t="str">
        <f t="shared" si="98"/>
        <v/>
      </c>
      <c r="M827" s="18" t="str">
        <f t="shared" si="99"/>
        <v/>
      </c>
      <c r="N827" s="18" t="str">
        <f t="shared" si="100"/>
        <v/>
      </c>
      <c r="O827" s="18" t="str">
        <f t="shared" si="101"/>
        <v/>
      </c>
      <c r="P827" s="17" t="str">
        <f t="shared" si="102"/>
        <v/>
      </c>
      <c r="Q827" s="17" t="str">
        <f t="shared" si="103"/>
        <v/>
      </c>
      <c r="R827" s="19" t="str">
        <f ca="1">IF(A827="","",IF(COUNTIF(_TradeIds,A827)=0,"违规：交易编号不存在",IF(OR(B827="",B827&lt;1,B827&gt;5,B827&lt;&gt;INT(B827)),"违规：加仓序号须为1到5的整数",IF(COUNTIFS($A$2:$A$1001,A827,$B$2:$B$1001,B827)&gt;1,"违规：同一交易的加仓序号重复",IF(OR(D827="",E827="",F827=""),"计划不完整：请填写加仓价、新止损价和风险预算",IF(OR(D827&lt;=0,E827&lt;=0,F827&lt;=0,D827&lt;=E827),"违规：加仓价必须高于新止损价，金额须大于0",IF(AND(B827&gt;1,COUNTIFS($A$2:$A$1001,A827,$B$2:$B$1001,B827-1,$G$2:$G$1001,"&gt;0")=0),"违规：须先完成上一次加仓",IF(AND(B827&gt;1,E827&lt;SUMIFS($E$2:$E$1001,$A$2:$A$1001,A827,$B$2:$B$1001,B827-1)),"违规：新止损价不得低于上一次",IF(AND(B827&gt;1,F827&gt;SUMIFS($F$2:$F$1001,$A$2:$A$1001,A827,$B$2:$B$1001,B827-1)),"违规：风险预算须逐次不增加",IF(OR(_LockStatus="已锁仓",_LockStatus="解锁信息不完整"),"违规：锁仓期间禁止加仓",IF(G827="","计划可执行：建议股数见N列",IF(OR(G827&lt;=0,G827&lt;&gt;INT(G827),MOD(G827,100)&lt;&gt;0),"违规：实际股数须为100股整数倍",IF(G827&gt;N827,"违规：实际股数超过风险或金字塔上限",IF(AND(B827&gt;1,G827&gt;SUMIFS($G$2:$G$1001,$A$2:$A$1001,A827,$B$2:$B$1001,B827-1)),"违规：加仓股数须逐次不增加",IF(Q827&gt;F827,"违规：止损风险超过本次预算","通过")))))))))))))))</f>
        <v/>
      </c>
    </row>
    <row r="828" ht="17" spans="1:18">
      <c r="A828" s="13"/>
      <c r="B828" s="14"/>
      <c r="C828" s="15"/>
      <c r="D828" s="16"/>
      <c r="E828" s="16"/>
      <c r="F828" s="16"/>
      <c r="G828" s="14"/>
      <c r="H828" s="17" t="str">
        <f t="shared" si="96"/>
        <v/>
      </c>
      <c r="I828" s="18" t="str">
        <f>IF(OR(A828="",B828=""),"",IFERROR(LOOKUP(2,1/(单次交易!$A$2:$A$201=A828),单次交易!$H$2:$H$201),0)+SUMIFS($G$2:$G$1001,$A$2:$A$1001,A828,$B$2:$B$1001,"&lt;"&amp;B828))</f>
        <v/>
      </c>
      <c r="J828" s="17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17" t="str">
        <f t="shared" si="97"/>
        <v/>
      </c>
      <c r="L828" s="18" t="str">
        <f t="shared" si="98"/>
        <v/>
      </c>
      <c r="M828" s="18" t="str">
        <f t="shared" si="99"/>
        <v/>
      </c>
      <c r="N828" s="18" t="str">
        <f t="shared" si="100"/>
        <v/>
      </c>
      <c r="O828" s="18" t="str">
        <f t="shared" si="101"/>
        <v/>
      </c>
      <c r="P828" s="17" t="str">
        <f t="shared" si="102"/>
        <v/>
      </c>
      <c r="Q828" s="17" t="str">
        <f t="shared" si="103"/>
        <v/>
      </c>
      <c r="R828" s="19" t="str">
        <f ca="1">IF(A828="","",IF(COUNTIF(_TradeIds,A828)=0,"违规：交易编号不存在",IF(OR(B828="",B828&lt;1,B828&gt;5,B828&lt;&gt;INT(B828)),"违规：加仓序号须为1到5的整数",IF(COUNTIFS($A$2:$A$1001,A828,$B$2:$B$1001,B828)&gt;1,"违规：同一交易的加仓序号重复",IF(OR(D828="",E828="",F828=""),"计划不完整：请填写加仓价、新止损价和风险预算",IF(OR(D828&lt;=0,E828&lt;=0,F828&lt;=0,D828&lt;=E828),"违规：加仓价必须高于新止损价，金额须大于0",IF(AND(B828&gt;1,COUNTIFS($A$2:$A$1001,A828,$B$2:$B$1001,B828-1,$G$2:$G$1001,"&gt;0")=0),"违规：须先完成上一次加仓",IF(AND(B828&gt;1,E828&lt;SUMIFS($E$2:$E$1001,$A$2:$A$1001,A828,$B$2:$B$1001,B828-1)),"违规：新止损价不得低于上一次",IF(AND(B828&gt;1,F828&gt;SUMIFS($F$2:$F$1001,$A$2:$A$1001,A828,$B$2:$B$1001,B828-1)),"违规：风险预算须逐次不增加",IF(OR(_LockStatus="已锁仓",_LockStatus="解锁信息不完整"),"违规：锁仓期间禁止加仓",IF(G828="","计划可执行：建议股数见N列",IF(OR(G828&lt;=0,G828&lt;&gt;INT(G828),MOD(G828,100)&lt;&gt;0),"违规：实际股数须为100股整数倍",IF(G828&gt;N828,"违规：实际股数超过风险或金字塔上限",IF(AND(B828&gt;1,G828&gt;SUMIFS($G$2:$G$1001,$A$2:$A$1001,A828,$B$2:$B$1001,B828-1)),"违规：加仓股数须逐次不增加",IF(Q828&gt;F828,"违规：止损风险超过本次预算","通过")))))))))))))))</f>
        <v/>
      </c>
    </row>
    <row r="829" ht="17" spans="1:18">
      <c r="A829" s="13"/>
      <c r="B829" s="14"/>
      <c r="C829" s="15"/>
      <c r="D829" s="16"/>
      <c r="E829" s="16"/>
      <c r="F829" s="16"/>
      <c r="G829" s="14"/>
      <c r="H829" s="17" t="str">
        <f t="shared" si="96"/>
        <v/>
      </c>
      <c r="I829" s="18" t="str">
        <f>IF(OR(A829="",B829=""),"",IFERROR(LOOKUP(2,1/(单次交易!$A$2:$A$201=A829),单次交易!$H$2:$H$201),0)+SUMIFS($G$2:$G$1001,$A$2:$A$1001,A829,$B$2:$B$1001,"&lt;"&amp;B829))</f>
        <v/>
      </c>
      <c r="J829" s="17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17" t="str">
        <f t="shared" si="97"/>
        <v/>
      </c>
      <c r="L829" s="18" t="str">
        <f t="shared" si="98"/>
        <v/>
      </c>
      <c r="M829" s="18" t="str">
        <f t="shared" si="99"/>
        <v/>
      </c>
      <c r="N829" s="18" t="str">
        <f t="shared" si="100"/>
        <v/>
      </c>
      <c r="O829" s="18" t="str">
        <f t="shared" si="101"/>
        <v/>
      </c>
      <c r="P829" s="17" t="str">
        <f t="shared" si="102"/>
        <v/>
      </c>
      <c r="Q829" s="17" t="str">
        <f t="shared" si="103"/>
        <v/>
      </c>
      <c r="R829" s="19" t="str">
        <f ca="1">IF(A829="","",IF(COUNTIF(_TradeIds,A829)=0,"违规：交易编号不存在",IF(OR(B829="",B829&lt;1,B829&gt;5,B829&lt;&gt;INT(B829)),"违规：加仓序号须为1到5的整数",IF(COUNTIFS($A$2:$A$1001,A829,$B$2:$B$1001,B829)&gt;1,"违规：同一交易的加仓序号重复",IF(OR(D829="",E829="",F829=""),"计划不完整：请填写加仓价、新止损价和风险预算",IF(OR(D829&lt;=0,E829&lt;=0,F829&lt;=0,D829&lt;=E829),"违规：加仓价必须高于新止损价，金额须大于0",IF(AND(B829&gt;1,COUNTIFS($A$2:$A$1001,A829,$B$2:$B$1001,B829-1,$G$2:$G$1001,"&gt;0")=0),"违规：须先完成上一次加仓",IF(AND(B829&gt;1,E829&lt;SUMIFS($E$2:$E$1001,$A$2:$A$1001,A829,$B$2:$B$1001,B829-1)),"违规：新止损价不得低于上一次",IF(AND(B829&gt;1,F829&gt;SUMIFS($F$2:$F$1001,$A$2:$A$1001,A829,$B$2:$B$1001,B829-1)),"违规：风险预算须逐次不增加",IF(OR(_LockStatus="已锁仓",_LockStatus="解锁信息不完整"),"违规：锁仓期间禁止加仓",IF(G829="","计划可执行：建议股数见N列",IF(OR(G829&lt;=0,G829&lt;&gt;INT(G829),MOD(G829,100)&lt;&gt;0),"违规：实际股数须为100股整数倍",IF(G829&gt;N829,"违规：实际股数超过风险或金字塔上限",IF(AND(B829&gt;1,G829&gt;SUMIFS($G$2:$G$1001,$A$2:$A$1001,A829,$B$2:$B$1001,B829-1)),"违规：加仓股数须逐次不增加",IF(Q829&gt;F829,"违规：止损风险超过本次预算","通过")))))))))))))))</f>
        <v/>
      </c>
    </row>
    <row r="830" ht="17" spans="1:18">
      <c r="A830" s="13"/>
      <c r="B830" s="14"/>
      <c r="C830" s="15"/>
      <c r="D830" s="16"/>
      <c r="E830" s="16"/>
      <c r="F830" s="16"/>
      <c r="G830" s="14"/>
      <c r="H830" s="17" t="str">
        <f t="shared" si="96"/>
        <v/>
      </c>
      <c r="I830" s="18" t="str">
        <f>IF(OR(A830="",B830=""),"",IFERROR(LOOKUP(2,1/(单次交易!$A$2:$A$201=A830),单次交易!$H$2:$H$201),0)+SUMIFS($G$2:$G$1001,$A$2:$A$1001,A830,$B$2:$B$1001,"&lt;"&amp;B830))</f>
        <v/>
      </c>
      <c r="J830" s="17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17" t="str">
        <f t="shared" si="97"/>
        <v/>
      </c>
      <c r="L830" s="18" t="str">
        <f t="shared" si="98"/>
        <v/>
      </c>
      <c r="M830" s="18" t="str">
        <f t="shared" si="99"/>
        <v/>
      </c>
      <c r="N830" s="18" t="str">
        <f t="shared" si="100"/>
        <v/>
      </c>
      <c r="O830" s="18" t="str">
        <f t="shared" si="101"/>
        <v/>
      </c>
      <c r="P830" s="17" t="str">
        <f t="shared" si="102"/>
        <v/>
      </c>
      <c r="Q830" s="17" t="str">
        <f t="shared" si="103"/>
        <v/>
      </c>
      <c r="R830" s="19" t="str">
        <f ca="1">IF(A830="","",IF(COUNTIF(_TradeIds,A830)=0,"违规：交易编号不存在",IF(OR(B830="",B830&lt;1,B830&gt;5,B830&lt;&gt;INT(B830)),"违规：加仓序号须为1到5的整数",IF(COUNTIFS($A$2:$A$1001,A830,$B$2:$B$1001,B830)&gt;1,"违规：同一交易的加仓序号重复",IF(OR(D830="",E830="",F830=""),"计划不完整：请填写加仓价、新止损价和风险预算",IF(OR(D830&lt;=0,E830&lt;=0,F830&lt;=0,D830&lt;=E830),"违规：加仓价必须高于新止损价，金额须大于0",IF(AND(B830&gt;1,COUNTIFS($A$2:$A$1001,A830,$B$2:$B$1001,B830-1,$G$2:$G$1001,"&gt;0")=0),"违规：须先完成上一次加仓",IF(AND(B830&gt;1,E830&lt;SUMIFS($E$2:$E$1001,$A$2:$A$1001,A830,$B$2:$B$1001,B830-1)),"违规：新止损价不得低于上一次",IF(AND(B830&gt;1,F830&gt;SUMIFS($F$2:$F$1001,$A$2:$A$1001,A830,$B$2:$B$1001,B830-1)),"违规：风险预算须逐次不增加",IF(OR(_LockStatus="已锁仓",_LockStatus="解锁信息不完整"),"违规：锁仓期间禁止加仓",IF(G830="","计划可执行：建议股数见N列",IF(OR(G830&lt;=0,G830&lt;&gt;INT(G830),MOD(G830,100)&lt;&gt;0),"违规：实际股数须为100股整数倍",IF(G830&gt;N830,"违规：实际股数超过风险或金字塔上限",IF(AND(B830&gt;1,G830&gt;SUMIFS($G$2:$G$1001,$A$2:$A$1001,A830,$B$2:$B$1001,B830-1)),"违规：加仓股数须逐次不增加",IF(Q830&gt;F830,"违规：止损风险超过本次预算","通过")))))))))))))))</f>
        <v/>
      </c>
    </row>
    <row r="831" ht="17" spans="1:18">
      <c r="A831" s="13"/>
      <c r="B831" s="14"/>
      <c r="C831" s="15"/>
      <c r="D831" s="16"/>
      <c r="E831" s="16"/>
      <c r="F831" s="16"/>
      <c r="G831" s="14"/>
      <c r="H831" s="17" t="str">
        <f t="shared" si="96"/>
        <v/>
      </c>
      <c r="I831" s="18" t="str">
        <f>IF(OR(A831="",B831=""),"",IFERROR(LOOKUP(2,1/(单次交易!$A$2:$A$201=A831),单次交易!$H$2:$H$201),0)+SUMIFS($G$2:$G$1001,$A$2:$A$1001,A831,$B$2:$B$1001,"&lt;"&amp;B831))</f>
        <v/>
      </c>
      <c r="J831" s="17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17" t="str">
        <f t="shared" si="97"/>
        <v/>
      </c>
      <c r="L831" s="18" t="str">
        <f t="shared" si="98"/>
        <v/>
      </c>
      <c r="M831" s="18" t="str">
        <f t="shared" si="99"/>
        <v/>
      </c>
      <c r="N831" s="18" t="str">
        <f t="shared" si="100"/>
        <v/>
      </c>
      <c r="O831" s="18" t="str">
        <f t="shared" si="101"/>
        <v/>
      </c>
      <c r="P831" s="17" t="str">
        <f t="shared" si="102"/>
        <v/>
      </c>
      <c r="Q831" s="17" t="str">
        <f t="shared" si="103"/>
        <v/>
      </c>
      <c r="R831" s="19" t="str">
        <f ca="1">IF(A831="","",IF(COUNTIF(_TradeIds,A831)=0,"违规：交易编号不存在",IF(OR(B831="",B831&lt;1,B831&gt;5,B831&lt;&gt;INT(B831)),"违规：加仓序号须为1到5的整数",IF(COUNTIFS($A$2:$A$1001,A831,$B$2:$B$1001,B831)&gt;1,"违规：同一交易的加仓序号重复",IF(OR(D831="",E831="",F831=""),"计划不完整：请填写加仓价、新止损价和风险预算",IF(OR(D831&lt;=0,E831&lt;=0,F831&lt;=0,D831&lt;=E831),"违规：加仓价必须高于新止损价，金额须大于0",IF(AND(B831&gt;1,COUNTIFS($A$2:$A$1001,A831,$B$2:$B$1001,B831-1,$G$2:$G$1001,"&gt;0")=0),"违规：须先完成上一次加仓",IF(AND(B831&gt;1,E831&lt;SUMIFS($E$2:$E$1001,$A$2:$A$1001,A831,$B$2:$B$1001,B831-1)),"违规：新止损价不得低于上一次",IF(AND(B831&gt;1,F831&gt;SUMIFS($F$2:$F$1001,$A$2:$A$1001,A831,$B$2:$B$1001,B831-1)),"违规：风险预算须逐次不增加",IF(OR(_LockStatus="已锁仓",_LockStatus="解锁信息不完整"),"违规：锁仓期间禁止加仓",IF(G831="","计划可执行：建议股数见N列",IF(OR(G831&lt;=0,G831&lt;&gt;INT(G831),MOD(G831,100)&lt;&gt;0),"违规：实际股数须为100股整数倍",IF(G831&gt;N831,"违规：实际股数超过风险或金字塔上限",IF(AND(B831&gt;1,G831&gt;SUMIFS($G$2:$G$1001,$A$2:$A$1001,A831,$B$2:$B$1001,B831-1)),"违规：加仓股数须逐次不增加",IF(Q831&gt;F831,"违规：止损风险超过本次预算","通过")))))))))))))))</f>
        <v/>
      </c>
    </row>
    <row r="832" ht="17" spans="1:18">
      <c r="A832" s="13"/>
      <c r="B832" s="14"/>
      <c r="C832" s="15"/>
      <c r="D832" s="16"/>
      <c r="E832" s="16"/>
      <c r="F832" s="16"/>
      <c r="G832" s="14"/>
      <c r="H832" s="17" t="str">
        <f t="shared" si="96"/>
        <v/>
      </c>
      <c r="I832" s="18" t="str">
        <f>IF(OR(A832="",B832=""),"",IFERROR(LOOKUP(2,1/(单次交易!$A$2:$A$201=A832),单次交易!$H$2:$H$201),0)+SUMIFS($G$2:$G$1001,$A$2:$A$1001,A832,$B$2:$B$1001,"&lt;"&amp;B832))</f>
        <v/>
      </c>
      <c r="J832" s="17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17" t="str">
        <f t="shared" si="97"/>
        <v/>
      </c>
      <c r="L832" s="18" t="str">
        <f t="shared" si="98"/>
        <v/>
      </c>
      <c r="M832" s="18" t="str">
        <f t="shared" si="99"/>
        <v/>
      </c>
      <c r="N832" s="18" t="str">
        <f t="shared" si="100"/>
        <v/>
      </c>
      <c r="O832" s="18" t="str">
        <f t="shared" si="101"/>
        <v/>
      </c>
      <c r="P832" s="17" t="str">
        <f t="shared" si="102"/>
        <v/>
      </c>
      <c r="Q832" s="17" t="str">
        <f t="shared" si="103"/>
        <v/>
      </c>
      <c r="R832" s="19" t="str">
        <f ca="1">IF(A832="","",IF(COUNTIF(_TradeIds,A832)=0,"违规：交易编号不存在",IF(OR(B832="",B832&lt;1,B832&gt;5,B832&lt;&gt;INT(B832)),"违规：加仓序号须为1到5的整数",IF(COUNTIFS($A$2:$A$1001,A832,$B$2:$B$1001,B832)&gt;1,"违规：同一交易的加仓序号重复",IF(OR(D832="",E832="",F832=""),"计划不完整：请填写加仓价、新止损价和风险预算",IF(OR(D832&lt;=0,E832&lt;=0,F832&lt;=0,D832&lt;=E832),"违规：加仓价必须高于新止损价，金额须大于0",IF(AND(B832&gt;1,COUNTIFS($A$2:$A$1001,A832,$B$2:$B$1001,B832-1,$G$2:$G$1001,"&gt;0")=0),"违规：须先完成上一次加仓",IF(AND(B832&gt;1,E832&lt;SUMIFS($E$2:$E$1001,$A$2:$A$1001,A832,$B$2:$B$1001,B832-1)),"违规：新止损价不得低于上一次",IF(AND(B832&gt;1,F832&gt;SUMIFS($F$2:$F$1001,$A$2:$A$1001,A832,$B$2:$B$1001,B832-1)),"违规：风险预算须逐次不增加",IF(OR(_LockStatus="已锁仓",_LockStatus="解锁信息不完整"),"违规：锁仓期间禁止加仓",IF(G832="","计划可执行：建议股数见N列",IF(OR(G832&lt;=0,G832&lt;&gt;INT(G832),MOD(G832,100)&lt;&gt;0),"违规：实际股数须为100股整数倍",IF(G832&gt;N832,"违规：实际股数超过风险或金字塔上限",IF(AND(B832&gt;1,G832&gt;SUMIFS($G$2:$G$1001,$A$2:$A$1001,A832,$B$2:$B$1001,B832-1)),"违规：加仓股数须逐次不增加",IF(Q832&gt;F832,"违规：止损风险超过本次预算","通过")))))))))))))))</f>
        <v/>
      </c>
    </row>
    <row r="833" ht="17" spans="1:18">
      <c r="A833" s="13"/>
      <c r="B833" s="14"/>
      <c r="C833" s="15"/>
      <c r="D833" s="16"/>
      <c r="E833" s="16"/>
      <c r="F833" s="16"/>
      <c r="G833" s="14"/>
      <c r="H833" s="17" t="str">
        <f t="shared" si="96"/>
        <v/>
      </c>
      <c r="I833" s="18" t="str">
        <f>IF(OR(A833="",B833=""),"",IFERROR(LOOKUP(2,1/(单次交易!$A$2:$A$201=A833),单次交易!$H$2:$H$201),0)+SUMIFS($G$2:$G$1001,$A$2:$A$1001,A833,$B$2:$B$1001,"&lt;"&amp;B833))</f>
        <v/>
      </c>
      <c r="J833" s="17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17" t="str">
        <f t="shared" si="97"/>
        <v/>
      </c>
      <c r="L833" s="18" t="str">
        <f t="shared" si="98"/>
        <v/>
      </c>
      <c r="M833" s="18" t="str">
        <f t="shared" si="99"/>
        <v/>
      </c>
      <c r="N833" s="18" t="str">
        <f t="shared" si="100"/>
        <v/>
      </c>
      <c r="O833" s="18" t="str">
        <f t="shared" si="101"/>
        <v/>
      </c>
      <c r="P833" s="17" t="str">
        <f t="shared" si="102"/>
        <v/>
      </c>
      <c r="Q833" s="17" t="str">
        <f t="shared" si="103"/>
        <v/>
      </c>
      <c r="R833" s="19" t="str">
        <f ca="1">IF(A833="","",IF(COUNTIF(_TradeIds,A833)=0,"违规：交易编号不存在",IF(OR(B833="",B833&lt;1,B833&gt;5,B833&lt;&gt;INT(B833)),"违规：加仓序号须为1到5的整数",IF(COUNTIFS($A$2:$A$1001,A833,$B$2:$B$1001,B833)&gt;1,"违规：同一交易的加仓序号重复",IF(OR(D833="",E833="",F833=""),"计划不完整：请填写加仓价、新止损价和风险预算",IF(OR(D833&lt;=0,E833&lt;=0,F833&lt;=0,D833&lt;=E833),"违规：加仓价必须高于新止损价，金额须大于0",IF(AND(B833&gt;1,COUNTIFS($A$2:$A$1001,A833,$B$2:$B$1001,B833-1,$G$2:$G$1001,"&gt;0")=0),"违规：须先完成上一次加仓",IF(AND(B833&gt;1,E833&lt;SUMIFS($E$2:$E$1001,$A$2:$A$1001,A833,$B$2:$B$1001,B833-1)),"违规：新止损价不得低于上一次",IF(AND(B833&gt;1,F833&gt;SUMIFS($F$2:$F$1001,$A$2:$A$1001,A833,$B$2:$B$1001,B833-1)),"违规：风险预算须逐次不增加",IF(OR(_LockStatus="已锁仓",_LockStatus="解锁信息不完整"),"违规：锁仓期间禁止加仓",IF(G833="","计划可执行：建议股数见N列",IF(OR(G833&lt;=0,G833&lt;&gt;INT(G833),MOD(G833,100)&lt;&gt;0),"违规：实际股数须为100股整数倍",IF(G833&gt;N833,"违规：实际股数超过风险或金字塔上限",IF(AND(B833&gt;1,G833&gt;SUMIFS($G$2:$G$1001,$A$2:$A$1001,A833,$B$2:$B$1001,B833-1)),"违规：加仓股数须逐次不增加",IF(Q833&gt;F833,"违规：止损风险超过本次预算","通过")))))))))))))))</f>
        <v/>
      </c>
    </row>
    <row r="834" ht="17" spans="1:18">
      <c r="A834" s="13"/>
      <c r="B834" s="14"/>
      <c r="C834" s="15"/>
      <c r="D834" s="16"/>
      <c r="E834" s="16"/>
      <c r="F834" s="16"/>
      <c r="G834" s="14"/>
      <c r="H834" s="17" t="str">
        <f t="shared" ref="H834:H897" si="104">IF(OR(A834="",D834="",G834=""),"",D834*G834)</f>
        <v/>
      </c>
      <c r="I834" s="18" t="str">
        <f>IF(OR(A834="",B834=""),"",IFERROR(LOOKUP(2,1/(单次交易!$A$2:$A$201=A834),单次交易!$H$2:$H$201),0)+SUMIFS($G$2:$G$1001,$A$2:$A$1001,A834,$B$2:$B$1001,"&lt;"&amp;B834))</f>
        <v/>
      </c>
      <c r="J834" s="17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17" t="str">
        <f t="shared" ref="K834:K897" si="105">IF(OR(E834="",I834="",J834=""),"",MAX(E834*I834-J834,0))</f>
        <v/>
      </c>
      <c r="L834" s="18" t="str">
        <f t="shared" ref="L834:L897" si="106">IF(OR(D834="",E834="",F834="",D834&lt;=E834),"",FLOOR((F834+K834)/(D834-E834),100))</f>
        <v/>
      </c>
      <c r="M834" s="18" t="str">
        <f t="shared" ref="M834:M897" si="107">IF(OR(A834="",B834="",L834=""),"",IF(B834=1,L834,IFERROR(SUMIFS($G$2:$G$1001,$A$2:$A$1001,A834,$B$2:$B$1001,B834-1),0)))</f>
        <v/>
      </c>
      <c r="N834" s="18" t="str">
        <f t="shared" ref="N834:N897" si="108">IF(OR(L834="",M834=""),"",MIN(L834,M834))</f>
        <v/>
      </c>
      <c r="O834" s="18" t="str">
        <f t="shared" ref="O834:O897" si="109">IF(OR(I834="",G834=""),"",I834+G834)</f>
        <v/>
      </c>
      <c r="P834" s="17" t="str">
        <f t="shared" ref="P834:P897" si="110">IF(OR(O834="",O834=0),"",(J834+H834)/O834)</f>
        <v/>
      </c>
      <c r="Q834" s="17" t="str">
        <f t="shared" ref="Q834:Q897" si="111">IF(OR(O834="",E834=""),"",MAX(J834+H834-E834*O834,0))</f>
        <v/>
      </c>
      <c r="R834" s="19" t="str">
        <f ca="1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ht="17" spans="1:18">
      <c r="A835" s="13"/>
      <c r="B835" s="14"/>
      <c r="C835" s="15"/>
      <c r="D835" s="16"/>
      <c r="E835" s="16"/>
      <c r="F835" s="16"/>
      <c r="G835" s="14"/>
      <c r="H835" s="17" t="str">
        <f t="shared" si="104"/>
        <v/>
      </c>
      <c r="I835" s="18" t="str">
        <f>IF(OR(A835="",B835=""),"",IFERROR(LOOKUP(2,1/(单次交易!$A$2:$A$201=A835),单次交易!$H$2:$H$201),0)+SUMIFS($G$2:$G$1001,$A$2:$A$1001,A835,$B$2:$B$1001,"&lt;"&amp;B835))</f>
        <v/>
      </c>
      <c r="J835" s="17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17" t="str">
        <f t="shared" si="105"/>
        <v/>
      </c>
      <c r="L835" s="18" t="str">
        <f t="shared" si="106"/>
        <v/>
      </c>
      <c r="M835" s="18" t="str">
        <f t="shared" si="107"/>
        <v/>
      </c>
      <c r="N835" s="18" t="str">
        <f t="shared" si="108"/>
        <v/>
      </c>
      <c r="O835" s="18" t="str">
        <f t="shared" si="109"/>
        <v/>
      </c>
      <c r="P835" s="17" t="str">
        <f t="shared" si="110"/>
        <v/>
      </c>
      <c r="Q835" s="17" t="str">
        <f t="shared" si="111"/>
        <v/>
      </c>
      <c r="R835" s="19" t="str">
        <f ca="1">IF(A835="","",IF(COUNTIF(_TradeIds,A835)=0,"违规：交易编号不存在",IF(OR(B835="",B835&lt;1,B835&gt;5,B835&lt;&gt;INT(B835)),"违规：加仓序号须为1到5的整数",IF(COUNTIFS($A$2:$A$1001,A835,$B$2:$B$1001,B835)&gt;1,"违规：同一交易的加仓序号重复",IF(OR(D835="",E835="",F835=""),"计划不完整：请填写加仓价、新止损价和风险预算",IF(OR(D835&lt;=0,E835&lt;=0,F835&lt;=0,D835&lt;=E835),"违规：加仓价必须高于新止损价，金额须大于0",IF(AND(B835&gt;1,COUNTIFS($A$2:$A$1001,A835,$B$2:$B$1001,B835-1,$G$2:$G$1001,"&gt;0")=0),"违规：须先完成上一次加仓",IF(AND(B835&gt;1,E835&lt;SUMIFS($E$2:$E$1001,$A$2:$A$1001,A835,$B$2:$B$1001,B835-1)),"违规：新止损价不得低于上一次",IF(AND(B835&gt;1,F835&gt;SUMIFS($F$2:$F$1001,$A$2:$A$1001,A835,$B$2:$B$1001,B835-1)),"违规：风险预算须逐次不增加",IF(OR(_LockStatus="已锁仓",_LockStatus="解锁信息不完整"),"违规：锁仓期间禁止加仓",IF(G835="","计划可执行：建议股数见N列",IF(OR(G835&lt;=0,G835&lt;&gt;INT(G835),MOD(G835,100)&lt;&gt;0),"违规：实际股数须为100股整数倍",IF(G835&gt;N835,"违规：实际股数超过风险或金字塔上限",IF(AND(B835&gt;1,G835&gt;SUMIFS($G$2:$G$1001,$A$2:$A$1001,A835,$B$2:$B$1001,B835-1)),"违规：加仓股数须逐次不增加",IF(Q835&gt;F835,"违规：止损风险超过本次预算","通过")))))))))))))))</f>
        <v/>
      </c>
    </row>
    <row r="836" ht="17" spans="1:18">
      <c r="A836" s="13"/>
      <c r="B836" s="14"/>
      <c r="C836" s="15"/>
      <c r="D836" s="16"/>
      <c r="E836" s="16"/>
      <c r="F836" s="16"/>
      <c r="G836" s="14"/>
      <c r="H836" s="17" t="str">
        <f t="shared" si="104"/>
        <v/>
      </c>
      <c r="I836" s="18" t="str">
        <f>IF(OR(A836="",B836=""),"",IFERROR(LOOKUP(2,1/(单次交易!$A$2:$A$201=A836),单次交易!$H$2:$H$201),0)+SUMIFS($G$2:$G$1001,$A$2:$A$1001,A836,$B$2:$B$1001,"&lt;"&amp;B836))</f>
        <v/>
      </c>
      <c r="J836" s="17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17" t="str">
        <f t="shared" si="105"/>
        <v/>
      </c>
      <c r="L836" s="18" t="str">
        <f t="shared" si="106"/>
        <v/>
      </c>
      <c r="M836" s="18" t="str">
        <f t="shared" si="107"/>
        <v/>
      </c>
      <c r="N836" s="18" t="str">
        <f t="shared" si="108"/>
        <v/>
      </c>
      <c r="O836" s="18" t="str">
        <f t="shared" si="109"/>
        <v/>
      </c>
      <c r="P836" s="17" t="str">
        <f t="shared" si="110"/>
        <v/>
      </c>
      <c r="Q836" s="17" t="str">
        <f t="shared" si="111"/>
        <v/>
      </c>
      <c r="R836" s="19" t="str">
        <f ca="1">IF(A836="","",IF(COUNTIF(_TradeIds,A836)=0,"违规：交易编号不存在",IF(OR(B836="",B836&lt;1,B836&gt;5,B836&lt;&gt;INT(B836)),"违规：加仓序号须为1到5的整数",IF(COUNTIFS($A$2:$A$1001,A836,$B$2:$B$1001,B836)&gt;1,"违规：同一交易的加仓序号重复",IF(OR(D836="",E836="",F836=""),"计划不完整：请填写加仓价、新止损价和风险预算",IF(OR(D836&lt;=0,E836&lt;=0,F836&lt;=0,D836&lt;=E836),"违规：加仓价必须高于新止损价，金额须大于0",IF(AND(B836&gt;1,COUNTIFS($A$2:$A$1001,A836,$B$2:$B$1001,B836-1,$G$2:$G$1001,"&gt;0")=0),"违规：须先完成上一次加仓",IF(AND(B836&gt;1,E836&lt;SUMIFS($E$2:$E$1001,$A$2:$A$1001,A836,$B$2:$B$1001,B836-1)),"违规：新止损价不得低于上一次",IF(AND(B836&gt;1,F836&gt;SUMIFS($F$2:$F$1001,$A$2:$A$1001,A836,$B$2:$B$1001,B836-1)),"违规：风险预算须逐次不增加",IF(OR(_LockStatus="已锁仓",_LockStatus="解锁信息不完整"),"违规：锁仓期间禁止加仓",IF(G836="","计划可执行：建议股数见N列",IF(OR(G836&lt;=0,G836&lt;&gt;INT(G836),MOD(G836,100)&lt;&gt;0),"违规：实际股数须为100股整数倍",IF(G836&gt;N836,"违规：实际股数超过风险或金字塔上限",IF(AND(B836&gt;1,G836&gt;SUMIFS($G$2:$G$1001,$A$2:$A$1001,A836,$B$2:$B$1001,B836-1)),"违规：加仓股数须逐次不增加",IF(Q836&gt;F836,"违规：止损风险超过本次预算","通过")))))))))))))))</f>
        <v/>
      </c>
    </row>
    <row r="837" ht="17" spans="1:18">
      <c r="A837" s="13"/>
      <c r="B837" s="14"/>
      <c r="C837" s="15"/>
      <c r="D837" s="16"/>
      <c r="E837" s="16"/>
      <c r="F837" s="16"/>
      <c r="G837" s="14"/>
      <c r="H837" s="17" t="str">
        <f t="shared" si="104"/>
        <v/>
      </c>
      <c r="I837" s="18" t="str">
        <f>IF(OR(A837="",B837=""),"",IFERROR(LOOKUP(2,1/(单次交易!$A$2:$A$201=A837),单次交易!$H$2:$H$201),0)+SUMIFS($G$2:$G$1001,$A$2:$A$1001,A837,$B$2:$B$1001,"&lt;"&amp;B837))</f>
        <v/>
      </c>
      <c r="J837" s="17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17" t="str">
        <f t="shared" si="105"/>
        <v/>
      </c>
      <c r="L837" s="18" t="str">
        <f t="shared" si="106"/>
        <v/>
      </c>
      <c r="M837" s="18" t="str">
        <f t="shared" si="107"/>
        <v/>
      </c>
      <c r="N837" s="18" t="str">
        <f t="shared" si="108"/>
        <v/>
      </c>
      <c r="O837" s="18" t="str">
        <f t="shared" si="109"/>
        <v/>
      </c>
      <c r="P837" s="17" t="str">
        <f t="shared" si="110"/>
        <v/>
      </c>
      <c r="Q837" s="17" t="str">
        <f t="shared" si="111"/>
        <v/>
      </c>
      <c r="R837" s="19" t="str">
        <f ca="1">IF(A837="","",IF(COUNTIF(_TradeIds,A837)=0,"违规：交易编号不存在",IF(OR(B837="",B837&lt;1,B837&gt;5,B837&lt;&gt;INT(B837)),"违规：加仓序号须为1到5的整数",IF(COUNTIFS($A$2:$A$1001,A837,$B$2:$B$1001,B837)&gt;1,"违规：同一交易的加仓序号重复",IF(OR(D837="",E837="",F837=""),"计划不完整：请填写加仓价、新止损价和风险预算",IF(OR(D837&lt;=0,E837&lt;=0,F837&lt;=0,D837&lt;=E837),"违规：加仓价必须高于新止损价，金额须大于0",IF(AND(B837&gt;1,COUNTIFS($A$2:$A$1001,A837,$B$2:$B$1001,B837-1,$G$2:$G$1001,"&gt;0")=0),"违规：须先完成上一次加仓",IF(AND(B837&gt;1,E837&lt;SUMIFS($E$2:$E$1001,$A$2:$A$1001,A837,$B$2:$B$1001,B837-1)),"违规：新止损价不得低于上一次",IF(AND(B837&gt;1,F837&gt;SUMIFS($F$2:$F$1001,$A$2:$A$1001,A837,$B$2:$B$1001,B837-1)),"违规：风险预算须逐次不增加",IF(OR(_LockStatus="已锁仓",_LockStatus="解锁信息不完整"),"违规：锁仓期间禁止加仓",IF(G837="","计划可执行：建议股数见N列",IF(OR(G837&lt;=0,G837&lt;&gt;INT(G837),MOD(G837,100)&lt;&gt;0),"违规：实际股数须为100股整数倍",IF(G837&gt;N837,"违规：实际股数超过风险或金字塔上限",IF(AND(B837&gt;1,G837&gt;SUMIFS($G$2:$G$1001,$A$2:$A$1001,A837,$B$2:$B$1001,B837-1)),"违规：加仓股数须逐次不增加",IF(Q837&gt;F837,"违规：止损风险超过本次预算","通过")))))))))))))))</f>
        <v/>
      </c>
    </row>
    <row r="838" ht="17" spans="1:18">
      <c r="A838" s="13"/>
      <c r="B838" s="14"/>
      <c r="C838" s="15"/>
      <c r="D838" s="16"/>
      <c r="E838" s="16"/>
      <c r="F838" s="16"/>
      <c r="G838" s="14"/>
      <c r="H838" s="17" t="str">
        <f t="shared" si="104"/>
        <v/>
      </c>
      <c r="I838" s="18" t="str">
        <f>IF(OR(A838="",B838=""),"",IFERROR(LOOKUP(2,1/(单次交易!$A$2:$A$201=A838),单次交易!$H$2:$H$201),0)+SUMIFS($G$2:$G$1001,$A$2:$A$1001,A838,$B$2:$B$1001,"&lt;"&amp;B838))</f>
        <v/>
      </c>
      <c r="J838" s="17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17" t="str">
        <f t="shared" si="105"/>
        <v/>
      </c>
      <c r="L838" s="18" t="str">
        <f t="shared" si="106"/>
        <v/>
      </c>
      <c r="M838" s="18" t="str">
        <f t="shared" si="107"/>
        <v/>
      </c>
      <c r="N838" s="18" t="str">
        <f t="shared" si="108"/>
        <v/>
      </c>
      <c r="O838" s="18" t="str">
        <f t="shared" si="109"/>
        <v/>
      </c>
      <c r="P838" s="17" t="str">
        <f t="shared" si="110"/>
        <v/>
      </c>
      <c r="Q838" s="17" t="str">
        <f t="shared" si="111"/>
        <v/>
      </c>
      <c r="R838" s="19" t="str">
        <f ca="1">IF(A838="","",IF(COUNTIF(_TradeIds,A838)=0,"违规：交易编号不存在",IF(OR(B838="",B838&lt;1,B838&gt;5,B838&lt;&gt;INT(B838)),"违规：加仓序号须为1到5的整数",IF(COUNTIFS($A$2:$A$1001,A838,$B$2:$B$1001,B838)&gt;1,"违规：同一交易的加仓序号重复",IF(OR(D838="",E838="",F838=""),"计划不完整：请填写加仓价、新止损价和风险预算",IF(OR(D838&lt;=0,E838&lt;=0,F838&lt;=0,D838&lt;=E838),"违规：加仓价必须高于新止损价，金额须大于0",IF(AND(B838&gt;1,COUNTIFS($A$2:$A$1001,A838,$B$2:$B$1001,B838-1,$G$2:$G$1001,"&gt;0")=0),"违规：须先完成上一次加仓",IF(AND(B838&gt;1,E838&lt;SUMIFS($E$2:$E$1001,$A$2:$A$1001,A838,$B$2:$B$1001,B838-1)),"违规：新止损价不得低于上一次",IF(AND(B838&gt;1,F838&gt;SUMIFS($F$2:$F$1001,$A$2:$A$1001,A838,$B$2:$B$1001,B838-1)),"违规：风险预算须逐次不增加",IF(OR(_LockStatus="已锁仓",_LockStatus="解锁信息不完整"),"违规：锁仓期间禁止加仓",IF(G838="","计划可执行：建议股数见N列",IF(OR(G838&lt;=0,G838&lt;&gt;INT(G838),MOD(G838,100)&lt;&gt;0),"违规：实际股数须为100股整数倍",IF(G838&gt;N838,"违规：实际股数超过风险或金字塔上限",IF(AND(B838&gt;1,G838&gt;SUMIFS($G$2:$G$1001,$A$2:$A$1001,A838,$B$2:$B$1001,B838-1)),"违规：加仓股数须逐次不增加",IF(Q838&gt;F838,"违规：止损风险超过本次预算","通过")))))))))))))))</f>
        <v/>
      </c>
    </row>
    <row r="839" ht="17" spans="1:18">
      <c r="A839" s="13"/>
      <c r="B839" s="14"/>
      <c r="C839" s="15"/>
      <c r="D839" s="16"/>
      <c r="E839" s="16"/>
      <c r="F839" s="16"/>
      <c r="G839" s="14"/>
      <c r="H839" s="17" t="str">
        <f t="shared" si="104"/>
        <v/>
      </c>
      <c r="I839" s="18" t="str">
        <f>IF(OR(A839="",B839=""),"",IFERROR(LOOKUP(2,1/(单次交易!$A$2:$A$201=A839),单次交易!$H$2:$H$201),0)+SUMIFS($G$2:$G$1001,$A$2:$A$1001,A839,$B$2:$B$1001,"&lt;"&amp;B839))</f>
        <v/>
      </c>
      <c r="J839" s="17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17" t="str">
        <f t="shared" si="105"/>
        <v/>
      </c>
      <c r="L839" s="18" t="str">
        <f t="shared" si="106"/>
        <v/>
      </c>
      <c r="M839" s="18" t="str">
        <f t="shared" si="107"/>
        <v/>
      </c>
      <c r="N839" s="18" t="str">
        <f t="shared" si="108"/>
        <v/>
      </c>
      <c r="O839" s="18" t="str">
        <f t="shared" si="109"/>
        <v/>
      </c>
      <c r="P839" s="17" t="str">
        <f t="shared" si="110"/>
        <v/>
      </c>
      <c r="Q839" s="17" t="str">
        <f t="shared" si="111"/>
        <v/>
      </c>
      <c r="R839" s="19" t="str">
        <f ca="1">IF(A839="","",IF(COUNTIF(_TradeIds,A839)=0,"违规：交易编号不存在",IF(OR(B839="",B839&lt;1,B839&gt;5,B839&lt;&gt;INT(B839)),"违规：加仓序号须为1到5的整数",IF(COUNTIFS($A$2:$A$1001,A839,$B$2:$B$1001,B839)&gt;1,"违规：同一交易的加仓序号重复",IF(OR(D839="",E839="",F839=""),"计划不完整：请填写加仓价、新止损价和风险预算",IF(OR(D839&lt;=0,E839&lt;=0,F839&lt;=0,D839&lt;=E839),"违规：加仓价必须高于新止损价，金额须大于0",IF(AND(B839&gt;1,COUNTIFS($A$2:$A$1001,A839,$B$2:$B$1001,B839-1,$G$2:$G$1001,"&gt;0")=0),"违规：须先完成上一次加仓",IF(AND(B839&gt;1,E839&lt;SUMIFS($E$2:$E$1001,$A$2:$A$1001,A839,$B$2:$B$1001,B839-1)),"违规：新止损价不得低于上一次",IF(AND(B839&gt;1,F839&gt;SUMIFS($F$2:$F$1001,$A$2:$A$1001,A839,$B$2:$B$1001,B839-1)),"违规：风险预算须逐次不增加",IF(OR(_LockStatus="已锁仓",_LockStatus="解锁信息不完整"),"违规：锁仓期间禁止加仓",IF(G839="","计划可执行：建议股数见N列",IF(OR(G839&lt;=0,G839&lt;&gt;INT(G839),MOD(G839,100)&lt;&gt;0),"违规：实际股数须为100股整数倍",IF(G839&gt;N839,"违规：实际股数超过风险或金字塔上限",IF(AND(B839&gt;1,G839&gt;SUMIFS($G$2:$G$1001,$A$2:$A$1001,A839,$B$2:$B$1001,B839-1)),"违规：加仓股数须逐次不增加",IF(Q839&gt;F839,"违规：止损风险超过本次预算","通过")))))))))))))))</f>
        <v/>
      </c>
    </row>
    <row r="840" ht="17" spans="1:18">
      <c r="A840" s="13"/>
      <c r="B840" s="14"/>
      <c r="C840" s="15"/>
      <c r="D840" s="16"/>
      <c r="E840" s="16"/>
      <c r="F840" s="16"/>
      <c r="G840" s="14"/>
      <c r="H840" s="17" t="str">
        <f t="shared" si="104"/>
        <v/>
      </c>
      <c r="I840" s="18" t="str">
        <f>IF(OR(A840="",B840=""),"",IFERROR(LOOKUP(2,1/(单次交易!$A$2:$A$201=A840),单次交易!$H$2:$H$201),0)+SUMIFS($G$2:$G$1001,$A$2:$A$1001,A840,$B$2:$B$1001,"&lt;"&amp;B840))</f>
        <v/>
      </c>
      <c r="J840" s="17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17" t="str">
        <f t="shared" si="105"/>
        <v/>
      </c>
      <c r="L840" s="18" t="str">
        <f t="shared" si="106"/>
        <v/>
      </c>
      <c r="M840" s="18" t="str">
        <f t="shared" si="107"/>
        <v/>
      </c>
      <c r="N840" s="18" t="str">
        <f t="shared" si="108"/>
        <v/>
      </c>
      <c r="O840" s="18" t="str">
        <f t="shared" si="109"/>
        <v/>
      </c>
      <c r="P840" s="17" t="str">
        <f t="shared" si="110"/>
        <v/>
      </c>
      <c r="Q840" s="17" t="str">
        <f t="shared" si="111"/>
        <v/>
      </c>
      <c r="R840" s="19" t="str">
        <f ca="1">IF(A840="","",IF(COUNTIF(_TradeIds,A840)=0,"违规：交易编号不存在",IF(OR(B840="",B840&lt;1,B840&gt;5,B840&lt;&gt;INT(B840)),"违规：加仓序号须为1到5的整数",IF(COUNTIFS($A$2:$A$1001,A840,$B$2:$B$1001,B840)&gt;1,"违规：同一交易的加仓序号重复",IF(OR(D840="",E840="",F840=""),"计划不完整：请填写加仓价、新止损价和风险预算",IF(OR(D840&lt;=0,E840&lt;=0,F840&lt;=0,D840&lt;=E840),"违规：加仓价必须高于新止损价，金额须大于0",IF(AND(B840&gt;1,COUNTIFS($A$2:$A$1001,A840,$B$2:$B$1001,B840-1,$G$2:$G$1001,"&gt;0")=0),"违规：须先完成上一次加仓",IF(AND(B840&gt;1,E840&lt;SUMIFS($E$2:$E$1001,$A$2:$A$1001,A840,$B$2:$B$1001,B840-1)),"违规：新止损价不得低于上一次",IF(AND(B840&gt;1,F840&gt;SUMIFS($F$2:$F$1001,$A$2:$A$1001,A840,$B$2:$B$1001,B840-1)),"违规：风险预算须逐次不增加",IF(OR(_LockStatus="已锁仓",_LockStatus="解锁信息不完整"),"违规：锁仓期间禁止加仓",IF(G840="","计划可执行：建议股数见N列",IF(OR(G840&lt;=0,G840&lt;&gt;INT(G840),MOD(G840,100)&lt;&gt;0),"违规：实际股数须为100股整数倍",IF(G840&gt;N840,"违规：实际股数超过风险或金字塔上限",IF(AND(B840&gt;1,G840&gt;SUMIFS($G$2:$G$1001,$A$2:$A$1001,A840,$B$2:$B$1001,B840-1)),"违规：加仓股数须逐次不增加",IF(Q840&gt;F840,"违规：止损风险超过本次预算","通过")))))))))))))))</f>
        <v/>
      </c>
    </row>
    <row r="841" ht="17" spans="1:18">
      <c r="A841" s="13"/>
      <c r="B841" s="14"/>
      <c r="C841" s="15"/>
      <c r="D841" s="16"/>
      <c r="E841" s="16"/>
      <c r="F841" s="16"/>
      <c r="G841" s="14"/>
      <c r="H841" s="17" t="str">
        <f t="shared" si="104"/>
        <v/>
      </c>
      <c r="I841" s="18" t="str">
        <f>IF(OR(A841="",B841=""),"",IFERROR(LOOKUP(2,1/(单次交易!$A$2:$A$201=A841),单次交易!$H$2:$H$201),0)+SUMIFS($G$2:$G$1001,$A$2:$A$1001,A841,$B$2:$B$1001,"&lt;"&amp;B841))</f>
        <v/>
      </c>
      <c r="J841" s="17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17" t="str">
        <f t="shared" si="105"/>
        <v/>
      </c>
      <c r="L841" s="18" t="str">
        <f t="shared" si="106"/>
        <v/>
      </c>
      <c r="M841" s="18" t="str">
        <f t="shared" si="107"/>
        <v/>
      </c>
      <c r="N841" s="18" t="str">
        <f t="shared" si="108"/>
        <v/>
      </c>
      <c r="O841" s="18" t="str">
        <f t="shared" si="109"/>
        <v/>
      </c>
      <c r="P841" s="17" t="str">
        <f t="shared" si="110"/>
        <v/>
      </c>
      <c r="Q841" s="17" t="str">
        <f t="shared" si="111"/>
        <v/>
      </c>
      <c r="R841" s="19" t="str">
        <f ca="1">IF(A841="","",IF(COUNTIF(_TradeIds,A841)=0,"违规：交易编号不存在",IF(OR(B841="",B841&lt;1,B841&gt;5,B841&lt;&gt;INT(B841)),"违规：加仓序号须为1到5的整数",IF(COUNTIFS($A$2:$A$1001,A841,$B$2:$B$1001,B841)&gt;1,"违规：同一交易的加仓序号重复",IF(OR(D841="",E841="",F841=""),"计划不完整：请填写加仓价、新止损价和风险预算",IF(OR(D841&lt;=0,E841&lt;=0,F841&lt;=0,D841&lt;=E841),"违规：加仓价必须高于新止损价，金额须大于0",IF(AND(B841&gt;1,COUNTIFS($A$2:$A$1001,A841,$B$2:$B$1001,B841-1,$G$2:$G$1001,"&gt;0")=0),"违规：须先完成上一次加仓",IF(AND(B841&gt;1,E841&lt;SUMIFS($E$2:$E$1001,$A$2:$A$1001,A841,$B$2:$B$1001,B841-1)),"违规：新止损价不得低于上一次",IF(AND(B841&gt;1,F841&gt;SUMIFS($F$2:$F$1001,$A$2:$A$1001,A841,$B$2:$B$1001,B841-1)),"违规：风险预算须逐次不增加",IF(OR(_LockStatus="已锁仓",_LockStatus="解锁信息不完整"),"违规：锁仓期间禁止加仓",IF(G841="","计划可执行：建议股数见N列",IF(OR(G841&lt;=0,G841&lt;&gt;INT(G841),MOD(G841,100)&lt;&gt;0),"违规：实际股数须为100股整数倍",IF(G841&gt;N841,"违规：实际股数超过风险或金字塔上限",IF(AND(B841&gt;1,G841&gt;SUMIFS($G$2:$G$1001,$A$2:$A$1001,A841,$B$2:$B$1001,B841-1)),"违规：加仓股数须逐次不增加",IF(Q841&gt;F841,"违规：止损风险超过本次预算","通过")))))))))))))))</f>
        <v/>
      </c>
    </row>
    <row r="842" ht="17" spans="1:18">
      <c r="A842" s="13"/>
      <c r="B842" s="14"/>
      <c r="C842" s="15"/>
      <c r="D842" s="16"/>
      <c r="E842" s="16"/>
      <c r="F842" s="16"/>
      <c r="G842" s="14"/>
      <c r="H842" s="17" t="str">
        <f t="shared" si="104"/>
        <v/>
      </c>
      <c r="I842" s="18" t="str">
        <f>IF(OR(A842="",B842=""),"",IFERROR(LOOKUP(2,1/(单次交易!$A$2:$A$201=A842),单次交易!$H$2:$H$201),0)+SUMIFS($G$2:$G$1001,$A$2:$A$1001,A842,$B$2:$B$1001,"&lt;"&amp;B842))</f>
        <v/>
      </c>
      <c r="J842" s="17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17" t="str">
        <f t="shared" si="105"/>
        <v/>
      </c>
      <c r="L842" s="18" t="str">
        <f t="shared" si="106"/>
        <v/>
      </c>
      <c r="M842" s="18" t="str">
        <f t="shared" si="107"/>
        <v/>
      </c>
      <c r="N842" s="18" t="str">
        <f t="shared" si="108"/>
        <v/>
      </c>
      <c r="O842" s="18" t="str">
        <f t="shared" si="109"/>
        <v/>
      </c>
      <c r="P842" s="17" t="str">
        <f t="shared" si="110"/>
        <v/>
      </c>
      <c r="Q842" s="17" t="str">
        <f t="shared" si="111"/>
        <v/>
      </c>
      <c r="R842" s="19" t="str">
        <f ca="1">IF(A842="","",IF(COUNTIF(_TradeIds,A842)=0,"违规：交易编号不存在",IF(OR(B842="",B842&lt;1,B842&gt;5,B842&lt;&gt;INT(B842)),"违规：加仓序号须为1到5的整数",IF(COUNTIFS($A$2:$A$1001,A842,$B$2:$B$1001,B842)&gt;1,"违规：同一交易的加仓序号重复",IF(OR(D842="",E842="",F842=""),"计划不完整：请填写加仓价、新止损价和风险预算",IF(OR(D842&lt;=0,E842&lt;=0,F842&lt;=0,D842&lt;=E842),"违规：加仓价必须高于新止损价，金额须大于0",IF(AND(B842&gt;1,COUNTIFS($A$2:$A$1001,A842,$B$2:$B$1001,B842-1,$G$2:$G$1001,"&gt;0")=0),"违规：须先完成上一次加仓",IF(AND(B842&gt;1,E842&lt;SUMIFS($E$2:$E$1001,$A$2:$A$1001,A842,$B$2:$B$1001,B842-1)),"违规：新止损价不得低于上一次",IF(AND(B842&gt;1,F842&gt;SUMIFS($F$2:$F$1001,$A$2:$A$1001,A842,$B$2:$B$1001,B842-1)),"违规：风险预算须逐次不增加",IF(OR(_LockStatus="已锁仓",_LockStatus="解锁信息不完整"),"违规：锁仓期间禁止加仓",IF(G842="","计划可执行：建议股数见N列",IF(OR(G842&lt;=0,G842&lt;&gt;INT(G842),MOD(G842,100)&lt;&gt;0),"违规：实际股数须为100股整数倍",IF(G842&gt;N842,"违规：实际股数超过风险或金字塔上限",IF(AND(B842&gt;1,G842&gt;SUMIFS($G$2:$G$1001,$A$2:$A$1001,A842,$B$2:$B$1001,B842-1)),"违规：加仓股数须逐次不增加",IF(Q842&gt;F842,"违规：止损风险超过本次预算","通过")))))))))))))))</f>
        <v/>
      </c>
    </row>
    <row r="843" ht="17" spans="1:18">
      <c r="A843" s="13"/>
      <c r="B843" s="14"/>
      <c r="C843" s="15"/>
      <c r="D843" s="16"/>
      <c r="E843" s="16"/>
      <c r="F843" s="16"/>
      <c r="G843" s="14"/>
      <c r="H843" s="17" t="str">
        <f t="shared" si="104"/>
        <v/>
      </c>
      <c r="I843" s="18" t="str">
        <f>IF(OR(A843="",B843=""),"",IFERROR(LOOKUP(2,1/(单次交易!$A$2:$A$201=A843),单次交易!$H$2:$H$201),0)+SUMIFS($G$2:$G$1001,$A$2:$A$1001,A843,$B$2:$B$1001,"&lt;"&amp;B843))</f>
        <v/>
      </c>
      <c r="J843" s="17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17" t="str">
        <f t="shared" si="105"/>
        <v/>
      </c>
      <c r="L843" s="18" t="str">
        <f t="shared" si="106"/>
        <v/>
      </c>
      <c r="M843" s="18" t="str">
        <f t="shared" si="107"/>
        <v/>
      </c>
      <c r="N843" s="18" t="str">
        <f t="shared" si="108"/>
        <v/>
      </c>
      <c r="O843" s="18" t="str">
        <f t="shared" si="109"/>
        <v/>
      </c>
      <c r="P843" s="17" t="str">
        <f t="shared" si="110"/>
        <v/>
      </c>
      <c r="Q843" s="17" t="str">
        <f t="shared" si="111"/>
        <v/>
      </c>
      <c r="R843" s="19" t="str">
        <f ca="1">IF(A843="","",IF(COUNTIF(_TradeIds,A843)=0,"违规：交易编号不存在",IF(OR(B843="",B843&lt;1,B843&gt;5,B843&lt;&gt;INT(B843)),"违规：加仓序号须为1到5的整数",IF(COUNTIFS($A$2:$A$1001,A843,$B$2:$B$1001,B843)&gt;1,"违规：同一交易的加仓序号重复",IF(OR(D843="",E843="",F843=""),"计划不完整：请填写加仓价、新止损价和风险预算",IF(OR(D843&lt;=0,E843&lt;=0,F843&lt;=0,D843&lt;=E843),"违规：加仓价必须高于新止损价，金额须大于0",IF(AND(B843&gt;1,COUNTIFS($A$2:$A$1001,A843,$B$2:$B$1001,B843-1,$G$2:$G$1001,"&gt;0")=0),"违规：须先完成上一次加仓",IF(AND(B843&gt;1,E843&lt;SUMIFS($E$2:$E$1001,$A$2:$A$1001,A843,$B$2:$B$1001,B843-1)),"违规：新止损价不得低于上一次",IF(AND(B843&gt;1,F843&gt;SUMIFS($F$2:$F$1001,$A$2:$A$1001,A843,$B$2:$B$1001,B843-1)),"违规：风险预算须逐次不增加",IF(OR(_LockStatus="已锁仓",_LockStatus="解锁信息不完整"),"违规：锁仓期间禁止加仓",IF(G843="","计划可执行：建议股数见N列",IF(OR(G843&lt;=0,G843&lt;&gt;INT(G843),MOD(G843,100)&lt;&gt;0),"违规：实际股数须为100股整数倍",IF(G843&gt;N843,"违规：实际股数超过风险或金字塔上限",IF(AND(B843&gt;1,G843&gt;SUMIFS($G$2:$G$1001,$A$2:$A$1001,A843,$B$2:$B$1001,B843-1)),"违规：加仓股数须逐次不增加",IF(Q843&gt;F843,"违规：止损风险超过本次预算","通过")))))))))))))))</f>
        <v/>
      </c>
    </row>
    <row r="844" ht="17" spans="1:18">
      <c r="A844" s="13"/>
      <c r="B844" s="14"/>
      <c r="C844" s="15"/>
      <c r="D844" s="16"/>
      <c r="E844" s="16"/>
      <c r="F844" s="16"/>
      <c r="G844" s="14"/>
      <c r="H844" s="17" t="str">
        <f t="shared" si="104"/>
        <v/>
      </c>
      <c r="I844" s="18" t="str">
        <f>IF(OR(A844="",B844=""),"",IFERROR(LOOKUP(2,1/(单次交易!$A$2:$A$201=A844),单次交易!$H$2:$H$201),0)+SUMIFS($G$2:$G$1001,$A$2:$A$1001,A844,$B$2:$B$1001,"&lt;"&amp;B844))</f>
        <v/>
      </c>
      <c r="J844" s="17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17" t="str">
        <f t="shared" si="105"/>
        <v/>
      </c>
      <c r="L844" s="18" t="str">
        <f t="shared" si="106"/>
        <v/>
      </c>
      <c r="M844" s="18" t="str">
        <f t="shared" si="107"/>
        <v/>
      </c>
      <c r="N844" s="18" t="str">
        <f t="shared" si="108"/>
        <v/>
      </c>
      <c r="O844" s="18" t="str">
        <f t="shared" si="109"/>
        <v/>
      </c>
      <c r="P844" s="17" t="str">
        <f t="shared" si="110"/>
        <v/>
      </c>
      <c r="Q844" s="17" t="str">
        <f t="shared" si="111"/>
        <v/>
      </c>
      <c r="R844" s="19" t="str">
        <f ca="1">IF(A844="","",IF(COUNTIF(_TradeIds,A844)=0,"违规：交易编号不存在",IF(OR(B844="",B844&lt;1,B844&gt;5,B844&lt;&gt;INT(B844)),"违规：加仓序号须为1到5的整数",IF(COUNTIFS($A$2:$A$1001,A844,$B$2:$B$1001,B844)&gt;1,"违规：同一交易的加仓序号重复",IF(OR(D844="",E844="",F844=""),"计划不完整：请填写加仓价、新止损价和风险预算",IF(OR(D844&lt;=0,E844&lt;=0,F844&lt;=0,D844&lt;=E844),"违规：加仓价必须高于新止损价，金额须大于0",IF(AND(B844&gt;1,COUNTIFS($A$2:$A$1001,A844,$B$2:$B$1001,B844-1,$G$2:$G$1001,"&gt;0")=0),"违规：须先完成上一次加仓",IF(AND(B844&gt;1,E844&lt;SUMIFS($E$2:$E$1001,$A$2:$A$1001,A844,$B$2:$B$1001,B844-1)),"违规：新止损价不得低于上一次",IF(AND(B844&gt;1,F844&gt;SUMIFS($F$2:$F$1001,$A$2:$A$1001,A844,$B$2:$B$1001,B844-1)),"违规：风险预算须逐次不增加",IF(OR(_LockStatus="已锁仓",_LockStatus="解锁信息不完整"),"违规：锁仓期间禁止加仓",IF(G844="","计划可执行：建议股数见N列",IF(OR(G844&lt;=0,G844&lt;&gt;INT(G844),MOD(G844,100)&lt;&gt;0),"违规：实际股数须为100股整数倍",IF(G844&gt;N844,"违规：实际股数超过风险或金字塔上限",IF(AND(B844&gt;1,G844&gt;SUMIFS($G$2:$G$1001,$A$2:$A$1001,A844,$B$2:$B$1001,B844-1)),"违规：加仓股数须逐次不增加",IF(Q844&gt;F844,"违规：止损风险超过本次预算","通过")))))))))))))))</f>
        <v/>
      </c>
    </row>
    <row r="845" ht="17" spans="1:18">
      <c r="A845" s="13"/>
      <c r="B845" s="14"/>
      <c r="C845" s="15"/>
      <c r="D845" s="16"/>
      <c r="E845" s="16"/>
      <c r="F845" s="16"/>
      <c r="G845" s="14"/>
      <c r="H845" s="17" t="str">
        <f t="shared" si="104"/>
        <v/>
      </c>
      <c r="I845" s="18" t="str">
        <f>IF(OR(A845="",B845=""),"",IFERROR(LOOKUP(2,1/(单次交易!$A$2:$A$201=A845),单次交易!$H$2:$H$201),0)+SUMIFS($G$2:$G$1001,$A$2:$A$1001,A845,$B$2:$B$1001,"&lt;"&amp;B845))</f>
        <v/>
      </c>
      <c r="J845" s="17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17" t="str">
        <f t="shared" si="105"/>
        <v/>
      </c>
      <c r="L845" s="18" t="str">
        <f t="shared" si="106"/>
        <v/>
      </c>
      <c r="M845" s="18" t="str">
        <f t="shared" si="107"/>
        <v/>
      </c>
      <c r="N845" s="18" t="str">
        <f t="shared" si="108"/>
        <v/>
      </c>
      <c r="O845" s="18" t="str">
        <f t="shared" si="109"/>
        <v/>
      </c>
      <c r="P845" s="17" t="str">
        <f t="shared" si="110"/>
        <v/>
      </c>
      <c r="Q845" s="17" t="str">
        <f t="shared" si="111"/>
        <v/>
      </c>
      <c r="R845" s="19" t="str">
        <f ca="1">IF(A845="","",IF(COUNTIF(_TradeIds,A845)=0,"违规：交易编号不存在",IF(OR(B845="",B845&lt;1,B845&gt;5,B845&lt;&gt;INT(B845)),"违规：加仓序号须为1到5的整数",IF(COUNTIFS($A$2:$A$1001,A845,$B$2:$B$1001,B845)&gt;1,"违规：同一交易的加仓序号重复",IF(OR(D845="",E845="",F845=""),"计划不完整：请填写加仓价、新止损价和风险预算",IF(OR(D845&lt;=0,E845&lt;=0,F845&lt;=0,D845&lt;=E845),"违规：加仓价必须高于新止损价，金额须大于0",IF(AND(B845&gt;1,COUNTIFS($A$2:$A$1001,A845,$B$2:$B$1001,B845-1,$G$2:$G$1001,"&gt;0")=0),"违规：须先完成上一次加仓",IF(AND(B845&gt;1,E845&lt;SUMIFS($E$2:$E$1001,$A$2:$A$1001,A845,$B$2:$B$1001,B845-1)),"违规：新止损价不得低于上一次",IF(AND(B845&gt;1,F845&gt;SUMIFS($F$2:$F$1001,$A$2:$A$1001,A845,$B$2:$B$1001,B845-1)),"违规：风险预算须逐次不增加",IF(OR(_LockStatus="已锁仓",_LockStatus="解锁信息不完整"),"违规：锁仓期间禁止加仓",IF(G845="","计划可执行：建议股数见N列",IF(OR(G845&lt;=0,G845&lt;&gt;INT(G845),MOD(G845,100)&lt;&gt;0),"违规：实际股数须为100股整数倍",IF(G845&gt;N845,"违规：实际股数超过风险或金字塔上限",IF(AND(B845&gt;1,G845&gt;SUMIFS($G$2:$G$1001,$A$2:$A$1001,A845,$B$2:$B$1001,B845-1)),"违规：加仓股数须逐次不增加",IF(Q845&gt;F845,"违规：止损风险超过本次预算","通过")))))))))))))))</f>
        <v/>
      </c>
    </row>
    <row r="846" ht="17" spans="1:18">
      <c r="A846" s="13"/>
      <c r="B846" s="14"/>
      <c r="C846" s="15"/>
      <c r="D846" s="16"/>
      <c r="E846" s="16"/>
      <c r="F846" s="16"/>
      <c r="G846" s="14"/>
      <c r="H846" s="17" t="str">
        <f t="shared" si="104"/>
        <v/>
      </c>
      <c r="I846" s="18" t="str">
        <f>IF(OR(A846="",B846=""),"",IFERROR(LOOKUP(2,1/(单次交易!$A$2:$A$201=A846),单次交易!$H$2:$H$201),0)+SUMIFS($G$2:$G$1001,$A$2:$A$1001,A846,$B$2:$B$1001,"&lt;"&amp;B846))</f>
        <v/>
      </c>
      <c r="J846" s="17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17" t="str">
        <f t="shared" si="105"/>
        <v/>
      </c>
      <c r="L846" s="18" t="str">
        <f t="shared" si="106"/>
        <v/>
      </c>
      <c r="M846" s="18" t="str">
        <f t="shared" si="107"/>
        <v/>
      </c>
      <c r="N846" s="18" t="str">
        <f t="shared" si="108"/>
        <v/>
      </c>
      <c r="O846" s="18" t="str">
        <f t="shared" si="109"/>
        <v/>
      </c>
      <c r="P846" s="17" t="str">
        <f t="shared" si="110"/>
        <v/>
      </c>
      <c r="Q846" s="17" t="str">
        <f t="shared" si="111"/>
        <v/>
      </c>
      <c r="R846" s="19" t="str">
        <f ca="1">IF(A846="","",IF(COUNTIF(_TradeIds,A846)=0,"违规：交易编号不存在",IF(OR(B846="",B846&lt;1,B846&gt;5,B846&lt;&gt;INT(B846)),"违规：加仓序号须为1到5的整数",IF(COUNTIFS($A$2:$A$1001,A846,$B$2:$B$1001,B846)&gt;1,"违规：同一交易的加仓序号重复",IF(OR(D846="",E846="",F846=""),"计划不完整：请填写加仓价、新止损价和风险预算",IF(OR(D846&lt;=0,E846&lt;=0,F846&lt;=0,D846&lt;=E846),"违规：加仓价必须高于新止损价，金额须大于0",IF(AND(B846&gt;1,COUNTIFS($A$2:$A$1001,A846,$B$2:$B$1001,B846-1,$G$2:$G$1001,"&gt;0")=0),"违规：须先完成上一次加仓",IF(AND(B846&gt;1,E846&lt;SUMIFS($E$2:$E$1001,$A$2:$A$1001,A846,$B$2:$B$1001,B846-1)),"违规：新止损价不得低于上一次",IF(AND(B846&gt;1,F846&gt;SUMIFS($F$2:$F$1001,$A$2:$A$1001,A846,$B$2:$B$1001,B846-1)),"违规：风险预算须逐次不增加",IF(OR(_LockStatus="已锁仓",_LockStatus="解锁信息不完整"),"违规：锁仓期间禁止加仓",IF(G846="","计划可执行：建议股数见N列",IF(OR(G846&lt;=0,G846&lt;&gt;INT(G846),MOD(G846,100)&lt;&gt;0),"违规：实际股数须为100股整数倍",IF(G846&gt;N846,"违规：实际股数超过风险或金字塔上限",IF(AND(B846&gt;1,G846&gt;SUMIFS($G$2:$G$1001,$A$2:$A$1001,A846,$B$2:$B$1001,B846-1)),"违规：加仓股数须逐次不增加",IF(Q846&gt;F846,"违规：止损风险超过本次预算","通过")))))))))))))))</f>
        <v/>
      </c>
    </row>
    <row r="847" ht="17" spans="1:18">
      <c r="A847" s="13"/>
      <c r="B847" s="14"/>
      <c r="C847" s="15"/>
      <c r="D847" s="16"/>
      <c r="E847" s="16"/>
      <c r="F847" s="16"/>
      <c r="G847" s="14"/>
      <c r="H847" s="17" t="str">
        <f t="shared" si="104"/>
        <v/>
      </c>
      <c r="I847" s="18" t="str">
        <f>IF(OR(A847="",B847=""),"",IFERROR(LOOKUP(2,1/(单次交易!$A$2:$A$201=A847),单次交易!$H$2:$H$201),0)+SUMIFS($G$2:$G$1001,$A$2:$A$1001,A847,$B$2:$B$1001,"&lt;"&amp;B847))</f>
        <v/>
      </c>
      <c r="J847" s="17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17" t="str">
        <f t="shared" si="105"/>
        <v/>
      </c>
      <c r="L847" s="18" t="str">
        <f t="shared" si="106"/>
        <v/>
      </c>
      <c r="M847" s="18" t="str">
        <f t="shared" si="107"/>
        <v/>
      </c>
      <c r="N847" s="18" t="str">
        <f t="shared" si="108"/>
        <v/>
      </c>
      <c r="O847" s="18" t="str">
        <f t="shared" si="109"/>
        <v/>
      </c>
      <c r="P847" s="17" t="str">
        <f t="shared" si="110"/>
        <v/>
      </c>
      <c r="Q847" s="17" t="str">
        <f t="shared" si="111"/>
        <v/>
      </c>
      <c r="R847" s="19" t="str">
        <f ca="1">IF(A847="","",IF(COUNTIF(_TradeIds,A847)=0,"违规：交易编号不存在",IF(OR(B847="",B847&lt;1,B847&gt;5,B847&lt;&gt;INT(B847)),"违规：加仓序号须为1到5的整数",IF(COUNTIFS($A$2:$A$1001,A847,$B$2:$B$1001,B847)&gt;1,"违规：同一交易的加仓序号重复",IF(OR(D847="",E847="",F847=""),"计划不完整：请填写加仓价、新止损价和风险预算",IF(OR(D847&lt;=0,E847&lt;=0,F847&lt;=0,D847&lt;=E847),"违规：加仓价必须高于新止损价，金额须大于0",IF(AND(B847&gt;1,COUNTIFS($A$2:$A$1001,A847,$B$2:$B$1001,B847-1,$G$2:$G$1001,"&gt;0")=0),"违规：须先完成上一次加仓",IF(AND(B847&gt;1,E847&lt;SUMIFS($E$2:$E$1001,$A$2:$A$1001,A847,$B$2:$B$1001,B847-1)),"违规：新止损价不得低于上一次",IF(AND(B847&gt;1,F847&gt;SUMIFS($F$2:$F$1001,$A$2:$A$1001,A847,$B$2:$B$1001,B847-1)),"违规：风险预算须逐次不增加",IF(OR(_LockStatus="已锁仓",_LockStatus="解锁信息不完整"),"违规：锁仓期间禁止加仓",IF(G847="","计划可执行：建议股数见N列",IF(OR(G847&lt;=0,G847&lt;&gt;INT(G847),MOD(G847,100)&lt;&gt;0),"违规：实际股数须为100股整数倍",IF(G847&gt;N847,"违规：实际股数超过风险或金字塔上限",IF(AND(B847&gt;1,G847&gt;SUMIFS($G$2:$G$1001,$A$2:$A$1001,A847,$B$2:$B$1001,B847-1)),"违规：加仓股数须逐次不增加",IF(Q847&gt;F847,"违规：止损风险超过本次预算","通过")))))))))))))))</f>
        <v/>
      </c>
    </row>
    <row r="848" ht="17" spans="1:18">
      <c r="A848" s="13"/>
      <c r="B848" s="14"/>
      <c r="C848" s="15"/>
      <c r="D848" s="16"/>
      <c r="E848" s="16"/>
      <c r="F848" s="16"/>
      <c r="G848" s="14"/>
      <c r="H848" s="17" t="str">
        <f t="shared" si="104"/>
        <v/>
      </c>
      <c r="I848" s="18" t="str">
        <f>IF(OR(A848="",B848=""),"",IFERROR(LOOKUP(2,1/(单次交易!$A$2:$A$201=A848),单次交易!$H$2:$H$201),0)+SUMIFS($G$2:$G$1001,$A$2:$A$1001,A848,$B$2:$B$1001,"&lt;"&amp;B848))</f>
        <v/>
      </c>
      <c r="J848" s="17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17" t="str">
        <f t="shared" si="105"/>
        <v/>
      </c>
      <c r="L848" s="18" t="str">
        <f t="shared" si="106"/>
        <v/>
      </c>
      <c r="M848" s="18" t="str">
        <f t="shared" si="107"/>
        <v/>
      </c>
      <c r="N848" s="18" t="str">
        <f t="shared" si="108"/>
        <v/>
      </c>
      <c r="O848" s="18" t="str">
        <f t="shared" si="109"/>
        <v/>
      </c>
      <c r="P848" s="17" t="str">
        <f t="shared" si="110"/>
        <v/>
      </c>
      <c r="Q848" s="17" t="str">
        <f t="shared" si="111"/>
        <v/>
      </c>
      <c r="R848" s="19" t="str">
        <f ca="1">IF(A848="","",IF(COUNTIF(_TradeIds,A848)=0,"违规：交易编号不存在",IF(OR(B848="",B848&lt;1,B848&gt;5,B848&lt;&gt;INT(B848)),"违规：加仓序号须为1到5的整数",IF(COUNTIFS($A$2:$A$1001,A848,$B$2:$B$1001,B848)&gt;1,"违规：同一交易的加仓序号重复",IF(OR(D848="",E848="",F848=""),"计划不完整：请填写加仓价、新止损价和风险预算",IF(OR(D848&lt;=0,E848&lt;=0,F848&lt;=0,D848&lt;=E848),"违规：加仓价必须高于新止损价，金额须大于0",IF(AND(B848&gt;1,COUNTIFS($A$2:$A$1001,A848,$B$2:$B$1001,B848-1,$G$2:$G$1001,"&gt;0")=0),"违规：须先完成上一次加仓",IF(AND(B848&gt;1,E848&lt;SUMIFS($E$2:$E$1001,$A$2:$A$1001,A848,$B$2:$B$1001,B848-1)),"违规：新止损价不得低于上一次",IF(AND(B848&gt;1,F848&gt;SUMIFS($F$2:$F$1001,$A$2:$A$1001,A848,$B$2:$B$1001,B848-1)),"违规：风险预算须逐次不增加",IF(OR(_LockStatus="已锁仓",_LockStatus="解锁信息不完整"),"违规：锁仓期间禁止加仓",IF(G848="","计划可执行：建议股数见N列",IF(OR(G848&lt;=0,G848&lt;&gt;INT(G848),MOD(G848,100)&lt;&gt;0),"违规：实际股数须为100股整数倍",IF(G848&gt;N848,"违规：实际股数超过风险或金字塔上限",IF(AND(B848&gt;1,G848&gt;SUMIFS($G$2:$G$1001,$A$2:$A$1001,A848,$B$2:$B$1001,B848-1)),"违规：加仓股数须逐次不增加",IF(Q848&gt;F848,"违规：止损风险超过本次预算","通过")))))))))))))))</f>
        <v/>
      </c>
    </row>
    <row r="849" ht="17" spans="1:18">
      <c r="A849" s="13"/>
      <c r="B849" s="14"/>
      <c r="C849" s="15"/>
      <c r="D849" s="16"/>
      <c r="E849" s="16"/>
      <c r="F849" s="16"/>
      <c r="G849" s="14"/>
      <c r="H849" s="17" t="str">
        <f t="shared" si="104"/>
        <v/>
      </c>
      <c r="I849" s="18" t="str">
        <f>IF(OR(A849="",B849=""),"",IFERROR(LOOKUP(2,1/(单次交易!$A$2:$A$201=A849),单次交易!$H$2:$H$201),0)+SUMIFS($G$2:$G$1001,$A$2:$A$1001,A849,$B$2:$B$1001,"&lt;"&amp;B849))</f>
        <v/>
      </c>
      <c r="J849" s="17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17" t="str">
        <f t="shared" si="105"/>
        <v/>
      </c>
      <c r="L849" s="18" t="str">
        <f t="shared" si="106"/>
        <v/>
      </c>
      <c r="M849" s="18" t="str">
        <f t="shared" si="107"/>
        <v/>
      </c>
      <c r="N849" s="18" t="str">
        <f t="shared" si="108"/>
        <v/>
      </c>
      <c r="O849" s="18" t="str">
        <f t="shared" si="109"/>
        <v/>
      </c>
      <c r="P849" s="17" t="str">
        <f t="shared" si="110"/>
        <v/>
      </c>
      <c r="Q849" s="17" t="str">
        <f t="shared" si="111"/>
        <v/>
      </c>
      <c r="R849" s="19" t="str">
        <f ca="1">IF(A849="","",IF(COUNTIF(_TradeIds,A849)=0,"违规：交易编号不存在",IF(OR(B849="",B849&lt;1,B849&gt;5,B849&lt;&gt;INT(B849)),"违规：加仓序号须为1到5的整数",IF(COUNTIFS($A$2:$A$1001,A849,$B$2:$B$1001,B849)&gt;1,"违规：同一交易的加仓序号重复",IF(OR(D849="",E849="",F849=""),"计划不完整：请填写加仓价、新止损价和风险预算",IF(OR(D849&lt;=0,E849&lt;=0,F849&lt;=0,D849&lt;=E849),"违规：加仓价必须高于新止损价，金额须大于0",IF(AND(B849&gt;1,COUNTIFS($A$2:$A$1001,A849,$B$2:$B$1001,B849-1,$G$2:$G$1001,"&gt;0")=0),"违规：须先完成上一次加仓",IF(AND(B849&gt;1,E849&lt;SUMIFS($E$2:$E$1001,$A$2:$A$1001,A849,$B$2:$B$1001,B849-1)),"违规：新止损价不得低于上一次",IF(AND(B849&gt;1,F849&gt;SUMIFS($F$2:$F$1001,$A$2:$A$1001,A849,$B$2:$B$1001,B849-1)),"违规：风险预算须逐次不增加",IF(OR(_LockStatus="已锁仓",_LockStatus="解锁信息不完整"),"违规：锁仓期间禁止加仓",IF(G849="","计划可执行：建议股数见N列",IF(OR(G849&lt;=0,G849&lt;&gt;INT(G849),MOD(G849,100)&lt;&gt;0),"违规：实际股数须为100股整数倍",IF(G849&gt;N849,"违规：实际股数超过风险或金字塔上限",IF(AND(B849&gt;1,G849&gt;SUMIFS($G$2:$G$1001,$A$2:$A$1001,A849,$B$2:$B$1001,B849-1)),"违规：加仓股数须逐次不增加",IF(Q849&gt;F849,"违规：止损风险超过本次预算","通过")))))))))))))))</f>
        <v/>
      </c>
    </row>
    <row r="850" ht="17" spans="1:18">
      <c r="A850" s="13"/>
      <c r="B850" s="14"/>
      <c r="C850" s="15"/>
      <c r="D850" s="16"/>
      <c r="E850" s="16"/>
      <c r="F850" s="16"/>
      <c r="G850" s="14"/>
      <c r="H850" s="17" t="str">
        <f t="shared" si="104"/>
        <v/>
      </c>
      <c r="I850" s="18" t="str">
        <f>IF(OR(A850="",B850=""),"",IFERROR(LOOKUP(2,1/(单次交易!$A$2:$A$201=A850),单次交易!$H$2:$H$201),0)+SUMIFS($G$2:$G$1001,$A$2:$A$1001,A850,$B$2:$B$1001,"&lt;"&amp;B850))</f>
        <v/>
      </c>
      <c r="J850" s="17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17" t="str">
        <f t="shared" si="105"/>
        <v/>
      </c>
      <c r="L850" s="18" t="str">
        <f t="shared" si="106"/>
        <v/>
      </c>
      <c r="M850" s="18" t="str">
        <f t="shared" si="107"/>
        <v/>
      </c>
      <c r="N850" s="18" t="str">
        <f t="shared" si="108"/>
        <v/>
      </c>
      <c r="O850" s="18" t="str">
        <f t="shared" si="109"/>
        <v/>
      </c>
      <c r="P850" s="17" t="str">
        <f t="shared" si="110"/>
        <v/>
      </c>
      <c r="Q850" s="17" t="str">
        <f t="shared" si="111"/>
        <v/>
      </c>
      <c r="R850" s="19" t="str">
        <f ca="1">IF(A850="","",IF(COUNTIF(_TradeIds,A850)=0,"违规：交易编号不存在",IF(OR(B850="",B850&lt;1,B850&gt;5,B850&lt;&gt;INT(B850)),"违规：加仓序号须为1到5的整数",IF(COUNTIFS($A$2:$A$1001,A850,$B$2:$B$1001,B850)&gt;1,"违规：同一交易的加仓序号重复",IF(OR(D850="",E850="",F850=""),"计划不完整：请填写加仓价、新止损价和风险预算",IF(OR(D850&lt;=0,E850&lt;=0,F850&lt;=0,D850&lt;=E850),"违规：加仓价必须高于新止损价，金额须大于0",IF(AND(B850&gt;1,COUNTIFS($A$2:$A$1001,A850,$B$2:$B$1001,B850-1,$G$2:$G$1001,"&gt;0")=0),"违规：须先完成上一次加仓",IF(AND(B850&gt;1,E850&lt;SUMIFS($E$2:$E$1001,$A$2:$A$1001,A850,$B$2:$B$1001,B850-1)),"违规：新止损价不得低于上一次",IF(AND(B850&gt;1,F850&gt;SUMIFS($F$2:$F$1001,$A$2:$A$1001,A850,$B$2:$B$1001,B850-1)),"违规：风险预算须逐次不增加",IF(OR(_LockStatus="已锁仓",_LockStatus="解锁信息不完整"),"违规：锁仓期间禁止加仓",IF(G850="","计划可执行：建议股数见N列",IF(OR(G850&lt;=0,G850&lt;&gt;INT(G850),MOD(G850,100)&lt;&gt;0),"违规：实际股数须为100股整数倍",IF(G850&gt;N850,"违规：实际股数超过风险或金字塔上限",IF(AND(B850&gt;1,G850&gt;SUMIFS($G$2:$G$1001,$A$2:$A$1001,A850,$B$2:$B$1001,B850-1)),"违规：加仓股数须逐次不增加",IF(Q850&gt;F850,"违规：止损风险超过本次预算","通过")))))))))))))))</f>
        <v/>
      </c>
    </row>
    <row r="851" ht="17" spans="1:18">
      <c r="A851" s="13"/>
      <c r="B851" s="14"/>
      <c r="C851" s="15"/>
      <c r="D851" s="16"/>
      <c r="E851" s="16"/>
      <c r="F851" s="16"/>
      <c r="G851" s="14"/>
      <c r="H851" s="17" t="str">
        <f t="shared" si="104"/>
        <v/>
      </c>
      <c r="I851" s="18" t="str">
        <f>IF(OR(A851="",B851=""),"",IFERROR(LOOKUP(2,1/(单次交易!$A$2:$A$201=A851),单次交易!$H$2:$H$201),0)+SUMIFS($G$2:$G$1001,$A$2:$A$1001,A851,$B$2:$B$1001,"&lt;"&amp;B851))</f>
        <v/>
      </c>
      <c r="J851" s="17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17" t="str">
        <f t="shared" si="105"/>
        <v/>
      </c>
      <c r="L851" s="18" t="str">
        <f t="shared" si="106"/>
        <v/>
      </c>
      <c r="M851" s="18" t="str">
        <f t="shared" si="107"/>
        <v/>
      </c>
      <c r="N851" s="18" t="str">
        <f t="shared" si="108"/>
        <v/>
      </c>
      <c r="O851" s="18" t="str">
        <f t="shared" si="109"/>
        <v/>
      </c>
      <c r="P851" s="17" t="str">
        <f t="shared" si="110"/>
        <v/>
      </c>
      <c r="Q851" s="17" t="str">
        <f t="shared" si="111"/>
        <v/>
      </c>
      <c r="R851" s="19" t="str">
        <f ca="1">IF(A851="","",IF(COUNTIF(_TradeIds,A851)=0,"违规：交易编号不存在",IF(OR(B851="",B851&lt;1,B851&gt;5,B851&lt;&gt;INT(B851)),"违规：加仓序号须为1到5的整数",IF(COUNTIFS($A$2:$A$1001,A851,$B$2:$B$1001,B851)&gt;1,"违规：同一交易的加仓序号重复",IF(OR(D851="",E851="",F851=""),"计划不完整：请填写加仓价、新止损价和风险预算",IF(OR(D851&lt;=0,E851&lt;=0,F851&lt;=0,D851&lt;=E851),"违规：加仓价必须高于新止损价，金额须大于0",IF(AND(B851&gt;1,COUNTIFS($A$2:$A$1001,A851,$B$2:$B$1001,B851-1,$G$2:$G$1001,"&gt;0")=0),"违规：须先完成上一次加仓",IF(AND(B851&gt;1,E851&lt;SUMIFS($E$2:$E$1001,$A$2:$A$1001,A851,$B$2:$B$1001,B851-1)),"违规：新止损价不得低于上一次",IF(AND(B851&gt;1,F851&gt;SUMIFS($F$2:$F$1001,$A$2:$A$1001,A851,$B$2:$B$1001,B851-1)),"违规：风险预算须逐次不增加",IF(OR(_LockStatus="已锁仓",_LockStatus="解锁信息不完整"),"违规：锁仓期间禁止加仓",IF(G851="","计划可执行：建议股数见N列",IF(OR(G851&lt;=0,G851&lt;&gt;INT(G851),MOD(G851,100)&lt;&gt;0),"违规：实际股数须为100股整数倍",IF(G851&gt;N851,"违规：实际股数超过风险或金字塔上限",IF(AND(B851&gt;1,G851&gt;SUMIFS($G$2:$G$1001,$A$2:$A$1001,A851,$B$2:$B$1001,B851-1)),"违规：加仓股数须逐次不增加",IF(Q851&gt;F851,"违规：止损风险超过本次预算","通过")))))))))))))))</f>
        <v/>
      </c>
    </row>
    <row r="852" ht="17" spans="1:18">
      <c r="A852" s="13"/>
      <c r="B852" s="14"/>
      <c r="C852" s="15"/>
      <c r="D852" s="16"/>
      <c r="E852" s="16"/>
      <c r="F852" s="16"/>
      <c r="G852" s="14"/>
      <c r="H852" s="17" t="str">
        <f t="shared" si="104"/>
        <v/>
      </c>
      <c r="I852" s="18" t="str">
        <f>IF(OR(A852="",B852=""),"",IFERROR(LOOKUP(2,1/(单次交易!$A$2:$A$201=A852),单次交易!$H$2:$H$201),0)+SUMIFS($G$2:$G$1001,$A$2:$A$1001,A852,$B$2:$B$1001,"&lt;"&amp;B852))</f>
        <v/>
      </c>
      <c r="J852" s="17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17" t="str">
        <f t="shared" si="105"/>
        <v/>
      </c>
      <c r="L852" s="18" t="str">
        <f t="shared" si="106"/>
        <v/>
      </c>
      <c r="M852" s="18" t="str">
        <f t="shared" si="107"/>
        <v/>
      </c>
      <c r="N852" s="18" t="str">
        <f t="shared" si="108"/>
        <v/>
      </c>
      <c r="O852" s="18" t="str">
        <f t="shared" si="109"/>
        <v/>
      </c>
      <c r="P852" s="17" t="str">
        <f t="shared" si="110"/>
        <v/>
      </c>
      <c r="Q852" s="17" t="str">
        <f t="shared" si="111"/>
        <v/>
      </c>
      <c r="R852" s="19" t="str">
        <f ca="1">IF(A852="","",IF(COUNTIF(_TradeIds,A852)=0,"违规：交易编号不存在",IF(OR(B852="",B852&lt;1,B852&gt;5,B852&lt;&gt;INT(B852)),"违规：加仓序号须为1到5的整数",IF(COUNTIFS($A$2:$A$1001,A852,$B$2:$B$1001,B852)&gt;1,"违规：同一交易的加仓序号重复",IF(OR(D852="",E852="",F852=""),"计划不完整：请填写加仓价、新止损价和风险预算",IF(OR(D852&lt;=0,E852&lt;=0,F852&lt;=0,D852&lt;=E852),"违规：加仓价必须高于新止损价，金额须大于0",IF(AND(B852&gt;1,COUNTIFS($A$2:$A$1001,A852,$B$2:$B$1001,B852-1,$G$2:$G$1001,"&gt;0")=0),"违规：须先完成上一次加仓",IF(AND(B852&gt;1,E852&lt;SUMIFS($E$2:$E$1001,$A$2:$A$1001,A852,$B$2:$B$1001,B852-1)),"违规：新止损价不得低于上一次",IF(AND(B852&gt;1,F852&gt;SUMIFS($F$2:$F$1001,$A$2:$A$1001,A852,$B$2:$B$1001,B852-1)),"违规：风险预算须逐次不增加",IF(OR(_LockStatus="已锁仓",_LockStatus="解锁信息不完整"),"违规：锁仓期间禁止加仓",IF(G852="","计划可执行：建议股数见N列",IF(OR(G852&lt;=0,G852&lt;&gt;INT(G852),MOD(G852,100)&lt;&gt;0),"违规：实际股数须为100股整数倍",IF(G852&gt;N852,"违规：实际股数超过风险或金字塔上限",IF(AND(B852&gt;1,G852&gt;SUMIFS($G$2:$G$1001,$A$2:$A$1001,A852,$B$2:$B$1001,B852-1)),"违规：加仓股数须逐次不增加",IF(Q852&gt;F852,"违规：止损风险超过本次预算","通过")))))))))))))))</f>
        <v/>
      </c>
    </row>
    <row r="853" ht="17" spans="1:18">
      <c r="A853" s="13"/>
      <c r="B853" s="14"/>
      <c r="C853" s="15"/>
      <c r="D853" s="16"/>
      <c r="E853" s="16"/>
      <c r="F853" s="16"/>
      <c r="G853" s="14"/>
      <c r="H853" s="17" t="str">
        <f t="shared" si="104"/>
        <v/>
      </c>
      <c r="I853" s="18" t="str">
        <f>IF(OR(A853="",B853=""),"",IFERROR(LOOKUP(2,1/(单次交易!$A$2:$A$201=A853),单次交易!$H$2:$H$201),0)+SUMIFS($G$2:$G$1001,$A$2:$A$1001,A853,$B$2:$B$1001,"&lt;"&amp;B853))</f>
        <v/>
      </c>
      <c r="J853" s="17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17" t="str">
        <f t="shared" si="105"/>
        <v/>
      </c>
      <c r="L853" s="18" t="str">
        <f t="shared" si="106"/>
        <v/>
      </c>
      <c r="M853" s="18" t="str">
        <f t="shared" si="107"/>
        <v/>
      </c>
      <c r="N853" s="18" t="str">
        <f t="shared" si="108"/>
        <v/>
      </c>
      <c r="O853" s="18" t="str">
        <f t="shared" si="109"/>
        <v/>
      </c>
      <c r="P853" s="17" t="str">
        <f t="shared" si="110"/>
        <v/>
      </c>
      <c r="Q853" s="17" t="str">
        <f t="shared" si="111"/>
        <v/>
      </c>
      <c r="R853" s="19" t="str">
        <f ca="1">IF(A853="","",IF(COUNTIF(_TradeIds,A853)=0,"违规：交易编号不存在",IF(OR(B853="",B853&lt;1,B853&gt;5,B853&lt;&gt;INT(B853)),"违规：加仓序号须为1到5的整数",IF(COUNTIFS($A$2:$A$1001,A853,$B$2:$B$1001,B853)&gt;1,"违规：同一交易的加仓序号重复",IF(OR(D853="",E853="",F853=""),"计划不完整：请填写加仓价、新止损价和风险预算",IF(OR(D853&lt;=0,E853&lt;=0,F853&lt;=0,D853&lt;=E853),"违规：加仓价必须高于新止损价，金额须大于0",IF(AND(B853&gt;1,COUNTIFS($A$2:$A$1001,A853,$B$2:$B$1001,B853-1,$G$2:$G$1001,"&gt;0")=0),"违规：须先完成上一次加仓",IF(AND(B853&gt;1,E853&lt;SUMIFS($E$2:$E$1001,$A$2:$A$1001,A853,$B$2:$B$1001,B853-1)),"违规：新止损价不得低于上一次",IF(AND(B853&gt;1,F853&gt;SUMIFS($F$2:$F$1001,$A$2:$A$1001,A853,$B$2:$B$1001,B853-1)),"违规：风险预算须逐次不增加",IF(OR(_LockStatus="已锁仓",_LockStatus="解锁信息不完整"),"违规：锁仓期间禁止加仓",IF(G853="","计划可执行：建议股数见N列",IF(OR(G853&lt;=0,G853&lt;&gt;INT(G853),MOD(G853,100)&lt;&gt;0),"违规：实际股数须为100股整数倍",IF(G853&gt;N853,"违规：实际股数超过风险或金字塔上限",IF(AND(B853&gt;1,G853&gt;SUMIFS($G$2:$G$1001,$A$2:$A$1001,A853,$B$2:$B$1001,B853-1)),"违规：加仓股数须逐次不增加",IF(Q853&gt;F853,"违规：止损风险超过本次预算","通过")))))))))))))))</f>
        <v/>
      </c>
    </row>
    <row r="854" ht="17" spans="1:18">
      <c r="A854" s="13"/>
      <c r="B854" s="14"/>
      <c r="C854" s="15"/>
      <c r="D854" s="16"/>
      <c r="E854" s="16"/>
      <c r="F854" s="16"/>
      <c r="G854" s="14"/>
      <c r="H854" s="17" t="str">
        <f t="shared" si="104"/>
        <v/>
      </c>
      <c r="I854" s="18" t="str">
        <f>IF(OR(A854="",B854=""),"",IFERROR(LOOKUP(2,1/(单次交易!$A$2:$A$201=A854),单次交易!$H$2:$H$201),0)+SUMIFS($G$2:$G$1001,$A$2:$A$1001,A854,$B$2:$B$1001,"&lt;"&amp;B854))</f>
        <v/>
      </c>
      <c r="J854" s="17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17" t="str">
        <f t="shared" si="105"/>
        <v/>
      </c>
      <c r="L854" s="18" t="str">
        <f t="shared" si="106"/>
        <v/>
      </c>
      <c r="M854" s="18" t="str">
        <f t="shared" si="107"/>
        <v/>
      </c>
      <c r="N854" s="18" t="str">
        <f t="shared" si="108"/>
        <v/>
      </c>
      <c r="O854" s="18" t="str">
        <f t="shared" si="109"/>
        <v/>
      </c>
      <c r="P854" s="17" t="str">
        <f t="shared" si="110"/>
        <v/>
      </c>
      <c r="Q854" s="17" t="str">
        <f t="shared" si="111"/>
        <v/>
      </c>
      <c r="R854" s="19" t="str">
        <f ca="1">IF(A854="","",IF(COUNTIF(_TradeIds,A854)=0,"违规：交易编号不存在",IF(OR(B854="",B854&lt;1,B854&gt;5,B854&lt;&gt;INT(B854)),"违规：加仓序号须为1到5的整数",IF(COUNTIFS($A$2:$A$1001,A854,$B$2:$B$1001,B854)&gt;1,"违规：同一交易的加仓序号重复",IF(OR(D854="",E854="",F854=""),"计划不完整：请填写加仓价、新止损价和风险预算",IF(OR(D854&lt;=0,E854&lt;=0,F854&lt;=0,D854&lt;=E854),"违规：加仓价必须高于新止损价，金额须大于0",IF(AND(B854&gt;1,COUNTIFS($A$2:$A$1001,A854,$B$2:$B$1001,B854-1,$G$2:$G$1001,"&gt;0")=0),"违规：须先完成上一次加仓",IF(AND(B854&gt;1,E854&lt;SUMIFS($E$2:$E$1001,$A$2:$A$1001,A854,$B$2:$B$1001,B854-1)),"违规：新止损价不得低于上一次",IF(AND(B854&gt;1,F854&gt;SUMIFS($F$2:$F$1001,$A$2:$A$1001,A854,$B$2:$B$1001,B854-1)),"违规：风险预算须逐次不增加",IF(OR(_LockStatus="已锁仓",_LockStatus="解锁信息不完整"),"违规：锁仓期间禁止加仓",IF(G854="","计划可执行：建议股数见N列",IF(OR(G854&lt;=0,G854&lt;&gt;INT(G854),MOD(G854,100)&lt;&gt;0),"违规：实际股数须为100股整数倍",IF(G854&gt;N854,"违规：实际股数超过风险或金字塔上限",IF(AND(B854&gt;1,G854&gt;SUMIFS($G$2:$G$1001,$A$2:$A$1001,A854,$B$2:$B$1001,B854-1)),"违规：加仓股数须逐次不增加",IF(Q854&gt;F854,"违规：止损风险超过本次预算","通过")))))))))))))))</f>
        <v/>
      </c>
    </row>
    <row r="855" ht="17" spans="1:18">
      <c r="A855" s="13"/>
      <c r="B855" s="14"/>
      <c r="C855" s="15"/>
      <c r="D855" s="16"/>
      <c r="E855" s="16"/>
      <c r="F855" s="16"/>
      <c r="G855" s="14"/>
      <c r="H855" s="17" t="str">
        <f t="shared" si="104"/>
        <v/>
      </c>
      <c r="I855" s="18" t="str">
        <f>IF(OR(A855="",B855=""),"",IFERROR(LOOKUP(2,1/(单次交易!$A$2:$A$201=A855),单次交易!$H$2:$H$201),0)+SUMIFS($G$2:$G$1001,$A$2:$A$1001,A855,$B$2:$B$1001,"&lt;"&amp;B855))</f>
        <v/>
      </c>
      <c r="J855" s="17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17" t="str">
        <f t="shared" si="105"/>
        <v/>
      </c>
      <c r="L855" s="18" t="str">
        <f t="shared" si="106"/>
        <v/>
      </c>
      <c r="M855" s="18" t="str">
        <f t="shared" si="107"/>
        <v/>
      </c>
      <c r="N855" s="18" t="str">
        <f t="shared" si="108"/>
        <v/>
      </c>
      <c r="O855" s="18" t="str">
        <f t="shared" si="109"/>
        <v/>
      </c>
      <c r="P855" s="17" t="str">
        <f t="shared" si="110"/>
        <v/>
      </c>
      <c r="Q855" s="17" t="str">
        <f t="shared" si="111"/>
        <v/>
      </c>
      <c r="R855" s="19" t="str">
        <f ca="1">IF(A855="","",IF(COUNTIF(_TradeIds,A855)=0,"违规：交易编号不存在",IF(OR(B855="",B855&lt;1,B855&gt;5,B855&lt;&gt;INT(B855)),"违规：加仓序号须为1到5的整数",IF(COUNTIFS($A$2:$A$1001,A855,$B$2:$B$1001,B855)&gt;1,"违规：同一交易的加仓序号重复",IF(OR(D855="",E855="",F855=""),"计划不完整：请填写加仓价、新止损价和风险预算",IF(OR(D855&lt;=0,E855&lt;=0,F855&lt;=0,D855&lt;=E855),"违规：加仓价必须高于新止损价，金额须大于0",IF(AND(B855&gt;1,COUNTIFS($A$2:$A$1001,A855,$B$2:$B$1001,B855-1,$G$2:$G$1001,"&gt;0")=0),"违规：须先完成上一次加仓",IF(AND(B855&gt;1,E855&lt;SUMIFS($E$2:$E$1001,$A$2:$A$1001,A855,$B$2:$B$1001,B855-1)),"违规：新止损价不得低于上一次",IF(AND(B855&gt;1,F855&gt;SUMIFS($F$2:$F$1001,$A$2:$A$1001,A855,$B$2:$B$1001,B855-1)),"违规：风险预算须逐次不增加",IF(OR(_LockStatus="已锁仓",_LockStatus="解锁信息不完整"),"违规：锁仓期间禁止加仓",IF(G855="","计划可执行：建议股数见N列",IF(OR(G855&lt;=0,G855&lt;&gt;INT(G855),MOD(G855,100)&lt;&gt;0),"违规：实际股数须为100股整数倍",IF(G855&gt;N855,"违规：实际股数超过风险或金字塔上限",IF(AND(B855&gt;1,G855&gt;SUMIFS($G$2:$G$1001,$A$2:$A$1001,A855,$B$2:$B$1001,B855-1)),"违规：加仓股数须逐次不增加",IF(Q855&gt;F855,"违规：止损风险超过本次预算","通过")))))))))))))))</f>
        <v/>
      </c>
    </row>
    <row r="856" ht="17" spans="1:18">
      <c r="A856" s="13"/>
      <c r="B856" s="14"/>
      <c r="C856" s="15"/>
      <c r="D856" s="16"/>
      <c r="E856" s="16"/>
      <c r="F856" s="16"/>
      <c r="G856" s="14"/>
      <c r="H856" s="17" t="str">
        <f t="shared" si="104"/>
        <v/>
      </c>
      <c r="I856" s="18" t="str">
        <f>IF(OR(A856="",B856=""),"",IFERROR(LOOKUP(2,1/(单次交易!$A$2:$A$201=A856),单次交易!$H$2:$H$201),0)+SUMIFS($G$2:$G$1001,$A$2:$A$1001,A856,$B$2:$B$1001,"&lt;"&amp;B856))</f>
        <v/>
      </c>
      <c r="J856" s="17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17" t="str">
        <f t="shared" si="105"/>
        <v/>
      </c>
      <c r="L856" s="18" t="str">
        <f t="shared" si="106"/>
        <v/>
      </c>
      <c r="M856" s="18" t="str">
        <f t="shared" si="107"/>
        <v/>
      </c>
      <c r="N856" s="18" t="str">
        <f t="shared" si="108"/>
        <v/>
      </c>
      <c r="O856" s="18" t="str">
        <f t="shared" si="109"/>
        <v/>
      </c>
      <c r="P856" s="17" t="str">
        <f t="shared" si="110"/>
        <v/>
      </c>
      <c r="Q856" s="17" t="str">
        <f t="shared" si="111"/>
        <v/>
      </c>
      <c r="R856" s="19" t="str">
        <f ca="1">IF(A856="","",IF(COUNTIF(_TradeIds,A856)=0,"违规：交易编号不存在",IF(OR(B856="",B856&lt;1,B856&gt;5,B856&lt;&gt;INT(B856)),"违规：加仓序号须为1到5的整数",IF(COUNTIFS($A$2:$A$1001,A856,$B$2:$B$1001,B856)&gt;1,"违规：同一交易的加仓序号重复",IF(OR(D856="",E856="",F856=""),"计划不完整：请填写加仓价、新止损价和风险预算",IF(OR(D856&lt;=0,E856&lt;=0,F856&lt;=0,D856&lt;=E856),"违规：加仓价必须高于新止损价，金额须大于0",IF(AND(B856&gt;1,COUNTIFS($A$2:$A$1001,A856,$B$2:$B$1001,B856-1,$G$2:$G$1001,"&gt;0")=0),"违规：须先完成上一次加仓",IF(AND(B856&gt;1,E856&lt;SUMIFS($E$2:$E$1001,$A$2:$A$1001,A856,$B$2:$B$1001,B856-1)),"违规：新止损价不得低于上一次",IF(AND(B856&gt;1,F856&gt;SUMIFS($F$2:$F$1001,$A$2:$A$1001,A856,$B$2:$B$1001,B856-1)),"违规：风险预算须逐次不增加",IF(OR(_LockStatus="已锁仓",_LockStatus="解锁信息不完整"),"违规：锁仓期间禁止加仓",IF(G856="","计划可执行：建议股数见N列",IF(OR(G856&lt;=0,G856&lt;&gt;INT(G856),MOD(G856,100)&lt;&gt;0),"违规：实际股数须为100股整数倍",IF(G856&gt;N856,"违规：实际股数超过风险或金字塔上限",IF(AND(B856&gt;1,G856&gt;SUMIFS($G$2:$G$1001,$A$2:$A$1001,A856,$B$2:$B$1001,B856-1)),"违规：加仓股数须逐次不增加",IF(Q856&gt;F856,"违规：止损风险超过本次预算","通过")))))))))))))))</f>
        <v/>
      </c>
    </row>
    <row r="857" ht="17" spans="1:18">
      <c r="A857" s="13"/>
      <c r="B857" s="14"/>
      <c r="C857" s="15"/>
      <c r="D857" s="16"/>
      <c r="E857" s="16"/>
      <c r="F857" s="16"/>
      <c r="G857" s="14"/>
      <c r="H857" s="17" t="str">
        <f t="shared" si="104"/>
        <v/>
      </c>
      <c r="I857" s="18" t="str">
        <f>IF(OR(A857="",B857=""),"",IFERROR(LOOKUP(2,1/(单次交易!$A$2:$A$201=A857),单次交易!$H$2:$H$201),0)+SUMIFS($G$2:$G$1001,$A$2:$A$1001,A857,$B$2:$B$1001,"&lt;"&amp;B857))</f>
        <v/>
      </c>
      <c r="J857" s="17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17" t="str">
        <f t="shared" si="105"/>
        <v/>
      </c>
      <c r="L857" s="18" t="str">
        <f t="shared" si="106"/>
        <v/>
      </c>
      <c r="M857" s="18" t="str">
        <f t="shared" si="107"/>
        <v/>
      </c>
      <c r="N857" s="18" t="str">
        <f t="shared" si="108"/>
        <v/>
      </c>
      <c r="O857" s="18" t="str">
        <f t="shared" si="109"/>
        <v/>
      </c>
      <c r="P857" s="17" t="str">
        <f t="shared" si="110"/>
        <v/>
      </c>
      <c r="Q857" s="17" t="str">
        <f t="shared" si="111"/>
        <v/>
      </c>
      <c r="R857" s="19" t="str">
        <f ca="1">IF(A857="","",IF(COUNTIF(_TradeIds,A857)=0,"违规：交易编号不存在",IF(OR(B857="",B857&lt;1,B857&gt;5,B857&lt;&gt;INT(B857)),"违规：加仓序号须为1到5的整数",IF(COUNTIFS($A$2:$A$1001,A857,$B$2:$B$1001,B857)&gt;1,"违规：同一交易的加仓序号重复",IF(OR(D857="",E857="",F857=""),"计划不完整：请填写加仓价、新止损价和风险预算",IF(OR(D857&lt;=0,E857&lt;=0,F857&lt;=0,D857&lt;=E857),"违规：加仓价必须高于新止损价，金额须大于0",IF(AND(B857&gt;1,COUNTIFS($A$2:$A$1001,A857,$B$2:$B$1001,B857-1,$G$2:$G$1001,"&gt;0")=0),"违规：须先完成上一次加仓",IF(AND(B857&gt;1,E857&lt;SUMIFS($E$2:$E$1001,$A$2:$A$1001,A857,$B$2:$B$1001,B857-1)),"违规：新止损价不得低于上一次",IF(AND(B857&gt;1,F857&gt;SUMIFS($F$2:$F$1001,$A$2:$A$1001,A857,$B$2:$B$1001,B857-1)),"违规：风险预算须逐次不增加",IF(OR(_LockStatus="已锁仓",_LockStatus="解锁信息不完整"),"违规：锁仓期间禁止加仓",IF(G857="","计划可执行：建议股数见N列",IF(OR(G857&lt;=0,G857&lt;&gt;INT(G857),MOD(G857,100)&lt;&gt;0),"违规：实际股数须为100股整数倍",IF(G857&gt;N857,"违规：实际股数超过风险或金字塔上限",IF(AND(B857&gt;1,G857&gt;SUMIFS($G$2:$G$1001,$A$2:$A$1001,A857,$B$2:$B$1001,B857-1)),"违规：加仓股数须逐次不增加",IF(Q857&gt;F857,"违规：止损风险超过本次预算","通过")))))))))))))))</f>
        <v/>
      </c>
    </row>
    <row r="858" ht="17" spans="1:18">
      <c r="A858" s="13"/>
      <c r="B858" s="14"/>
      <c r="C858" s="15"/>
      <c r="D858" s="16"/>
      <c r="E858" s="16"/>
      <c r="F858" s="16"/>
      <c r="G858" s="14"/>
      <c r="H858" s="17" t="str">
        <f t="shared" si="104"/>
        <v/>
      </c>
      <c r="I858" s="18" t="str">
        <f>IF(OR(A858="",B858=""),"",IFERROR(LOOKUP(2,1/(单次交易!$A$2:$A$201=A858),单次交易!$H$2:$H$201),0)+SUMIFS($G$2:$G$1001,$A$2:$A$1001,A858,$B$2:$B$1001,"&lt;"&amp;B858))</f>
        <v/>
      </c>
      <c r="J858" s="17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17" t="str">
        <f t="shared" si="105"/>
        <v/>
      </c>
      <c r="L858" s="18" t="str">
        <f t="shared" si="106"/>
        <v/>
      </c>
      <c r="M858" s="18" t="str">
        <f t="shared" si="107"/>
        <v/>
      </c>
      <c r="N858" s="18" t="str">
        <f t="shared" si="108"/>
        <v/>
      </c>
      <c r="O858" s="18" t="str">
        <f t="shared" si="109"/>
        <v/>
      </c>
      <c r="P858" s="17" t="str">
        <f t="shared" si="110"/>
        <v/>
      </c>
      <c r="Q858" s="17" t="str">
        <f t="shared" si="111"/>
        <v/>
      </c>
      <c r="R858" s="19" t="str">
        <f ca="1">IF(A858="","",IF(COUNTIF(_TradeIds,A858)=0,"违规：交易编号不存在",IF(OR(B858="",B858&lt;1,B858&gt;5,B858&lt;&gt;INT(B858)),"违规：加仓序号须为1到5的整数",IF(COUNTIFS($A$2:$A$1001,A858,$B$2:$B$1001,B858)&gt;1,"违规：同一交易的加仓序号重复",IF(OR(D858="",E858="",F858=""),"计划不完整：请填写加仓价、新止损价和风险预算",IF(OR(D858&lt;=0,E858&lt;=0,F858&lt;=0,D858&lt;=E858),"违规：加仓价必须高于新止损价，金额须大于0",IF(AND(B858&gt;1,COUNTIFS($A$2:$A$1001,A858,$B$2:$B$1001,B858-1,$G$2:$G$1001,"&gt;0")=0),"违规：须先完成上一次加仓",IF(AND(B858&gt;1,E858&lt;SUMIFS($E$2:$E$1001,$A$2:$A$1001,A858,$B$2:$B$1001,B858-1)),"违规：新止损价不得低于上一次",IF(AND(B858&gt;1,F858&gt;SUMIFS($F$2:$F$1001,$A$2:$A$1001,A858,$B$2:$B$1001,B858-1)),"违规：风险预算须逐次不增加",IF(OR(_LockStatus="已锁仓",_LockStatus="解锁信息不完整"),"违规：锁仓期间禁止加仓",IF(G858="","计划可执行：建议股数见N列",IF(OR(G858&lt;=0,G858&lt;&gt;INT(G858),MOD(G858,100)&lt;&gt;0),"违规：实际股数须为100股整数倍",IF(G858&gt;N858,"违规：实际股数超过风险或金字塔上限",IF(AND(B858&gt;1,G858&gt;SUMIFS($G$2:$G$1001,$A$2:$A$1001,A858,$B$2:$B$1001,B858-1)),"违规：加仓股数须逐次不增加",IF(Q858&gt;F858,"违规：止损风险超过本次预算","通过")))))))))))))))</f>
        <v/>
      </c>
    </row>
    <row r="859" ht="17" spans="1:18">
      <c r="A859" s="13"/>
      <c r="B859" s="14"/>
      <c r="C859" s="15"/>
      <c r="D859" s="16"/>
      <c r="E859" s="16"/>
      <c r="F859" s="16"/>
      <c r="G859" s="14"/>
      <c r="H859" s="17" t="str">
        <f t="shared" si="104"/>
        <v/>
      </c>
      <c r="I859" s="18" t="str">
        <f>IF(OR(A859="",B859=""),"",IFERROR(LOOKUP(2,1/(单次交易!$A$2:$A$201=A859),单次交易!$H$2:$H$201),0)+SUMIFS($G$2:$G$1001,$A$2:$A$1001,A859,$B$2:$B$1001,"&lt;"&amp;B859))</f>
        <v/>
      </c>
      <c r="J859" s="17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17" t="str">
        <f t="shared" si="105"/>
        <v/>
      </c>
      <c r="L859" s="18" t="str">
        <f t="shared" si="106"/>
        <v/>
      </c>
      <c r="M859" s="18" t="str">
        <f t="shared" si="107"/>
        <v/>
      </c>
      <c r="N859" s="18" t="str">
        <f t="shared" si="108"/>
        <v/>
      </c>
      <c r="O859" s="18" t="str">
        <f t="shared" si="109"/>
        <v/>
      </c>
      <c r="P859" s="17" t="str">
        <f t="shared" si="110"/>
        <v/>
      </c>
      <c r="Q859" s="17" t="str">
        <f t="shared" si="111"/>
        <v/>
      </c>
      <c r="R859" s="19" t="str">
        <f ca="1">IF(A859="","",IF(COUNTIF(_TradeIds,A859)=0,"违规：交易编号不存在",IF(OR(B859="",B859&lt;1,B859&gt;5,B859&lt;&gt;INT(B859)),"违规：加仓序号须为1到5的整数",IF(COUNTIFS($A$2:$A$1001,A859,$B$2:$B$1001,B859)&gt;1,"违规：同一交易的加仓序号重复",IF(OR(D859="",E859="",F859=""),"计划不完整：请填写加仓价、新止损价和风险预算",IF(OR(D859&lt;=0,E859&lt;=0,F859&lt;=0,D859&lt;=E859),"违规：加仓价必须高于新止损价，金额须大于0",IF(AND(B859&gt;1,COUNTIFS($A$2:$A$1001,A859,$B$2:$B$1001,B859-1,$G$2:$G$1001,"&gt;0")=0),"违规：须先完成上一次加仓",IF(AND(B859&gt;1,E859&lt;SUMIFS($E$2:$E$1001,$A$2:$A$1001,A859,$B$2:$B$1001,B859-1)),"违规：新止损价不得低于上一次",IF(AND(B859&gt;1,F859&gt;SUMIFS($F$2:$F$1001,$A$2:$A$1001,A859,$B$2:$B$1001,B859-1)),"违规：风险预算须逐次不增加",IF(OR(_LockStatus="已锁仓",_LockStatus="解锁信息不完整"),"违规：锁仓期间禁止加仓",IF(G859="","计划可执行：建议股数见N列",IF(OR(G859&lt;=0,G859&lt;&gt;INT(G859),MOD(G859,100)&lt;&gt;0),"违规：实际股数须为100股整数倍",IF(G859&gt;N859,"违规：实际股数超过风险或金字塔上限",IF(AND(B859&gt;1,G859&gt;SUMIFS($G$2:$G$1001,$A$2:$A$1001,A859,$B$2:$B$1001,B859-1)),"违规：加仓股数须逐次不增加",IF(Q859&gt;F859,"违规：止损风险超过本次预算","通过")))))))))))))))</f>
        <v/>
      </c>
    </row>
    <row r="860" ht="17" spans="1:18">
      <c r="A860" s="13"/>
      <c r="B860" s="14"/>
      <c r="C860" s="15"/>
      <c r="D860" s="16"/>
      <c r="E860" s="16"/>
      <c r="F860" s="16"/>
      <c r="G860" s="14"/>
      <c r="H860" s="17" t="str">
        <f t="shared" si="104"/>
        <v/>
      </c>
      <c r="I860" s="18" t="str">
        <f>IF(OR(A860="",B860=""),"",IFERROR(LOOKUP(2,1/(单次交易!$A$2:$A$201=A860),单次交易!$H$2:$H$201),0)+SUMIFS($G$2:$G$1001,$A$2:$A$1001,A860,$B$2:$B$1001,"&lt;"&amp;B860))</f>
        <v/>
      </c>
      <c r="J860" s="17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17" t="str">
        <f t="shared" si="105"/>
        <v/>
      </c>
      <c r="L860" s="18" t="str">
        <f t="shared" si="106"/>
        <v/>
      </c>
      <c r="M860" s="18" t="str">
        <f t="shared" si="107"/>
        <v/>
      </c>
      <c r="N860" s="18" t="str">
        <f t="shared" si="108"/>
        <v/>
      </c>
      <c r="O860" s="18" t="str">
        <f t="shared" si="109"/>
        <v/>
      </c>
      <c r="P860" s="17" t="str">
        <f t="shared" si="110"/>
        <v/>
      </c>
      <c r="Q860" s="17" t="str">
        <f t="shared" si="111"/>
        <v/>
      </c>
      <c r="R860" s="19" t="str">
        <f ca="1">IF(A860="","",IF(COUNTIF(_TradeIds,A860)=0,"违规：交易编号不存在",IF(OR(B860="",B860&lt;1,B860&gt;5,B860&lt;&gt;INT(B860)),"违规：加仓序号须为1到5的整数",IF(COUNTIFS($A$2:$A$1001,A860,$B$2:$B$1001,B860)&gt;1,"违规：同一交易的加仓序号重复",IF(OR(D860="",E860="",F860=""),"计划不完整：请填写加仓价、新止损价和风险预算",IF(OR(D860&lt;=0,E860&lt;=0,F860&lt;=0,D860&lt;=E860),"违规：加仓价必须高于新止损价，金额须大于0",IF(AND(B860&gt;1,COUNTIFS($A$2:$A$1001,A860,$B$2:$B$1001,B860-1,$G$2:$G$1001,"&gt;0")=0),"违规：须先完成上一次加仓",IF(AND(B860&gt;1,E860&lt;SUMIFS($E$2:$E$1001,$A$2:$A$1001,A860,$B$2:$B$1001,B860-1)),"违规：新止损价不得低于上一次",IF(AND(B860&gt;1,F860&gt;SUMIFS($F$2:$F$1001,$A$2:$A$1001,A860,$B$2:$B$1001,B860-1)),"违规：风险预算须逐次不增加",IF(OR(_LockStatus="已锁仓",_LockStatus="解锁信息不完整"),"违规：锁仓期间禁止加仓",IF(G860="","计划可执行：建议股数见N列",IF(OR(G860&lt;=0,G860&lt;&gt;INT(G860),MOD(G860,100)&lt;&gt;0),"违规：实际股数须为100股整数倍",IF(G860&gt;N860,"违规：实际股数超过风险或金字塔上限",IF(AND(B860&gt;1,G860&gt;SUMIFS($G$2:$G$1001,$A$2:$A$1001,A860,$B$2:$B$1001,B860-1)),"违规：加仓股数须逐次不增加",IF(Q860&gt;F860,"违规：止损风险超过本次预算","通过")))))))))))))))</f>
        <v/>
      </c>
    </row>
    <row r="861" ht="17" spans="1:18">
      <c r="A861" s="13"/>
      <c r="B861" s="14"/>
      <c r="C861" s="15"/>
      <c r="D861" s="16"/>
      <c r="E861" s="16"/>
      <c r="F861" s="16"/>
      <c r="G861" s="14"/>
      <c r="H861" s="17" t="str">
        <f t="shared" si="104"/>
        <v/>
      </c>
      <c r="I861" s="18" t="str">
        <f>IF(OR(A861="",B861=""),"",IFERROR(LOOKUP(2,1/(单次交易!$A$2:$A$201=A861),单次交易!$H$2:$H$201),0)+SUMIFS($G$2:$G$1001,$A$2:$A$1001,A861,$B$2:$B$1001,"&lt;"&amp;B861))</f>
        <v/>
      </c>
      <c r="J861" s="17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17" t="str">
        <f t="shared" si="105"/>
        <v/>
      </c>
      <c r="L861" s="18" t="str">
        <f t="shared" si="106"/>
        <v/>
      </c>
      <c r="M861" s="18" t="str">
        <f t="shared" si="107"/>
        <v/>
      </c>
      <c r="N861" s="18" t="str">
        <f t="shared" si="108"/>
        <v/>
      </c>
      <c r="O861" s="18" t="str">
        <f t="shared" si="109"/>
        <v/>
      </c>
      <c r="P861" s="17" t="str">
        <f t="shared" si="110"/>
        <v/>
      </c>
      <c r="Q861" s="17" t="str">
        <f t="shared" si="111"/>
        <v/>
      </c>
      <c r="R861" s="19" t="str">
        <f ca="1">IF(A861="","",IF(COUNTIF(_TradeIds,A861)=0,"违规：交易编号不存在",IF(OR(B861="",B861&lt;1,B861&gt;5,B861&lt;&gt;INT(B861)),"违规：加仓序号须为1到5的整数",IF(COUNTIFS($A$2:$A$1001,A861,$B$2:$B$1001,B861)&gt;1,"违规：同一交易的加仓序号重复",IF(OR(D861="",E861="",F861=""),"计划不完整：请填写加仓价、新止损价和风险预算",IF(OR(D861&lt;=0,E861&lt;=0,F861&lt;=0,D861&lt;=E861),"违规：加仓价必须高于新止损价，金额须大于0",IF(AND(B861&gt;1,COUNTIFS($A$2:$A$1001,A861,$B$2:$B$1001,B861-1,$G$2:$G$1001,"&gt;0")=0),"违规：须先完成上一次加仓",IF(AND(B861&gt;1,E861&lt;SUMIFS($E$2:$E$1001,$A$2:$A$1001,A861,$B$2:$B$1001,B861-1)),"违规：新止损价不得低于上一次",IF(AND(B861&gt;1,F861&gt;SUMIFS($F$2:$F$1001,$A$2:$A$1001,A861,$B$2:$B$1001,B861-1)),"违规：风险预算须逐次不增加",IF(OR(_LockStatus="已锁仓",_LockStatus="解锁信息不完整"),"违规：锁仓期间禁止加仓",IF(G861="","计划可执行：建议股数见N列",IF(OR(G861&lt;=0,G861&lt;&gt;INT(G861),MOD(G861,100)&lt;&gt;0),"违规：实际股数须为100股整数倍",IF(G861&gt;N861,"违规：实际股数超过风险或金字塔上限",IF(AND(B861&gt;1,G861&gt;SUMIFS($G$2:$G$1001,$A$2:$A$1001,A861,$B$2:$B$1001,B861-1)),"违规：加仓股数须逐次不增加",IF(Q861&gt;F861,"违规：止损风险超过本次预算","通过")))))))))))))))</f>
        <v/>
      </c>
    </row>
    <row r="862" ht="17" spans="1:18">
      <c r="A862" s="13"/>
      <c r="B862" s="14"/>
      <c r="C862" s="15"/>
      <c r="D862" s="16"/>
      <c r="E862" s="16"/>
      <c r="F862" s="16"/>
      <c r="G862" s="14"/>
      <c r="H862" s="17" t="str">
        <f t="shared" si="104"/>
        <v/>
      </c>
      <c r="I862" s="18" t="str">
        <f>IF(OR(A862="",B862=""),"",IFERROR(LOOKUP(2,1/(单次交易!$A$2:$A$201=A862),单次交易!$H$2:$H$201),0)+SUMIFS($G$2:$G$1001,$A$2:$A$1001,A862,$B$2:$B$1001,"&lt;"&amp;B862))</f>
        <v/>
      </c>
      <c r="J862" s="17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17" t="str">
        <f t="shared" si="105"/>
        <v/>
      </c>
      <c r="L862" s="18" t="str">
        <f t="shared" si="106"/>
        <v/>
      </c>
      <c r="M862" s="18" t="str">
        <f t="shared" si="107"/>
        <v/>
      </c>
      <c r="N862" s="18" t="str">
        <f t="shared" si="108"/>
        <v/>
      </c>
      <c r="O862" s="18" t="str">
        <f t="shared" si="109"/>
        <v/>
      </c>
      <c r="P862" s="17" t="str">
        <f t="shared" si="110"/>
        <v/>
      </c>
      <c r="Q862" s="17" t="str">
        <f t="shared" si="111"/>
        <v/>
      </c>
      <c r="R862" s="19" t="str">
        <f ca="1">IF(A862="","",IF(COUNTIF(_TradeIds,A862)=0,"违规：交易编号不存在",IF(OR(B862="",B862&lt;1,B862&gt;5,B862&lt;&gt;INT(B862)),"违规：加仓序号须为1到5的整数",IF(COUNTIFS($A$2:$A$1001,A862,$B$2:$B$1001,B862)&gt;1,"违规：同一交易的加仓序号重复",IF(OR(D862="",E862="",F862=""),"计划不完整：请填写加仓价、新止损价和风险预算",IF(OR(D862&lt;=0,E862&lt;=0,F862&lt;=0,D862&lt;=E862),"违规：加仓价必须高于新止损价，金额须大于0",IF(AND(B862&gt;1,COUNTIFS($A$2:$A$1001,A862,$B$2:$B$1001,B862-1,$G$2:$G$1001,"&gt;0")=0),"违规：须先完成上一次加仓",IF(AND(B862&gt;1,E862&lt;SUMIFS($E$2:$E$1001,$A$2:$A$1001,A862,$B$2:$B$1001,B862-1)),"违规：新止损价不得低于上一次",IF(AND(B862&gt;1,F862&gt;SUMIFS($F$2:$F$1001,$A$2:$A$1001,A862,$B$2:$B$1001,B862-1)),"违规：风险预算须逐次不增加",IF(OR(_LockStatus="已锁仓",_LockStatus="解锁信息不完整"),"违规：锁仓期间禁止加仓",IF(G862="","计划可执行：建议股数见N列",IF(OR(G862&lt;=0,G862&lt;&gt;INT(G862),MOD(G862,100)&lt;&gt;0),"违规：实际股数须为100股整数倍",IF(G862&gt;N862,"违规：实际股数超过风险或金字塔上限",IF(AND(B862&gt;1,G862&gt;SUMIFS($G$2:$G$1001,$A$2:$A$1001,A862,$B$2:$B$1001,B862-1)),"违规：加仓股数须逐次不增加",IF(Q862&gt;F862,"违规：止损风险超过本次预算","通过")))))))))))))))</f>
        <v/>
      </c>
    </row>
    <row r="863" ht="17" spans="1:18">
      <c r="A863" s="13"/>
      <c r="B863" s="14"/>
      <c r="C863" s="15"/>
      <c r="D863" s="16"/>
      <c r="E863" s="16"/>
      <c r="F863" s="16"/>
      <c r="G863" s="14"/>
      <c r="H863" s="17" t="str">
        <f t="shared" si="104"/>
        <v/>
      </c>
      <c r="I863" s="18" t="str">
        <f>IF(OR(A863="",B863=""),"",IFERROR(LOOKUP(2,1/(单次交易!$A$2:$A$201=A863),单次交易!$H$2:$H$201),0)+SUMIFS($G$2:$G$1001,$A$2:$A$1001,A863,$B$2:$B$1001,"&lt;"&amp;B863))</f>
        <v/>
      </c>
      <c r="J863" s="17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17" t="str">
        <f t="shared" si="105"/>
        <v/>
      </c>
      <c r="L863" s="18" t="str">
        <f t="shared" si="106"/>
        <v/>
      </c>
      <c r="M863" s="18" t="str">
        <f t="shared" si="107"/>
        <v/>
      </c>
      <c r="N863" s="18" t="str">
        <f t="shared" si="108"/>
        <v/>
      </c>
      <c r="O863" s="18" t="str">
        <f t="shared" si="109"/>
        <v/>
      </c>
      <c r="P863" s="17" t="str">
        <f t="shared" si="110"/>
        <v/>
      </c>
      <c r="Q863" s="17" t="str">
        <f t="shared" si="111"/>
        <v/>
      </c>
      <c r="R863" s="19" t="str">
        <f ca="1">IF(A863="","",IF(COUNTIF(_TradeIds,A863)=0,"违规：交易编号不存在",IF(OR(B863="",B863&lt;1,B863&gt;5,B863&lt;&gt;INT(B863)),"违规：加仓序号须为1到5的整数",IF(COUNTIFS($A$2:$A$1001,A863,$B$2:$B$1001,B863)&gt;1,"违规：同一交易的加仓序号重复",IF(OR(D863="",E863="",F863=""),"计划不完整：请填写加仓价、新止损价和风险预算",IF(OR(D863&lt;=0,E863&lt;=0,F863&lt;=0,D863&lt;=E863),"违规：加仓价必须高于新止损价，金额须大于0",IF(AND(B863&gt;1,COUNTIFS($A$2:$A$1001,A863,$B$2:$B$1001,B863-1,$G$2:$G$1001,"&gt;0")=0),"违规：须先完成上一次加仓",IF(AND(B863&gt;1,E863&lt;SUMIFS($E$2:$E$1001,$A$2:$A$1001,A863,$B$2:$B$1001,B863-1)),"违规：新止损价不得低于上一次",IF(AND(B863&gt;1,F863&gt;SUMIFS($F$2:$F$1001,$A$2:$A$1001,A863,$B$2:$B$1001,B863-1)),"违规：风险预算须逐次不增加",IF(OR(_LockStatus="已锁仓",_LockStatus="解锁信息不完整"),"违规：锁仓期间禁止加仓",IF(G863="","计划可执行：建议股数见N列",IF(OR(G863&lt;=0,G863&lt;&gt;INT(G863),MOD(G863,100)&lt;&gt;0),"违规：实际股数须为100股整数倍",IF(G863&gt;N863,"违规：实际股数超过风险或金字塔上限",IF(AND(B863&gt;1,G863&gt;SUMIFS($G$2:$G$1001,$A$2:$A$1001,A863,$B$2:$B$1001,B863-1)),"违规：加仓股数须逐次不增加",IF(Q863&gt;F863,"违规：止损风险超过本次预算","通过")))))))))))))))</f>
        <v/>
      </c>
    </row>
    <row r="864" ht="17" spans="1:18">
      <c r="A864" s="13"/>
      <c r="B864" s="14"/>
      <c r="C864" s="15"/>
      <c r="D864" s="16"/>
      <c r="E864" s="16"/>
      <c r="F864" s="16"/>
      <c r="G864" s="14"/>
      <c r="H864" s="17" t="str">
        <f t="shared" si="104"/>
        <v/>
      </c>
      <c r="I864" s="18" t="str">
        <f>IF(OR(A864="",B864=""),"",IFERROR(LOOKUP(2,1/(单次交易!$A$2:$A$201=A864),单次交易!$H$2:$H$201),0)+SUMIFS($G$2:$G$1001,$A$2:$A$1001,A864,$B$2:$B$1001,"&lt;"&amp;B864))</f>
        <v/>
      </c>
      <c r="J864" s="17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17" t="str">
        <f t="shared" si="105"/>
        <v/>
      </c>
      <c r="L864" s="18" t="str">
        <f t="shared" si="106"/>
        <v/>
      </c>
      <c r="M864" s="18" t="str">
        <f t="shared" si="107"/>
        <v/>
      </c>
      <c r="N864" s="18" t="str">
        <f t="shared" si="108"/>
        <v/>
      </c>
      <c r="O864" s="18" t="str">
        <f t="shared" si="109"/>
        <v/>
      </c>
      <c r="P864" s="17" t="str">
        <f t="shared" si="110"/>
        <v/>
      </c>
      <c r="Q864" s="17" t="str">
        <f t="shared" si="111"/>
        <v/>
      </c>
      <c r="R864" s="19" t="str">
        <f ca="1">IF(A864="","",IF(COUNTIF(_TradeIds,A864)=0,"违规：交易编号不存在",IF(OR(B864="",B864&lt;1,B864&gt;5,B864&lt;&gt;INT(B864)),"违规：加仓序号须为1到5的整数",IF(COUNTIFS($A$2:$A$1001,A864,$B$2:$B$1001,B864)&gt;1,"违规：同一交易的加仓序号重复",IF(OR(D864="",E864="",F864=""),"计划不完整：请填写加仓价、新止损价和风险预算",IF(OR(D864&lt;=0,E864&lt;=0,F864&lt;=0,D864&lt;=E864),"违规：加仓价必须高于新止损价，金额须大于0",IF(AND(B864&gt;1,COUNTIFS($A$2:$A$1001,A864,$B$2:$B$1001,B864-1,$G$2:$G$1001,"&gt;0")=0),"违规：须先完成上一次加仓",IF(AND(B864&gt;1,E864&lt;SUMIFS($E$2:$E$1001,$A$2:$A$1001,A864,$B$2:$B$1001,B864-1)),"违规：新止损价不得低于上一次",IF(AND(B864&gt;1,F864&gt;SUMIFS($F$2:$F$1001,$A$2:$A$1001,A864,$B$2:$B$1001,B864-1)),"违规：风险预算须逐次不增加",IF(OR(_LockStatus="已锁仓",_LockStatus="解锁信息不完整"),"违规：锁仓期间禁止加仓",IF(G864="","计划可执行：建议股数见N列",IF(OR(G864&lt;=0,G864&lt;&gt;INT(G864),MOD(G864,100)&lt;&gt;0),"违规：实际股数须为100股整数倍",IF(G864&gt;N864,"违规：实际股数超过风险或金字塔上限",IF(AND(B864&gt;1,G864&gt;SUMIFS($G$2:$G$1001,$A$2:$A$1001,A864,$B$2:$B$1001,B864-1)),"违规：加仓股数须逐次不增加",IF(Q864&gt;F864,"违规：止损风险超过本次预算","通过")))))))))))))))</f>
        <v/>
      </c>
    </row>
    <row r="865" ht="17" spans="1:18">
      <c r="A865" s="13"/>
      <c r="B865" s="14"/>
      <c r="C865" s="15"/>
      <c r="D865" s="16"/>
      <c r="E865" s="16"/>
      <c r="F865" s="16"/>
      <c r="G865" s="14"/>
      <c r="H865" s="17" t="str">
        <f t="shared" si="104"/>
        <v/>
      </c>
      <c r="I865" s="18" t="str">
        <f>IF(OR(A865="",B865=""),"",IFERROR(LOOKUP(2,1/(单次交易!$A$2:$A$201=A865),单次交易!$H$2:$H$201),0)+SUMIFS($G$2:$G$1001,$A$2:$A$1001,A865,$B$2:$B$1001,"&lt;"&amp;B865))</f>
        <v/>
      </c>
      <c r="J865" s="17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17" t="str">
        <f t="shared" si="105"/>
        <v/>
      </c>
      <c r="L865" s="18" t="str">
        <f t="shared" si="106"/>
        <v/>
      </c>
      <c r="M865" s="18" t="str">
        <f t="shared" si="107"/>
        <v/>
      </c>
      <c r="N865" s="18" t="str">
        <f t="shared" si="108"/>
        <v/>
      </c>
      <c r="O865" s="18" t="str">
        <f t="shared" si="109"/>
        <v/>
      </c>
      <c r="P865" s="17" t="str">
        <f t="shared" si="110"/>
        <v/>
      </c>
      <c r="Q865" s="17" t="str">
        <f t="shared" si="111"/>
        <v/>
      </c>
      <c r="R865" s="19" t="str">
        <f ca="1">IF(A865="","",IF(COUNTIF(_TradeIds,A865)=0,"违规：交易编号不存在",IF(OR(B865="",B865&lt;1,B865&gt;5,B865&lt;&gt;INT(B865)),"违规：加仓序号须为1到5的整数",IF(COUNTIFS($A$2:$A$1001,A865,$B$2:$B$1001,B865)&gt;1,"违规：同一交易的加仓序号重复",IF(OR(D865="",E865="",F865=""),"计划不完整：请填写加仓价、新止损价和风险预算",IF(OR(D865&lt;=0,E865&lt;=0,F865&lt;=0,D865&lt;=E865),"违规：加仓价必须高于新止损价，金额须大于0",IF(AND(B865&gt;1,COUNTIFS($A$2:$A$1001,A865,$B$2:$B$1001,B865-1,$G$2:$G$1001,"&gt;0")=0),"违规：须先完成上一次加仓",IF(AND(B865&gt;1,E865&lt;SUMIFS($E$2:$E$1001,$A$2:$A$1001,A865,$B$2:$B$1001,B865-1)),"违规：新止损价不得低于上一次",IF(AND(B865&gt;1,F865&gt;SUMIFS($F$2:$F$1001,$A$2:$A$1001,A865,$B$2:$B$1001,B865-1)),"违规：风险预算须逐次不增加",IF(OR(_LockStatus="已锁仓",_LockStatus="解锁信息不完整"),"违规：锁仓期间禁止加仓",IF(G865="","计划可执行：建议股数见N列",IF(OR(G865&lt;=0,G865&lt;&gt;INT(G865),MOD(G865,100)&lt;&gt;0),"违规：实际股数须为100股整数倍",IF(G865&gt;N865,"违规：实际股数超过风险或金字塔上限",IF(AND(B865&gt;1,G865&gt;SUMIFS($G$2:$G$1001,$A$2:$A$1001,A865,$B$2:$B$1001,B865-1)),"违规：加仓股数须逐次不增加",IF(Q865&gt;F865,"违规：止损风险超过本次预算","通过")))))))))))))))</f>
        <v/>
      </c>
    </row>
    <row r="866" ht="17" spans="1:18">
      <c r="A866" s="13"/>
      <c r="B866" s="14"/>
      <c r="C866" s="15"/>
      <c r="D866" s="16"/>
      <c r="E866" s="16"/>
      <c r="F866" s="16"/>
      <c r="G866" s="14"/>
      <c r="H866" s="17" t="str">
        <f t="shared" si="104"/>
        <v/>
      </c>
      <c r="I866" s="18" t="str">
        <f>IF(OR(A866="",B866=""),"",IFERROR(LOOKUP(2,1/(单次交易!$A$2:$A$201=A866),单次交易!$H$2:$H$201),0)+SUMIFS($G$2:$G$1001,$A$2:$A$1001,A866,$B$2:$B$1001,"&lt;"&amp;B866))</f>
        <v/>
      </c>
      <c r="J866" s="17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17" t="str">
        <f t="shared" si="105"/>
        <v/>
      </c>
      <c r="L866" s="18" t="str">
        <f t="shared" si="106"/>
        <v/>
      </c>
      <c r="M866" s="18" t="str">
        <f t="shared" si="107"/>
        <v/>
      </c>
      <c r="N866" s="18" t="str">
        <f t="shared" si="108"/>
        <v/>
      </c>
      <c r="O866" s="18" t="str">
        <f t="shared" si="109"/>
        <v/>
      </c>
      <c r="P866" s="17" t="str">
        <f t="shared" si="110"/>
        <v/>
      </c>
      <c r="Q866" s="17" t="str">
        <f t="shared" si="111"/>
        <v/>
      </c>
      <c r="R866" s="19" t="str">
        <f ca="1">IF(A866="","",IF(COUNTIF(_TradeIds,A866)=0,"违规：交易编号不存在",IF(OR(B866="",B866&lt;1,B866&gt;5,B866&lt;&gt;INT(B866)),"违规：加仓序号须为1到5的整数",IF(COUNTIFS($A$2:$A$1001,A866,$B$2:$B$1001,B866)&gt;1,"违规：同一交易的加仓序号重复",IF(OR(D866="",E866="",F866=""),"计划不完整：请填写加仓价、新止损价和风险预算",IF(OR(D866&lt;=0,E866&lt;=0,F866&lt;=0,D866&lt;=E866),"违规：加仓价必须高于新止损价，金额须大于0",IF(AND(B866&gt;1,COUNTIFS($A$2:$A$1001,A866,$B$2:$B$1001,B866-1,$G$2:$G$1001,"&gt;0")=0),"违规：须先完成上一次加仓",IF(AND(B866&gt;1,E866&lt;SUMIFS($E$2:$E$1001,$A$2:$A$1001,A866,$B$2:$B$1001,B866-1)),"违规：新止损价不得低于上一次",IF(AND(B866&gt;1,F866&gt;SUMIFS($F$2:$F$1001,$A$2:$A$1001,A866,$B$2:$B$1001,B866-1)),"违规：风险预算须逐次不增加",IF(OR(_LockStatus="已锁仓",_LockStatus="解锁信息不完整"),"违规：锁仓期间禁止加仓",IF(G866="","计划可执行：建议股数见N列",IF(OR(G866&lt;=0,G866&lt;&gt;INT(G866),MOD(G866,100)&lt;&gt;0),"违规：实际股数须为100股整数倍",IF(G866&gt;N866,"违规：实际股数超过风险或金字塔上限",IF(AND(B866&gt;1,G866&gt;SUMIFS($G$2:$G$1001,$A$2:$A$1001,A866,$B$2:$B$1001,B866-1)),"违规：加仓股数须逐次不增加",IF(Q866&gt;F866,"违规：止损风险超过本次预算","通过")))))))))))))))</f>
        <v/>
      </c>
    </row>
    <row r="867" ht="17" spans="1:18">
      <c r="A867" s="13"/>
      <c r="B867" s="14"/>
      <c r="C867" s="15"/>
      <c r="D867" s="16"/>
      <c r="E867" s="16"/>
      <c r="F867" s="16"/>
      <c r="G867" s="14"/>
      <c r="H867" s="17" t="str">
        <f t="shared" si="104"/>
        <v/>
      </c>
      <c r="I867" s="18" t="str">
        <f>IF(OR(A867="",B867=""),"",IFERROR(LOOKUP(2,1/(单次交易!$A$2:$A$201=A867),单次交易!$H$2:$H$201),0)+SUMIFS($G$2:$G$1001,$A$2:$A$1001,A867,$B$2:$B$1001,"&lt;"&amp;B867))</f>
        <v/>
      </c>
      <c r="J867" s="17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17" t="str">
        <f t="shared" si="105"/>
        <v/>
      </c>
      <c r="L867" s="18" t="str">
        <f t="shared" si="106"/>
        <v/>
      </c>
      <c r="M867" s="18" t="str">
        <f t="shared" si="107"/>
        <v/>
      </c>
      <c r="N867" s="18" t="str">
        <f t="shared" si="108"/>
        <v/>
      </c>
      <c r="O867" s="18" t="str">
        <f t="shared" si="109"/>
        <v/>
      </c>
      <c r="P867" s="17" t="str">
        <f t="shared" si="110"/>
        <v/>
      </c>
      <c r="Q867" s="17" t="str">
        <f t="shared" si="111"/>
        <v/>
      </c>
      <c r="R867" s="19" t="str">
        <f ca="1">IF(A867="","",IF(COUNTIF(_TradeIds,A867)=0,"违规：交易编号不存在",IF(OR(B867="",B867&lt;1,B867&gt;5,B867&lt;&gt;INT(B867)),"违规：加仓序号须为1到5的整数",IF(COUNTIFS($A$2:$A$1001,A867,$B$2:$B$1001,B867)&gt;1,"违规：同一交易的加仓序号重复",IF(OR(D867="",E867="",F867=""),"计划不完整：请填写加仓价、新止损价和风险预算",IF(OR(D867&lt;=0,E867&lt;=0,F867&lt;=0,D867&lt;=E867),"违规：加仓价必须高于新止损价，金额须大于0",IF(AND(B867&gt;1,COUNTIFS($A$2:$A$1001,A867,$B$2:$B$1001,B867-1,$G$2:$G$1001,"&gt;0")=0),"违规：须先完成上一次加仓",IF(AND(B867&gt;1,E867&lt;SUMIFS($E$2:$E$1001,$A$2:$A$1001,A867,$B$2:$B$1001,B867-1)),"违规：新止损价不得低于上一次",IF(AND(B867&gt;1,F867&gt;SUMIFS($F$2:$F$1001,$A$2:$A$1001,A867,$B$2:$B$1001,B867-1)),"违规：风险预算须逐次不增加",IF(OR(_LockStatus="已锁仓",_LockStatus="解锁信息不完整"),"违规：锁仓期间禁止加仓",IF(G867="","计划可执行：建议股数见N列",IF(OR(G867&lt;=0,G867&lt;&gt;INT(G867),MOD(G867,100)&lt;&gt;0),"违规：实际股数须为100股整数倍",IF(G867&gt;N867,"违规：实际股数超过风险或金字塔上限",IF(AND(B867&gt;1,G867&gt;SUMIFS($G$2:$G$1001,$A$2:$A$1001,A867,$B$2:$B$1001,B867-1)),"违规：加仓股数须逐次不增加",IF(Q867&gt;F867,"违规：止损风险超过本次预算","通过")))))))))))))))</f>
        <v/>
      </c>
    </row>
    <row r="868" ht="17" spans="1:18">
      <c r="A868" s="13"/>
      <c r="B868" s="14"/>
      <c r="C868" s="15"/>
      <c r="D868" s="16"/>
      <c r="E868" s="16"/>
      <c r="F868" s="16"/>
      <c r="G868" s="14"/>
      <c r="H868" s="17" t="str">
        <f t="shared" si="104"/>
        <v/>
      </c>
      <c r="I868" s="18" t="str">
        <f>IF(OR(A868="",B868=""),"",IFERROR(LOOKUP(2,1/(单次交易!$A$2:$A$201=A868),单次交易!$H$2:$H$201),0)+SUMIFS($G$2:$G$1001,$A$2:$A$1001,A868,$B$2:$B$1001,"&lt;"&amp;B868))</f>
        <v/>
      </c>
      <c r="J868" s="17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17" t="str">
        <f t="shared" si="105"/>
        <v/>
      </c>
      <c r="L868" s="18" t="str">
        <f t="shared" si="106"/>
        <v/>
      </c>
      <c r="M868" s="18" t="str">
        <f t="shared" si="107"/>
        <v/>
      </c>
      <c r="N868" s="18" t="str">
        <f t="shared" si="108"/>
        <v/>
      </c>
      <c r="O868" s="18" t="str">
        <f t="shared" si="109"/>
        <v/>
      </c>
      <c r="P868" s="17" t="str">
        <f t="shared" si="110"/>
        <v/>
      </c>
      <c r="Q868" s="17" t="str">
        <f t="shared" si="111"/>
        <v/>
      </c>
      <c r="R868" s="19" t="str">
        <f ca="1">IF(A868="","",IF(COUNTIF(_TradeIds,A868)=0,"违规：交易编号不存在",IF(OR(B868="",B868&lt;1,B868&gt;5,B868&lt;&gt;INT(B868)),"违规：加仓序号须为1到5的整数",IF(COUNTIFS($A$2:$A$1001,A868,$B$2:$B$1001,B868)&gt;1,"违规：同一交易的加仓序号重复",IF(OR(D868="",E868="",F868=""),"计划不完整：请填写加仓价、新止损价和风险预算",IF(OR(D868&lt;=0,E868&lt;=0,F868&lt;=0,D868&lt;=E868),"违规：加仓价必须高于新止损价，金额须大于0",IF(AND(B868&gt;1,COUNTIFS($A$2:$A$1001,A868,$B$2:$B$1001,B868-1,$G$2:$G$1001,"&gt;0")=0),"违规：须先完成上一次加仓",IF(AND(B868&gt;1,E868&lt;SUMIFS($E$2:$E$1001,$A$2:$A$1001,A868,$B$2:$B$1001,B868-1)),"违规：新止损价不得低于上一次",IF(AND(B868&gt;1,F868&gt;SUMIFS($F$2:$F$1001,$A$2:$A$1001,A868,$B$2:$B$1001,B868-1)),"违规：风险预算须逐次不增加",IF(OR(_LockStatus="已锁仓",_LockStatus="解锁信息不完整"),"违规：锁仓期间禁止加仓",IF(G868="","计划可执行：建议股数见N列",IF(OR(G868&lt;=0,G868&lt;&gt;INT(G868),MOD(G868,100)&lt;&gt;0),"违规：实际股数须为100股整数倍",IF(G868&gt;N868,"违规：实际股数超过风险或金字塔上限",IF(AND(B868&gt;1,G868&gt;SUMIFS($G$2:$G$1001,$A$2:$A$1001,A868,$B$2:$B$1001,B868-1)),"违规：加仓股数须逐次不增加",IF(Q868&gt;F868,"违规：止损风险超过本次预算","通过")))))))))))))))</f>
        <v/>
      </c>
    </row>
    <row r="869" ht="17" spans="1:18">
      <c r="A869" s="13"/>
      <c r="B869" s="14"/>
      <c r="C869" s="15"/>
      <c r="D869" s="16"/>
      <c r="E869" s="16"/>
      <c r="F869" s="16"/>
      <c r="G869" s="14"/>
      <c r="H869" s="17" t="str">
        <f t="shared" si="104"/>
        <v/>
      </c>
      <c r="I869" s="18" t="str">
        <f>IF(OR(A869="",B869=""),"",IFERROR(LOOKUP(2,1/(单次交易!$A$2:$A$201=A869),单次交易!$H$2:$H$201),0)+SUMIFS($G$2:$G$1001,$A$2:$A$1001,A869,$B$2:$B$1001,"&lt;"&amp;B869))</f>
        <v/>
      </c>
      <c r="J869" s="17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17" t="str">
        <f t="shared" si="105"/>
        <v/>
      </c>
      <c r="L869" s="18" t="str">
        <f t="shared" si="106"/>
        <v/>
      </c>
      <c r="M869" s="18" t="str">
        <f t="shared" si="107"/>
        <v/>
      </c>
      <c r="N869" s="18" t="str">
        <f t="shared" si="108"/>
        <v/>
      </c>
      <c r="O869" s="18" t="str">
        <f t="shared" si="109"/>
        <v/>
      </c>
      <c r="P869" s="17" t="str">
        <f t="shared" si="110"/>
        <v/>
      </c>
      <c r="Q869" s="17" t="str">
        <f t="shared" si="111"/>
        <v/>
      </c>
      <c r="R869" s="19" t="str">
        <f ca="1">IF(A869="","",IF(COUNTIF(_TradeIds,A869)=0,"违规：交易编号不存在",IF(OR(B869="",B869&lt;1,B869&gt;5,B869&lt;&gt;INT(B869)),"违规：加仓序号须为1到5的整数",IF(COUNTIFS($A$2:$A$1001,A869,$B$2:$B$1001,B869)&gt;1,"违规：同一交易的加仓序号重复",IF(OR(D869="",E869="",F869=""),"计划不完整：请填写加仓价、新止损价和风险预算",IF(OR(D869&lt;=0,E869&lt;=0,F869&lt;=0,D869&lt;=E869),"违规：加仓价必须高于新止损价，金额须大于0",IF(AND(B869&gt;1,COUNTIFS($A$2:$A$1001,A869,$B$2:$B$1001,B869-1,$G$2:$G$1001,"&gt;0")=0),"违规：须先完成上一次加仓",IF(AND(B869&gt;1,E869&lt;SUMIFS($E$2:$E$1001,$A$2:$A$1001,A869,$B$2:$B$1001,B869-1)),"违规：新止损价不得低于上一次",IF(AND(B869&gt;1,F869&gt;SUMIFS($F$2:$F$1001,$A$2:$A$1001,A869,$B$2:$B$1001,B869-1)),"违规：风险预算须逐次不增加",IF(OR(_LockStatus="已锁仓",_LockStatus="解锁信息不完整"),"违规：锁仓期间禁止加仓",IF(G869="","计划可执行：建议股数见N列",IF(OR(G869&lt;=0,G869&lt;&gt;INT(G869),MOD(G869,100)&lt;&gt;0),"违规：实际股数须为100股整数倍",IF(G869&gt;N869,"违规：实际股数超过风险或金字塔上限",IF(AND(B869&gt;1,G869&gt;SUMIFS($G$2:$G$1001,$A$2:$A$1001,A869,$B$2:$B$1001,B869-1)),"违规：加仓股数须逐次不增加",IF(Q869&gt;F869,"违规：止损风险超过本次预算","通过")))))))))))))))</f>
        <v/>
      </c>
    </row>
    <row r="870" ht="17" spans="1:18">
      <c r="A870" s="13"/>
      <c r="B870" s="14"/>
      <c r="C870" s="15"/>
      <c r="D870" s="16"/>
      <c r="E870" s="16"/>
      <c r="F870" s="16"/>
      <c r="G870" s="14"/>
      <c r="H870" s="17" t="str">
        <f t="shared" si="104"/>
        <v/>
      </c>
      <c r="I870" s="18" t="str">
        <f>IF(OR(A870="",B870=""),"",IFERROR(LOOKUP(2,1/(单次交易!$A$2:$A$201=A870),单次交易!$H$2:$H$201),0)+SUMIFS($G$2:$G$1001,$A$2:$A$1001,A870,$B$2:$B$1001,"&lt;"&amp;B870))</f>
        <v/>
      </c>
      <c r="J870" s="17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17" t="str">
        <f t="shared" si="105"/>
        <v/>
      </c>
      <c r="L870" s="18" t="str">
        <f t="shared" si="106"/>
        <v/>
      </c>
      <c r="M870" s="18" t="str">
        <f t="shared" si="107"/>
        <v/>
      </c>
      <c r="N870" s="18" t="str">
        <f t="shared" si="108"/>
        <v/>
      </c>
      <c r="O870" s="18" t="str">
        <f t="shared" si="109"/>
        <v/>
      </c>
      <c r="P870" s="17" t="str">
        <f t="shared" si="110"/>
        <v/>
      </c>
      <c r="Q870" s="17" t="str">
        <f t="shared" si="111"/>
        <v/>
      </c>
      <c r="R870" s="19" t="str">
        <f ca="1">IF(A870="","",IF(COUNTIF(_TradeIds,A870)=0,"违规：交易编号不存在",IF(OR(B870="",B870&lt;1,B870&gt;5,B870&lt;&gt;INT(B870)),"违规：加仓序号须为1到5的整数",IF(COUNTIFS($A$2:$A$1001,A870,$B$2:$B$1001,B870)&gt;1,"违规：同一交易的加仓序号重复",IF(OR(D870="",E870="",F870=""),"计划不完整：请填写加仓价、新止损价和风险预算",IF(OR(D870&lt;=0,E870&lt;=0,F870&lt;=0,D870&lt;=E870),"违规：加仓价必须高于新止损价，金额须大于0",IF(AND(B870&gt;1,COUNTIFS($A$2:$A$1001,A870,$B$2:$B$1001,B870-1,$G$2:$G$1001,"&gt;0")=0),"违规：须先完成上一次加仓",IF(AND(B870&gt;1,E870&lt;SUMIFS($E$2:$E$1001,$A$2:$A$1001,A870,$B$2:$B$1001,B870-1)),"违规：新止损价不得低于上一次",IF(AND(B870&gt;1,F870&gt;SUMIFS($F$2:$F$1001,$A$2:$A$1001,A870,$B$2:$B$1001,B870-1)),"违规：风险预算须逐次不增加",IF(OR(_LockStatus="已锁仓",_LockStatus="解锁信息不完整"),"违规：锁仓期间禁止加仓",IF(G870="","计划可执行：建议股数见N列",IF(OR(G870&lt;=0,G870&lt;&gt;INT(G870),MOD(G870,100)&lt;&gt;0),"违规：实际股数须为100股整数倍",IF(G870&gt;N870,"违规：实际股数超过风险或金字塔上限",IF(AND(B870&gt;1,G870&gt;SUMIFS($G$2:$G$1001,$A$2:$A$1001,A870,$B$2:$B$1001,B870-1)),"违规：加仓股数须逐次不增加",IF(Q870&gt;F870,"违规：止损风险超过本次预算","通过")))))))))))))))</f>
        <v/>
      </c>
    </row>
    <row r="871" ht="17" spans="1:18">
      <c r="A871" s="13"/>
      <c r="B871" s="14"/>
      <c r="C871" s="15"/>
      <c r="D871" s="16"/>
      <c r="E871" s="16"/>
      <c r="F871" s="16"/>
      <c r="G871" s="14"/>
      <c r="H871" s="17" t="str">
        <f t="shared" si="104"/>
        <v/>
      </c>
      <c r="I871" s="18" t="str">
        <f>IF(OR(A871="",B871=""),"",IFERROR(LOOKUP(2,1/(单次交易!$A$2:$A$201=A871),单次交易!$H$2:$H$201),0)+SUMIFS($G$2:$G$1001,$A$2:$A$1001,A871,$B$2:$B$1001,"&lt;"&amp;B871))</f>
        <v/>
      </c>
      <c r="J871" s="17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17" t="str">
        <f t="shared" si="105"/>
        <v/>
      </c>
      <c r="L871" s="18" t="str">
        <f t="shared" si="106"/>
        <v/>
      </c>
      <c r="M871" s="18" t="str">
        <f t="shared" si="107"/>
        <v/>
      </c>
      <c r="N871" s="18" t="str">
        <f t="shared" si="108"/>
        <v/>
      </c>
      <c r="O871" s="18" t="str">
        <f t="shared" si="109"/>
        <v/>
      </c>
      <c r="P871" s="17" t="str">
        <f t="shared" si="110"/>
        <v/>
      </c>
      <c r="Q871" s="17" t="str">
        <f t="shared" si="111"/>
        <v/>
      </c>
      <c r="R871" s="19" t="str">
        <f ca="1">IF(A871="","",IF(COUNTIF(_TradeIds,A871)=0,"违规：交易编号不存在",IF(OR(B871="",B871&lt;1,B871&gt;5,B871&lt;&gt;INT(B871)),"违规：加仓序号须为1到5的整数",IF(COUNTIFS($A$2:$A$1001,A871,$B$2:$B$1001,B871)&gt;1,"违规：同一交易的加仓序号重复",IF(OR(D871="",E871="",F871=""),"计划不完整：请填写加仓价、新止损价和风险预算",IF(OR(D871&lt;=0,E871&lt;=0,F871&lt;=0,D871&lt;=E871),"违规：加仓价必须高于新止损价，金额须大于0",IF(AND(B871&gt;1,COUNTIFS($A$2:$A$1001,A871,$B$2:$B$1001,B871-1,$G$2:$G$1001,"&gt;0")=0),"违规：须先完成上一次加仓",IF(AND(B871&gt;1,E871&lt;SUMIFS($E$2:$E$1001,$A$2:$A$1001,A871,$B$2:$B$1001,B871-1)),"违规：新止损价不得低于上一次",IF(AND(B871&gt;1,F871&gt;SUMIFS($F$2:$F$1001,$A$2:$A$1001,A871,$B$2:$B$1001,B871-1)),"违规：风险预算须逐次不增加",IF(OR(_LockStatus="已锁仓",_LockStatus="解锁信息不完整"),"违规：锁仓期间禁止加仓",IF(G871="","计划可执行：建议股数见N列",IF(OR(G871&lt;=0,G871&lt;&gt;INT(G871),MOD(G871,100)&lt;&gt;0),"违规：实际股数须为100股整数倍",IF(G871&gt;N871,"违规：实际股数超过风险或金字塔上限",IF(AND(B871&gt;1,G871&gt;SUMIFS($G$2:$G$1001,$A$2:$A$1001,A871,$B$2:$B$1001,B871-1)),"违规：加仓股数须逐次不增加",IF(Q871&gt;F871,"违规：止损风险超过本次预算","通过")))))))))))))))</f>
        <v/>
      </c>
    </row>
    <row r="872" ht="17" spans="1:18">
      <c r="A872" s="13"/>
      <c r="B872" s="14"/>
      <c r="C872" s="15"/>
      <c r="D872" s="16"/>
      <c r="E872" s="16"/>
      <c r="F872" s="16"/>
      <c r="G872" s="14"/>
      <c r="H872" s="17" t="str">
        <f t="shared" si="104"/>
        <v/>
      </c>
      <c r="I872" s="18" t="str">
        <f>IF(OR(A872="",B872=""),"",IFERROR(LOOKUP(2,1/(单次交易!$A$2:$A$201=A872),单次交易!$H$2:$H$201),0)+SUMIFS($G$2:$G$1001,$A$2:$A$1001,A872,$B$2:$B$1001,"&lt;"&amp;B872))</f>
        <v/>
      </c>
      <c r="J872" s="17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17" t="str">
        <f t="shared" si="105"/>
        <v/>
      </c>
      <c r="L872" s="18" t="str">
        <f t="shared" si="106"/>
        <v/>
      </c>
      <c r="M872" s="18" t="str">
        <f t="shared" si="107"/>
        <v/>
      </c>
      <c r="N872" s="18" t="str">
        <f t="shared" si="108"/>
        <v/>
      </c>
      <c r="O872" s="18" t="str">
        <f t="shared" si="109"/>
        <v/>
      </c>
      <c r="P872" s="17" t="str">
        <f t="shared" si="110"/>
        <v/>
      </c>
      <c r="Q872" s="17" t="str">
        <f t="shared" si="111"/>
        <v/>
      </c>
      <c r="R872" s="19" t="str">
        <f ca="1">IF(A872="","",IF(COUNTIF(_TradeIds,A872)=0,"违规：交易编号不存在",IF(OR(B872="",B872&lt;1,B872&gt;5,B872&lt;&gt;INT(B872)),"违规：加仓序号须为1到5的整数",IF(COUNTIFS($A$2:$A$1001,A872,$B$2:$B$1001,B872)&gt;1,"违规：同一交易的加仓序号重复",IF(OR(D872="",E872="",F872=""),"计划不完整：请填写加仓价、新止损价和风险预算",IF(OR(D872&lt;=0,E872&lt;=0,F872&lt;=0,D872&lt;=E872),"违规：加仓价必须高于新止损价，金额须大于0",IF(AND(B872&gt;1,COUNTIFS($A$2:$A$1001,A872,$B$2:$B$1001,B872-1,$G$2:$G$1001,"&gt;0")=0),"违规：须先完成上一次加仓",IF(AND(B872&gt;1,E872&lt;SUMIFS($E$2:$E$1001,$A$2:$A$1001,A872,$B$2:$B$1001,B872-1)),"违规：新止损价不得低于上一次",IF(AND(B872&gt;1,F872&gt;SUMIFS($F$2:$F$1001,$A$2:$A$1001,A872,$B$2:$B$1001,B872-1)),"违规：风险预算须逐次不增加",IF(OR(_LockStatus="已锁仓",_LockStatus="解锁信息不完整"),"违规：锁仓期间禁止加仓",IF(G872="","计划可执行：建议股数见N列",IF(OR(G872&lt;=0,G872&lt;&gt;INT(G872),MOD(G872,100)&lt;&gt;0),"违规：实际股数须为100股整数倍",IF(G872&gt;N872,"违规：实际股数超过风险或金字塔上限",IF(AND(B872&gt;1,G872&gt;SUMIFS($G$2:$G$1001,$A$2:$A$1001,A872,$B$2:$B$1001,B872-1)),"违规：加仓股数须逐次不增加",IF(Q872&gt;F872,"违规：止损风险超过本次预算","通过")))))))))))))))</f>
        <v/>
      </c>
    </row>
    <row r="873" ht="17" spans="1:18">
      <c r="A873" s="13"/>
      <c r="B873" s="14"/>
      <c r="C873" s="15"/>
      <c r="D873" s="16"/>
      <c r="E873" s="16"/>
      <c r="F873" s="16"/>
      <c r="G873" s="14"/>
      <c r="H873" s="17" t="str">
        <f t="shared" si="104"/>
        <v/>
      </c>
      <c r="I873" s="18" t="str">
        <f>IF(OR(A873="",B873=""),"",IFERROR(LOOKUP(2,1/(单次交易!$A$2:$A$201=A873),单次交易!$H$2:$H$201),0)+SUMIFS($G$2:$G$1001,$A$2:$A$1001,A873,$B$2:$B$1001,"&lt;"&amp;B873))</f>
        <v/>
      </c>
      <c r="J873" s="17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17" t="str">
        <f t="shared" si="105"/>
        <v/>
      </c>
      <c r="L873" s="18" t="str">
        <f t="shared" si="106"/>
        <v/>
      </c>
      <c r="M873" s="18" t="str">
        <f t="shared" si="107"/>
        <v/>
      </c>
      <c r="N873" s="18" t="str">
        <f t="shared" si="108"/>
        <v/>
      </c>
      <c r="O873" s="18" t="str">
        <f t="shared" si="109"/>
        <v/>
      </c>
      <c r="P873" s="17" t="str">
        <f t="shared" si="110"/>
        <v/>
      </c>
      <c r="Q873" s="17" t="str">
        <f t="shared" si="111"/>
        <v/>
      </c>
      <c r="R873" s="19" t="str">
        <f ca="1">IF(A873="","",IF(COUNTIF(_TradeIds,A873)=0,"违规：交易编号不存在",IF(OR(B873="",B873&lt;1,B873&gt;5,B873&lt;&gt;INT(B873)),"违规：加仓序号须为1到5的整数",IF(COUNTIFS($A$2:$A$1001,A873,$B$2:$B$1001,B873)&gt;1,"违规：同一交易的加仓序号重复",IF(OR(D873="",E873="",F873=""),"计划不完整：请填写加仓价、新止损价和风险预算",IF(OR(D873&lt;=0,E873&lt;=0,F873&lt;=0,D873&lt;=E873),"违规：加仓价必须高于新止损价，金额须大于0",IF(AND(B873&gt;1,COUNTIFS($A$2:$A$1001,A873,$B$2:$B$1001,B873-1,$G$2:$G$1001,"&gt;0")=0),"违规：须先完成上一次加仓",IF(AND(B873&gt;1,E873&lt;SUMIFS($E$2:$E$1001,$A$2:$A$1001,A873,$B$2:$B$1001,B873-1)),"违规：新止损价不得低于上一次",IF(AND(B873&gt;1,F873&gt;SUMIFS($F$2:$F$1001,$A$2:$A$1001,A873,$B$2:$B$1001,B873-1)),"违规：风险预算须逐次不增加",IF(OR(_LockStatus="已锁仓",_LockStatus="解锁信息不完整"),"违规：锁仓期间禁止加仓",IF(G873="","计划可执行：建议股数见N列",IF(OR(G873&lt;=0,G873&lt;&gt;INT(G873),MOD(G873,100)&lt;&gt;0),"违规：实际股数须为100股整数倍",IF(G873&gt;N873,"违规：实际股数超过风险或金字塔上限",IF(AND(B873&gt;1,G873&gt;SUMIFS($G$2:$G$1001,$A$2:$A$1001,A873,$B$2:$B$1001,B873-1)),"违规：加仓股数须逐次不增加",IF(Q873&gt;F873,"违规：止损风险超过本次预算","通过")))))))))))))))</f>
        <v/>
      </c>
    </row>
    <row r="874" ht="17" spans="1:18">
      <c r="A874" s="13"/>
      <c r="B874" s="14"/>
      <c r="C874" s="15"/>
      <c r="D874" s="16"/>
      <c r="E874" s="16"/>
      <c r="F874" s="16"/>
      <c r="G874" s="14"/>
      <c r="H874" s="17" t="str">
        <f t="shared" si="104"/>
        <v/>
      </c>
      <c r="I874" s="18" t="str">
        <f>IF(OR(A874="",B874=""),"",IFERROR(LOOKUP(2,1/(单次交易!$A$2:$A$201=A874),单次交易!$H$2:$H$201),0)+SUMIFS($G$2:$G$1001,$A$2:$A$1001,A874,$B$2:$B$1001,"&lt;"&amp;B874))</f>
        <v/>
      </c>
      <c r="J874" s="17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17" t="str">
        <f t="shared" si="105"/>
        <v/>
      </c>
      <c r="L874" s="18" t="str">
        <f t="shared" si="106"/>
        <v/>
      </c>
      <c r="M874" s="18" t="str">
        <f t="shared" si="107"/>
        <v/>
      </c>
      <c r="N874" s="18" t="str">
        <f t="shared" si="108"/>
        <v/>
      </c>
      <c r="O874" s="18" t="str">
        <f t="shared" si="109"/>
        <v/>
      </c>
      <c r="P874" s="17" t="str">
        <f t="shared" si="110"/>
        <v/>
      </c>
      <c r="Q874" s="17" t="str">
        <f t="shared" si="111"/>
        <v/>
      </c>
      <c r="R874" s="19" t="str">
        <f ca="1">IF(A874="","",IF(COUNTIF(_TradeIds,A874)=0,"违规：交易编号不存在",IF(OR(B874="",B874&lt;1,B874&gt;5,B874&lt;&gt;INT(B874)),"违规：加仓序号须为1到5的整数",IF(COUNTIFS($A$2:$A$1001,A874,$B$2:$B$1001,B874)&gt;1,"违规：同一交易的加仓序号重复",IF(OR(D874="",E874="",F874=""),"计划不完整：请填写加仓价、新止损价和风险预算",IF(OR(D874&lt;=0,E874&lt;=0,F874&lt;=0,D874&lt;=E874),"违规：加仓价必须高于新止损价，金额须大于0",IF(AND(B874&gt;1,COUNTIFS($A$2:$A$1001,A874,$B$2:$B$1001,B874-1,$G$2:$G$1001,"&gt;0")=0),"违规：须先完成上一次加仓",IF(AND(B874&gt;1,E874&lt;SUMIFS($E$2:$E$1001,$A$2:$A$1001,A874,$B$2:$B$1001,B874-1)),"违规：新止损价不得低于上一次",IF(AND(B874&gt;1,F874&gt;SUMIFS($F$2:$F$1001,$A$2:$A$1001,A874,$B$2:$B$1001,B874-1)),"违规：风险预算须逐次不增加",IF(OR(_LockStatus="已锁仓",_LockStatus="解锁信息不完整"),"违规：锁仓期间禁止加仓",IF(G874="","计划可执行：建议股数见N列",IF(OR(G874&lt;=0,G874&lt;&gt;INT(G874),MOD(G874,100)&lt;&gt;0),"违规：实际股数须为100股整数倍",IF(G874&gt;N874,"违规：实际股数超过风险或金字塔上限",IF(AND(B874&gt;1,G874&gt;SUMIFS($G$2:$G$1001,$A$2:$A$1001,A874,$B$2:$B$1001,B874-1)),"违规：加仓股数须逐次不增加",IF(Q874&gt;F874,"违规：止损风险超过本次预算","通过")))))))))))))))</f>
        <v/>
      </c>
    </row>
    <row r="875" ht="17" spans="1:18">
      <c r="A875" s="13"/>
      <c r="B875" s="14"/>
      <c r="C875" s="15"/>
      <c r="D875" s="16"/>
      <c r="E875" s="16"/>
      <c r="F875" s="16"/>
      <c r="G875" s="14"/>
      <c r="H875" s="17" t="str">
        <f t="shared" si="104"/>
        <v/>
      </c>
      <c r="I875" s="18" t="str">
        <f>IF(OR(A875="",B875=""),"",IFERROR(LOOKUP(2,1/(单次交易!$A$2:$A$201=A875),单次交易!$H$2:$H$201),0)+SUMIFS($G$2:$G$1001,$A$2:$A$1001,A875,$B$2:$B$1001,"&lt;"&amp;B875))</f>
        <v/>
      </c>
      <c r="J875" s="17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17" t="str">
        <f t="shared" si="105"/>
        <v/>
      </c>
      <c r="L875" s="18" t="str">
        <f t="shared" si="106"/>
        <v/>
      </c>
      <c r="M875" s="18" t="str">
        <f t="shared" si="107"/>
        <v/>
      </c>
      <c r="N875" s="18" t="str">
        <f t="shared" si="108"/>
        <v/>
      </c>
      <c r="O875" s="18" t="str">
        <f t="shared" si="109"/>
        <v/>
      </c>
      <c r="P875" s="17" t="str">
        <f t="shared" si="110"/>
        <v/>
      </c>
      <c r="Q875" s="17" t="str">
        <f t="shared" si="111"/>
        <v/>
      </c>
      <c r="R875" s="19" t="str">
        <f ca="1">IF(A875="","",IF(COUNTIF(_TradeIds,A875)=0,"违规：交易编号不存在",IF(OR(B875="",B875&lt;1,B875&gt;5,B875&lt;&gt;INT(B875)),"违规：加仓序号须为1到5的整数",IF(COUNTIFS($A$2:$A$1001,A875,$B$2:$B$1001,B875)&gt;1,"违规：同一交易的加仓序号重复",IF(OR(D875="",E875="",F875=""),"计划不完整：请填写加仓价、新止损价和风险预算",IF(OR(D875&lt;=0,E875&lt;=0,F875&lt;=0,D875&lt;=E875),"违规：加仓价必须高于新止损价，金额须大于0",IF(AND(B875&gt;1,COUNTIFS($A$2:$A$1001,A875,$B$2:$B$1001,B875-1,$G$2:$G$1001,"&gt;0")=0),"违规：须先完成上一次加仓",IF(AND(B875&gt;1,E875&lt;SUMIFS($E$2:$E$1001,$A$2:$A$1001,A875,$B$2:$B$1001,B875-1)),"违规：新止损价不得低于上一次",IF(AND(B875&gt;1,F875&gt;SUMIFS($F$2:$F$1001,$A$2:$A$1001,A875,$B$2:$B$1001,B875-1)),"违规：风险预算须逐次不增加",IF(OR(_LockStatus="已锁仓",_LockStatus="解锁信息不完整"),"违规：锁仓期间禁止加仓",IF(G875="","计划可执行：建议股数见N列",IF(OR(G875&lt;=0,G875&lt;&gt;INT(G875),MOD(G875,100)&lt;&gt;0),"违规：实际股数须为100股整数倍",IF(G875&gt;N875,"违规：实际股数超过风险或金字塔上限",IF(AND(B875&gt;1,G875&gt;SUMIFS($G$2:$G$1001,$A$2:$A$1001,A875,$B$2:$B$1001,B875-1)),"违规：加仓股数须逐次不增加",IF(Q875&gt;F875,"违规：止损风险超过本次预算","通过")))))))))))))))</f>
        <v/>
      </c>
    </row>
    <row r="876" ht="17" spans="1:18">
      <c r="A876" s="13"/>
      <c r="B876" s="14"/>
      <c r="C876" s="15"/>
      <c r="D876" s="16"/>
      <c r="E876" s="16"/>
      <c r="F876" s="16"/>
      <c r="G876" s="14"/>
      <c r="H876" s="17" t="str">
        <f t="shared" si="104"/>
        <v/>
      </c>
      <c r="I876" s="18" t="str">
        <f>IF(OR(A876="",B876=""),"",IFERROR(LOOKUP(2,1/(单次交易!$A$2:$A$201=A876),单次交易!$H$2:$H$201),0)+SUMIFS($G$2:$G$1001,$A$2:$A$1001,A876,$B$2:$B$1001,"&lt;"&amp;B876))</f>
        <v/>
      </c>
      <c r="J876" s="17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17" t="str">
        <f t="shared" si="105"/>
        <v/>
      </c>
      <c r="L876" s="18" t="str">
        <f t="shared" si="106"/>
        <v/>
      </c>
      <c r="M876" s="18" t="str">
        <f t="shared" si="107"/>
        <v/>
      </c>
      <c r="N876" s="18" t="str">
        <f t="shared" si="108"/>
        <v/>
      </c>
      <c r="O876" s="18" t="str">
        <f t="shared" si="109"/>
        <v/>
      </c>
      <c r="P876" s="17" t="str">
        <f t="shared" si="110"/>
        <v/>
      </c>
      <c r="Q876" s="17" t="str">
        <f t="shared" si="111"/>
        <v/>
      </c>
      <c r="R876" s="19" t="str">
        <f ca="1">IF(A876="","",IF(COUNTIF(_TradeIds,A876)=0,"违规：交易编号不存在",IF(OR(B876="",B876&lt;1,B876&gt;5,B876&lt;&gt;INT(B876)),"违规：加仓序号须为1到5的整数",IF(COUNTIFS($A$2:$A$1001,A876,$B$2:$B$1001,B876)&gt;1,"违规：同一交易的加仓序号重复",IF(OR(D876="",E876="",F876=""),"计划不完整：请填写加仓价、新止损价和风险预算",IF(OR(D876&lt;=0,E876&lt;=0,F876&lt;=0,D876&lt;=E876),"违规：加仓价必须高于新止损价，金额须大于0",IF(AND(B876&gt;1,COUNTIFS($A$2:$A$1001,A876,$B$2:$B$1001,B876-1,$G$2:$G$1001,"&gt;0")=0),"违规：须先完成上一次加仓",IF(AND(B876&gt;1,E876&lt;SUMIFS($E$2:$E$1001,$A$2:$A$1001,A876,$B$2:$B$1001,B876-1)),"违规：新止损价不得低于上一次",IF(AND(B876&gt;1,F876&gt;SUMIFS($F$2:$F$1001,$A$2:$A$1001,A876,$B$2:$B$1001,B876-1)),"违规：风险预算须逐次不增加",IF(OR(_LockStatus="已锁仓",_LockStatus="解锁信息不完整"),"违规：锁仓期间禁止加仓",IF(G876="","计划可执行：建议股数见N列",IF(OR(G876&lt;=0,G876&lt;&gt;INT(G876),MOD(G876,100)&lt;&gt;0),"违规：实际股数须为100股整数倍",IF(G876&gt;N876,"违规：实际股数超过风险或金字塔上限",IF(AND(B876&gt;1,G876&gt;SUMIFS($G$2:$G$1001,$A$2:$A$1001,A876,$B$2:$B$1001,B876-1)),"违规：加仓股数须逐次不增加",IF(Q876&gt;F876,"违规：止损风险超过本次预算","通过")))))))))))))))</f>
        <v/>
      </c>
    </row>
    <row r="877" ht="17" spans="1:18">
      <c r="A877" s="13"/>
      <c r="B877" s="14"/>
      <c r="C877" s="15"/>
      <c r="D877" s="16"/>
      <c r="E877" s="16"/>
      <c r="F877" s="16"/>
      <c r="G877" s="14"/>
      <c r="H877" s="17" t="str">
        <f t="shared" si="104"/>
        <v/>
      </c>
      <c r="I877" s="18" t="str">
        <f>IF(OR(A877="",B877=""),"",IFERROR(LOOKUP(2,1/(单次交易!$A$2:$A$201=A877),单次交易!$H$2:$H$201),0)+SUMIFS($G$2:$G$1001,$A$2:$A$1001,A877,$B$2:$B$1001,"&lt;"&amp;B877))</f>
        <v/>
      </c>
      <c r="J877" s="17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17" t="str">
        <f t="shared" si="105"/>
        <v/>
      </c>
      <c r="L877" s="18" t="str">
        <f t="shared" si="106"/>
        <v/>
      </c>
      <c r="M877" s="18" t="str">
        <f t="shared" si="107"/>
        <v/>
      </c>
      <c r="N877" s="18" t="str">
        <f t="shared" si="108"/>
        <v/>
      </c>
      <c r="O877" s="18" t="str">
        <f t="shared" si="109"/>
        <v/>
      </c>
      <c r="P877" s="17" t="str">
        <f t="shared" si="110"/>
        <v/>
      </c>
      <c r="Q877" s="17" t="str">
        <f t="shared" si="111"/>
        <v/>
      </c>
      <c r="R877" s="19" t="str">
        <f ca="1">IF(A877="","",IF(COUNTIF(_TradeIds,A877)=0,"违规：交易编号不存在",IF(OR(B877="",B877&lt;1,B877&gt;5,B877&lt;&gt;INT(B877)),"违规：加仓序号须为1到5的整数",IF(COUNTIFS($A$2:$A$1001,A877,$B$2:$B$1001,B877)&gt;1,"违规：同一交易的加仓序号重复",IF(OR(D877="",E877="",F877=""),"计划不完整：请填写加仓价、新止损价和风险预算",IF(OR(D877&lt;=0,E877&lt;=0,F877&lt;=0,D877&lt;=E877),"违规：加仓价必须高于新止损价，金额须大于0",IF(AND(B877&gt;1,COUNTIFS($A$2:$A$1001,A877,$B$2:$B$1001,B877-1,$G$2:$G$1001,"&gt;0")=0),"违规：须先完成上一次加仓",IF(AND(B877&gt;1,E877&lt;SUMIFS($E$2:$E$1001,$A$2:$A$1001,A877,$B$2:$B$1001,B877-1)),"违规：新止损价不得低于上一次",IF(AND(B877&gt;1,F877&gt;SUMIFS($F$2:$F$1001,$A$2:$A$1001,A877,$B$2:$B$1001,B877-1)),"违规：风险预算须逐次不增加",IF(OR(_LockStatus="已锁仓",_LockStatus="解锁信息不完整"),"违规：锁仓期间禁止加仓",IF(G877="","计划可执行：建议股数见N列",IF(OR(G877&lt;=0,G877&lt;&gt;INT(G877),MOD(G877,100)&lt;&gt;0),"违规：实际股数须为100股整数倍",IF(G877&gt;N877,"违规：实际股数超过风险或金字塔上限",IF(AND(B877&gt;1,G877&gt;SUMIFS($G$2:$G$1001,$A$2:$A$1001,A877,$B$2:$B$1001,B877-1)),"违规：加仓股数须逐次不增加",IF(Q877&gt;F877,"违规：止损风险超过本次预算","通过")))))))))))))))</f>
        <v/>
      </c>
    </row>
    <row r="878" ht="17" spans="1:18">
      <c r="A878" s="13"/>
      <c r="B878" s="14"/>
      <c r="C878" s="15"/>
      <c r="D878" s="16"/>
      <c r="E878" s="16"/>
      <c r="F878" s="16"/>
      <c r="G878" s="14"/>
      <c r="H878" s="17" t="str">
        <f t="shared" si="104"/>
        <v/>
      </c>
      <c r="I878" s="18" t="str">
        <f>IF(OR(A878="",B878=""),"",IFERROR(LOOKUP(2,1/(单次交易!$A$2:$A$201=A878),单次交易!$H$2:$H$201),0)+SUMIFS($G$2:$G$1001,$A$2:$A$1001,A878,$B$2:$B$1001,"&lt;"&amp;B878))</f>
        <v/>
      </c>
      <c r="J878" s="17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17" t="str">
        <f t="shared" si="105"/>
        <v/>
      </c>
      <c r="L878" s="18" t="str">
        <f t="shared" si="106"/>
        <v/>
      </c>
      <c r="M878" s="18" t="str">
        <f t="shared" si="107"/>
        <v/>
      </c>
      <c r="N878" s="18" t="str">
        <f t="shared" si="108"/>
        <v/>
      </c>
      <c r="O878" s="18" t="str">
        <f t="shared" si="109"/>
        <v/>
      </c>
      <c r="P878" s="17" t="str">
        <f t="shared" si="110"/>
        <v/>
      </c>
      <c r="Q878" s="17" t="str">
        <f t="shared" si="111"/>
        <v/>
      </c>
      <c r="R878" s="19" t="str">
        <f ca="1">IF(A878="","",IF(COUNTIF(_TradeIds,A878)=0,"违规：交易编号不存在",IF(OR(B878="",B878&lt;1,B878&gt;5,B878&lt;&gt;INT(B878)),"违规：加仓序号须为1到5的整数",IF(COUNTIFS($A$2:$A$1001,A878,$B$2:$B$1001,B878)&gt;1,"违规：同一交易的加仓序号重复",IF(OR(D878="",E878="",F878=""),"计划不完整：请填写加仓价、新止损价和风险预算",IF(OR(D878&lt;=0,E878&lt;=0,F878&lt;=0,D878&lt;=E878),"违规：加仓价必须高于新止损价，金额须大于0",IF(AND(B878&gt;1,COUNTIFS($A$2:$A$1001,A878,$B$2:$B$1001,B878-1,$G$2:$G$1001,"&gt;0")=0),"违规：须先完成上一次加仓",IF(AND(B878&gt;1,E878&lt;SUMIFS($E$2:$E$1001,$A$2:$A$1001,A878,$B$2:$B$1001,B878-1)),"违规：新止损价不得低于上一次",IF(AND(B878&gt;1,F878&gt;SUMIFS($F$2:$F$1001,$A$2:$A$1001,A878,$B$2:$B$1001,B878-1)),"违规：风险预算须逐次不增加",IF(OR(_LockStatus="已锁仓",_LockStatus="解锁信息不完整"),"违规：锁仓期间禁止加仓",IF(G878="","计划可执行：建议股数见N列",IF(OR(G878&lt;=0,G878&lt;&gt;INT(G878),MOD(G878,100)&lt;&gt;0),"违规：实际股数须为100股整数倍",IF(G878&gt;N878,"违规：实际股数超过风险或金字塔上限",IF(AND(B878&gt;1,G878&gt;SUMIFS($G$2:$G$1001,$A$2:$A$1001,A878,$B$2:$B$1001,B878-1)),"违规：加仓股数须逐次不增加",IF(Q878&gt;F878,"违规：止损风险超过本次预算","通过")))))))))))))))</f>
        <v/>
      </c>
    </row>
    <row r="879" ht="17" spans="1:18">
      <c r="A879" s="13"/>
      <c r="B879" s="14"/>
      <c r="C879" s="15"/>
      <c r="D879" s="16"/>
      <c r="E879" s="16"/>
      <c r="F879" s="16"/>
      <c r="G879" s="14"/>
      <c r="H879" s="17" t="str">
        <f t="shared" si="104"/>
        <v/>
      </c>
      <c r="I879" s="18" t="str">
        <f>IF(OR(A879="",B879=""),"",IFERROR(LOOKUP(2,1/(单次交易!$A$2:$A$201=A879),单次交易!$H$2:$H$201),0)+SUMIFS($G$2:$G$1001,$A$2:$A$1001,A879,$B$2:$B$1001,"&lt;"&amp;B879))</f>
        <v/>
      </c>
      <c r="J879" s="17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17" t="str">
        <f t="shared" si="105"/>
        <v/>
      </c>
      <c r="L879" s="18" t="str">
        <f t="shared" si="106"/>
        <v/>
      </c>
      <c r="M879" s="18" t="str">
        <f t="shared" si="107"/>
        <v/>
      </c>
      <c r="N879" s="18" t="str">
        <f t="shared" si="108"/>
        <v/>
      </c>
      <c r="O879" s="18" t="str">
        <f t="shared" si="109"/>
        <v/>
      </c>
      <c r="P879" s="17" t="str">
        <f t="shared" si="110"/>
        <v/>
      </c>
      <c r="Q879" s="17" t="str">
        <f t="shared" si="111"/>
        <v/>
      </c>
      <c r="R879" s="19" t="str">
        <f ca="1">IF(A879="","",IF(COUNTIF(_TradeIds,A879)=0,"违规：交易编号不存在",IF(OR(B879="",B879&lt;1,B879&gt;5,B879&lt;&gt;INT(B879)),"违规：加仓序号须为1到5的整数",IF(COUNTIFS($A$2:$A$1001,A879,$B$2:$B$1001,B879)&gt;1,"违规：同一交易的加仓序号重复",IF(OR(D879="",E879="",F879=""),"计划不完整：请填写加仓价、新止损价和风险预算",IF(OR(D879&lt;=0,E879&lt;=0,F879&lt;=0,D879&lt;=E879),"违规：加仓价必须高于新止损价，金额须大于0",IF(AND(B879&gt;1,COUNTIFS($A$2:$A$1001,A879,$B$2:$B$1001,B879-1,$G$2:$G$1001,"&gt;0")=0),"违规：须先完成上一次加仓",IF(AND(B879&gt;1,E879&lt;SUMIFS($E$2:$E$1001,$A$2:$A$1001,A879,$B$2:$B$1001,B879-1)),"违规：新止损价不得低于上一次",IF(AND(B879&gt;1,F879&gt;SUMIFS($F$2:$F$1001,$A$2:$A$1001,A879,$B$2:$B$1001,B879-1)),"违规：风险预算须逐次不增加",IF(OR(_LockStatus="已锁仓",_LockStatus="解锁信息不完整"),"违规：锁仓期间禁止加仓",IF(G879="","计划可执行：建议股数见N列",IF(OR(G879&lt;=0,G879&lt;&gt;INT(G879),MOD(G879,100)&lt;&gt;0),"违规：实际股数须为100股整数倍",IF(G879&gt;N879,"违规：实际股数超过风险或金字塔上限",IF(AND(B879&gt;1,G879&gt;SUMIFS($G$2:$G$1001,$A$2:$A$1001,A879,$B$2:$B$1001,B879-1)),"违规：加仓股数须逐次不增加",IF(Q879&gt;F879,"违规：止损风险超过本次预算","通过")))))))))))))))</f>
        <v/>
      </c>
    </row>
    <row r="880" ht="17" spans="1:18">
      <c r="A880" s="13"/>
      <c r="B880" s="14"/>
      <c r="C880" s="15"/>
      <c r="D880" s="16"/>
      <c r="E880" s="16"/>
      <c r="F880" s="16"/>
      <c r="G880" s="14"/>
      <c r="H880" s="17" t="str">
        <f t="shared" si="104"/>
        <v/>
      </c>
      <c r="I880" s="18" t="str">
        <f>IF(OR(A880="",B880=""),"",IFERROR(LOOKUP(2,1/(单次交易!$A$2:$A$201=A880),单次交易!$H$2:$H$201),0)+SUMIFS($G$2:$G$1001,$A$2:$A$1001,A880,$B$2:$B$1001,"&lt;"&amp;B880))</f>
        <v/>
      </c>
      <c r="J880" s="17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17" t="str">
        <f t="shared" si="105"/>
        <v/>
      </c>
      <c r="L880" s="18" t="str">
        <f t="shared" si="106"/>
        <v/>
      </c>
      <c r="M880" s="18" t="str">
        <f t="shared" si="107"/>
        <v/>
      </c>
      <c r="N880" s="18" t="str">
        <f t="shared" si="108"/>
        <v/>
      </c>
      <c r="O880" s="18" t="str">
        <f t="shared" si="109"/>
        <v/>
      </c>
      <c r="P880" s="17" t="str">
        <f t="shared" si="110"/>
        <v/>
      </c>
      <c r="Q880" s="17" t="str">
        <f t="shared" si="111"/>
        <v/>
      </c>
      <c r="R880" s="19" t="str">
        <f ca="1">IF(A880="","",IF(COUNTIF(_TradeIds,A880)=0,"违规：交易编号不存在",IF(OR(B880="",B880&lt;1,B880&gt;5,B880&lt;&gt;INT(B880)),"违规：加仓序号须为1到5的整数",IF(COUNTIFS($A$2:$A$1001,A880,$B$2:$B$1001,B880)&gt;1,"违规：同一交易的加仓序号重复",IF(OR(D880="",E880="",F880=""),"计划不完整：请填写加仓价、新止损价和风险预算",IF(OR(D880&lt;=0,E880&lt;=0,F880&lt;=0,D880&lt;=E880),"违规：加仓价必须高于新止损价，金额须大于0",IF(AND(B880&gt;1,COUNTIFS($A$2:$A$1001,A880,$B$2:$B$1001,B880-1,$G$2:$G$1001,"&gt;0")=0),"违规：须先完成上一次加仓",IF(AND(B880&gt;1,E880&lt;SUMIFS($E$2:$E$1001,$A$2:$A$1001,A880,$B$2:$B$1001,B880-1)),"违规：新止损价不得低于上一次",IF(AND(B880&gt;1,F880&gt;SUMIFS($F$2:$F$1001,$A$2:$A$1001,A880,$B$2:$B$1001,B880-1)),"违规：风险预算须逐次不增加",IF(OR(_LockStatus="已锁仓",_LockStatus="解锁信息不完整"),"违规：锁仓期间禁止加仓",IF(G880="","计划可执行：建议股数见N列",IF(OR(G880&lt;=0,G880&lt;&gt;INT(G880),MOD(G880,100)&lt;&gt;0),"违规：实际股数须为100股整数倍",IF(G880&gt;N880,"违规：实际股数超过风险或金字塔上限",IF(AND(B880&gt;1,G880&gt;SUMIFS($G$2:$G$1001,$A$2:$A$1001,A880,$B$2:$B$1001,B880-1)),"违规：加仓股数须逐次不增加",IF(Q880&gt;F880,"违规：止损风险超过本次预算","通过")))))))))))))))</f>
        <v/>
      </c>
    </row>
    <row r="881" ht="17" spans="1:18">
      <c r="A881" s="13"/>
      <c r="B881" s="14"/>
      <c r="C881" s="15"/>
      <c r="D881" s="16"/>
      <c r="E881" s="16"/>
      <c r="F881" s="16"/>
      <c r="G881" s="14"/>
      <c r="H881" s="17" t="str">
        <f t="shared" si="104"/>
        <v/>
      </c>
      <c r="I881" s="18" t="str">
        <f>IF(OR(A881="",B881=""),"",IFERROR(LOOKUP(2,1/(单次交易!$A$2:$A$201=A881),单次交易!$H$2:$H$201),0)+SUMIFS($G$2:$G$1001,$A$2:$A$1001,A881,$B$2:$B$1001,"&lt;"&amp;B881))</f>
        <v/>
      </c>
      <c r="J881" s="17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17" t="str">
        <f t="shared" si="105"/>
        <v/>
      </c>
      <c r="L881" s="18" t="str">
        <f t="shared" si="106"/>
        <v/>
      </c>
      <c r="M881" s="18" t="str">
        <f t="shared" si="107"/>
        <v/>
      </c>
      <c r="N881" s="18" t="str">
        <f t="shared" si="108"/>
        <v/>
      </c>
      <c r="O881" s="18" t="str">
        <f t="shared" si="109"/>
        <v/>
      </c>
      <c r="P881" s="17" t="str">
        <f t="shared" si="110"/>
        <v/>
      </c>
      <c r="Q881" s="17" t="str">
        <f t="shared" si="111"/>
        <v/>
      </c>
      <c r="R881" s="19" t="str">
        <f ca="1">IF(A881="","",IF(COUNTIF(_TradeIds,A881)=0,"违规：交易编号不存在",IF(OR(B881="",B881&lt;1,B881&gt;5,B881&lt;&gt;INT(B881)),"违规：加仓序号须为1到5的整数",IF(COUNTIFS($A$2:$A$1001,A881,$B$2:$B$1001,B881)&gt;1,"违规：同一交易的加仓序号重复",IF(OR(D881="",E881="",F881=""),"计划不完整：请填写加仓价、新止损价和风险预算",IF(OR(D881&lt;=0,E881&lt;=0,F881&lt;=0,D881&lt;=E881),"违规：加仓价必须高于新止损价，金额须大于0",IF(AND(B881&gt;1,COUNTIFS($A$2:$A$1001,A881,$B$2:$B$1001,B881-1,$G$2:$G$1001,"&gt;0")=0),"违规：须先完成上一次加仓",IF(AND(B881&gt;1,E881&lt;SUMIFS($E$2:$E$1001,$A$2:$A$1001,A881,$B$2:$B$1001,B881-1)),"违规：新止损价不得低于上一次",IF(AND(B881&gt;1,F881&gt;SUMIFS($F$2:$F$1001,$A$2:$A$1001,A881,$B$2:$B$1001,B881-1)),"违规：风险预算须逐次不增加",IF(OR(_LockStatus="已锁仓",_LockStatus="解锁信息不完整"),"违规：锁仓期间禁止加仓",IF(G881="","计划可执行：建议股数见N列",IF(OR(G881&lt;=0,G881&lt;&gt;INT(G881),MOD(G881,100)&lt;&gt;0),"违规：实际股数须为100股整数倍",IF(G881&gt;N881,"违规：实际股数超过风险或金字塔上限",IF(AND(B881&gt;1,G881&gt;SUMIFS($G$2:$G$1001,$A$2:$A$1001,A881,$B$2:$B$1001,B881-1)),"违规：加仓股数须逐次不增加",IF(Q881&gt;F881,"违规：止损风险超过本次预算","通过")))))))))))))))</f>
        <v/>
      </c>
    </row>
    <row r="882" ht="17" spans="1:18">
      <c r="A882" s="13"/>
      <c r="B882" s="14"/>
      <c r="C882" s="15"/>
      <c r="D882" s="16"/>
      <c r="E882" s="16"/>
      <c r="F882" s="16"/>
      <c r="G882" s="14"/>
      <c r="H882" s="17" t="str">
        <f t="shared" si="104"/>
        <v/>
      </c>
      <c r="I882" s="18" t="str">
        <f>IF(OR(A882="",B882=""),"",IFERROR(LOOKUP(2,1/(单次交易!$A$2:$A$201=A882),单次交易!$H$2:$H$201),0)+SUMIFS($G$2:$G$1001,$A$2:$A$1001,A882,$B$2:$B$1001,"&lt;"&amp;B882))</f>
        <v/>
      </c>
      <c r="J882" s="17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17" t="str">
        <f t="shared" si="105"/>
        <v/>
      </c>
      <c r="L882" s="18" t="str">
        <f t="shared" si="106"/>
        <v/>
      </c>
      <c r="M882" s="18" t="str">
        <f t="shared" si="107"/>
        <v/>
      </c>
      <c r="N882" s="18" t="str">
        <f t="shared" si="108"/>
        <v/>
      </c>
      <c r="O882" s="18" t="str">
        <f t="shared" si="109"/>
        <v/>
      </c>
      <c r="P882" s="17" t="str">
        <f t="shared" si="110"/>
        <v/>
      </c>
      <c r="Q882" s="17" t="str">
        <f t="shared" si="111"/>
        <v/>
      </c>
      <c r="R882" s="19" t="str">
        <f ca="1">IF(A882="","",IF(COUNTIF(_TradeIds,A882)=0,"违规：交易编号不存在",IF(OR(B882="",B882&lt;1,B882&gt;5,B882&lt;&gt;INT(B882)),"违规：加仓序号须为1到5的整数",IF(COUNTIFS($A$2:$A$1001,A882,$B$2:$B$1001,B882)&gt;1,"违规：同一交易的加仓序号重复",IF(OR(D882="",E882="",F882=""),"计划不完整：请填写加仓价、新止损价和风险预算",IF(OR(D882&lt;=0,E882&lt;=0,F882&lt;=0,D882&lt;=E882),"违规：加仓价必须高于新止损价，金额须大于0",IF(AND(B882&gt;1,COUNTIFS($A$2:$A$1001,A882,$B$2:$B$1001,B882-1,$G$2:$G$1001,"&gt;0")=0),"违规：须先完成上一次加仓",IF(AND(B882&gt;1,E882&lt;SUMIFS($E$2:$E$1001,$A$2:$A$1001,A882,$B$2:$B$1001,B882-1)),"违规：新止损价不得低于上一次",IF(AND(B882&gt;1,F882&gt;SUMIFS($F$2:$F$1001,$A$2:$A$1001,A882,$B$2:$B$1001,B882-1)),"违规：风险预算须逐次不增加",IF(OR(_LockStatus="已锁仓",_LockStatus="解锁信息不完整"),"违规：锁仓期间禁止加仓",IF(G882="","计划可执行：建议股数见N列",IF(OR(G882&lt;=0,G882&lt;&gt;INT(G882),MOD(G882,100)&lt;&gt;0),"违规：实际股数须为100股整数倍",IF(G882&gt;N882,"违规：实际股数超过风险或金字塔上限",IF(AND(B882&gt;1,G882&gt;SUMIFS($G$2:$G$1001,$A$2:$A$1001,A882,$B$2:$B$1001,B882-1)),"违规：加仓股数须逐次不增加",IF(Q882&gt;F882,"违规：止损风险超过本次预算","通过")))))))))))))))</f>
        <v/>
      </c>
    </row>
    <row r="883" ht="17" spans="1:18">
      <c r="A883" s="13"/>
      <c r="B883" s="14"/>
      <c r="C883" s="15"/>
      <c r="D883" s="16"/>
      <c r="E883" s="16"/>
      <c r="F883" s="16"/>
      <c r="G883" s="14"/>
      <c r="H883" s="17" t="str">
        <f t="shared" si="104"/>
        <v/>
      </c>
      <c r="I883" s="18" t="str">
        <f>IF(OR(A883="",B883=""),"",IFERROR(LOOKUP(2,1/(单次交易!$A$2:$A$201=A883),单次交易!$H$2:$H$201),0)+SUMIFS($G$2:$G$1001,$A$2:$A$1001,A883,$B$2:$B$1001,"&lt;"&amp;B883))</f>
        <v/>
      </c>
      <c r="J883" s="17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17" t="str">
        <f t="shared" si="105"/>
        <v/>
      </c>
      <c r="L883" s="18" t="str">
        <f t="shared" si="106"/>
        <v/>
      </c>
      <c r="M883" s="18" t="str">
        <f t="shared" si="107"/>
        <v/>
      </c>
      <c r="N883" s="18" t="str">
        <f t="shared" si="108"/>
        <v/>
      </c>
      <c r="O883" s="18" t="str">
        <f t="shared" si="109"/>
        <v/>
      </c>
      <c r="P883" s="17" t="str">
        <f t="shared" si="110"/>
        <v/>
      </c>
      <c r="Q883" s="17" t="str">
        <f t="shared" si="111"/>
        <v/>
      </c>
      <c r="R883" s="19" t="str">
        <f ca="1">IF(A883="","",IF(COUNTIF(_TradeIds,A883)=0,"违规：交易编号不存在",IF(OR(B883="",B883&lt;1,B883&gt;5,B883&lt;&gt;INT(B883)),"违规：加仓序号须为1到5的整数",IF(COUNTIFS($A$2:$A$1001,A883,$B$2:$B$1001,B883)&gt;1,"违规：同一交易的加仓序号重复",IF(OR(D883="",E883="",F883=""),"计划不完整：请填写加仓价、新止损价和风险预算",IF(OR(D883&lt;=0,E883&lt;=0,F883&lt;=0,D883&lt;=E883),"违规：加仓价必须高于新止损价，金额须大于0",IF(AND(B883&gt;1,COUNTIFS($A$2:$A$1001,A883,$B$2:$B$1001,B883-1,$G$2:$G$1001,"&gt;0")=0),"违规：须先完成上一次加仓",IF(AND(B883&gt;1,E883&lt;SUMIFS($E$2:$E$1001,$A$2:$A$1001,A883,$B$2:$B$1001,B883-1)),"违规：新止损价不得低于上一次",IF(AND(B883&gt;1,F883&gt;SUMIFS($F$2:$F$1001,$A$2:$A$1001,A883,$B$2:$B$1001,B883-1)),"违规：风险预算须逐次不增加",IF(OR(_LockStatus="已锁仓",_LockStatus="解锁信息不完整"),"违规：锁仓期间禁止加仓",IF(G883="","计划可执行：建议股数见N列",IF(OR(G883&lt;=0,G883&lt;&gt;INT(G883),MOD(G883,100)&lt;&gt;0),"违规：实际股数须为100股整数倍",IF(G883&gt;N883,"违规：实际股数超过风险或金字塔上限",IF(AND(B883&gt;1,G883&gt;SUMIFS($G$2:$G$1001,$A$2:$A$1001,A883,$B$2:$B$1001,B883-1)),"违规：加仓股数须逐次不增加",IF(Q883&gt;F883,"违规：止损风险超过本次预算","通过")))))))))))))))</f>
        <v/>
      </c>
    </row>
    <row r="884" ht="17" spans="1:18">
      <c r="A884" s="13"/>
      <c r="B884" s="14"/>
      <c r="C884" s="15"/>
      <c r="D884" s="16"/>
      <c r="E884" s="16"/>
      <c r="F884" s="16"/>
      <c r="G884" s="14"/>
      <c r="H884" s="17" t="str">
        <f t="shared" si="104"/>
        <v/>
      </c>
      <c r="I884" s="18" t="str">
        <f>IF(OR(A884="",B884=""),"",IFERROR(LOOKUP(2,1/(单次交易!$A$2:$A$201=A884),单次交易!$H$2:$H$201),0)+SUMIFS($G$2:$G$1001,$A$2:$A$1001,A884,$B$2:$B$1001,"&lt;"&amp;B884))</f>
        <v/>
      </c>
      <c r="J884" s="17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17" t="str">
        <f t="shared" si="105"/>
        <v/>
      </c>
      <c r="L884" s="18" t="str">
        <f t="shared" si="106"/>
        <v/>
      </c>
      <c r="M884" s="18" t="str">
        <f t="shared" si="107"/>
        <v/>
      </c>
      <c r="N884" s="18" t="str">
        <f t="shared" si="108"/>
        <v/>
      </c>
      <c r="O884" s="18" t="str">
        <f t="shared" si="109"/>
        <v/>
      </c>
      <c r="P884" s="17" t="str">
        <f t="shared" si="110"/>
        <v/>
      </c>
      <c r="Q884" s="17" t="str">
        <f t="shared" si="111"/>
        <v/>
      </c>
      <c r="R884" s="19" t="str">
        <f ca="1">IF(A884="","",IF(COUNTIF(_TradeIds,A884)=0,"违规：交易编号不存在",IF(OR(B884="",B884&lt;1,B884&gt;5,B884&lt;&gt;INT(B884)),"违规：加仓序号须为1到5的整数",IF(COUNTIFS($A$2:$A$1001,A884,$B$2:$B$1001,B884)&gt;1,"违规：同一交易的加仓序号重复",IF(OR(D884="",E884="",F884=""),"计划不完整：请填写加仓价、新止损价和风险预算",IF(OR(D884&lt;=0,E884&lt;=0,F884&lt;=0,D884&lt;=E884),"违规：加仓价必须高于新止损价，金额须大于0",IF(AND(B884&gt;1,COUNTIFS($A$2:$A$1001,A884,$B$2:$B$1001,B884-1,$G$2:$G$1001,"&gt;0")=0),"违规：须先完成上一次加仓",IF(AND(B884&gt;1,E884&lt;SUMIFS($E$2:$E$1001,$A$2:$A$1001,A884,$B$2:$B$1001,B884-1)),"违规：新止损价不得低于上一次",IF(AND(B884&gt;1,F884&gt;SUMIFS($F$2:$F$1001,$A$2:$A$1001,A884,$B$2:$B$1001,B884-1)),"违规：风险预算须逐次不增加",IF(OR(_LockStatus="已锁仓",_LockStatus="解锁信息不完整"),"违规：锁仓期间禁止加仓",IF(G884="","计划可执行：建议股数见N列",IF(OR(G884&lt;=0,G884&lt;&gt;INT(G884),MOD(G884,100)&lt;&gt;0),"违规：实际股数须为100股整数倍",IF(G884&gt;N884,"违规：实际股数超过风险或金字塔上限",IF(AND(B884&gt;1,G884&gt;SUMIFS($G$2:$G$1001,$A$2:$A$1001,A884,$B$2:$B$1001,B884-1)),"违规：加仓股数须逐次不增加",IF(Q884&gt;F884,"违规：止损风险超过本次预算","通过")))))))))))))))</f>
        <v/>
      </c>
    </row>
    <row r="885" ht="17" spans="1:18">
      <c r="A885" s="13"/>
      <c r="B885" s="14"/>
      <c r="C885" s="15"/>
      <c r="D885" s="16"/>
      <c r="E885" s="16"/>
      <c r="F885" s="16"/>
      <c r="G885" s="14"/>
      <c r="H885" s="17" t="str">
        <f t="shared" si="104"/>
        <v/>
      </c>
      <c r="I885" s="18" t="str">
        <f>IF(OR(A885="",B885=""),"",IFERROR(LOOKUP(2,1/(单次交易!$A$2:$A$201=A885),单次交易!$H$2:$H$201),0)+SUMIFS($G$2:$G$1001,$A$2:$A$1001,A885,$B$2:$B$1001,"&lt;"&amp;B885))</f>
        <v/>
      </c>
      <c r="J885" s="17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17" t="str">
        <f t="shared" si="105"/>
        <v/>
      </c>
      <c r="L885" s="18" t="str">
        <f t="shared" si="106"/>
        <v/>
      </c>
      <c r="M885" s="18" t="str">
        <f t="shared" si="107"/>
        <v/>
      </c>
      <c r="N885" s="18" t="str">
        <f t="shared" si="108"/>
        <v/>
      </c>
      <c r="O885" s="18" t="str">
        <f t="shared" si="109"/>
        <v/>
      </c>
      <c r="P885" s="17" t="str">
        <f t="shared" si="110"/>
        <v/>
      </c>
      <c r="Q885" s="17" t="str">
        <f t="shared" si="111"/>
        <v/>
      </c>
      <c r="R885" s="19" t="str">
        <f ca="1">IF(A885="","",IF(COUNTIF(_TradeIds,A885)=0,"违规：交易编号不存在",IF(OR(B885="",B885&lt;1,B885&gt;5,B885&lt;&gt;INT(B885)),"违规：加仓序号须为1到5的整数",IF(COUNTIFS($A$2:$A$1001,A885,$B$2:$B$1001,B885)&gt;1,"违规：同一交易的加仓序号重复",IF(OR(D885="",E885="",F885=""),"计划不完整：请填写加仓价、新止损价和风险预算",IF(OR(D885&lt;=0,E885&lt;=0,F885&lt;=0,D885&lt;=E885),"违规：加仓价必须高于新止损价，金额须大于0",IF(AND(B885&gt;1,COUNTIFS($A$2:$A$1001,A885,$B$2:$B$1001,B885-1,$G$2:$G$1001,"&gt;0")=0),"违规：须先完成上一次加仓",IF(AND(B885&gt;1,E885&lt;SUMIFS($E$2:$E$1001,$A$2:$A$1001,A885,$B$2:$B$1001,B885-1)),"违规：新止损价不得低于上一次",IF(AND(B885&gt;1,F885&gt;SUMIFS($F$2:$F$1001,$A$2:$A$1001,A885,$B$2:$B$1001,B885-1)),"违规：风险预算须逐次不增加",IF(OR(_LockStatus="已锁仓",_LockStatus="解锁信息不完整"),"违规：锁仓期间禁止加仓",IF(G885="","计划可执行：建议股数见N列",IF(OR(G885&lt;=0,G885&lt;&gt;INT(G885),MOD(G885,100)&lt;&gt;0),"违规：实际股数须为100股整数倍",IF(G885&gt;N885,"违规：实际股数超过风险或金字塔上限",IF(AND(B885&gt;1,G885&gt;SUMIFS($G$2:$G$1001,$A$2:$A$1001,A885,$B$2:$B$1001,B885-1)),"违规：加仓股数须逐次不增加",IF(Q885&gt;F885,"违规：止损风险超过本次预算","通过")))))))))))))))</f>
        <v/>
      </c>
    </row>
    <row r="886" ht="17" spans="1:18">
      <c r="A886" s="13"/>
      <c r="B886" s="14"/>
      <c r="C886" s="15"/>
      <c r="D886" s="16"/>
      <c r="E886" s="16"/>
      <c r="F886" s="16"/>
      <c r="G886" s="14"/>
      <c r="H886" s="17" t="str">
        <f t="shared" si="104"/>
        <v/>
      </c>
      <c r="I886" s="18" t="str">
        <f>IF(OR(A886="",B886=""),"",IFERROR(LOOKUP(2,1/(单次交易!$A$2:$A$201=A886),单次交易!$H$2:$H$201),0)+SUMIFS($G$2:$G$1001,$A$2:$A$1001,A886,$B$2:$B$1001,"&lt;"&amp;B886))</f>
        <v/>
      </c>
      <c r="J886" s="17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17" t="str">
        <f t="shared" si="105"/>
        <v/>
      </c>
      <c r="L886" s="18" t="str">
        <f t="shared" si="106"/>
        <v/>
      </c>
      <c r="M886" s="18" t="str">
        <f t="shared" si="107"/>
        <v/>
      </c>
      <c r="N886" s="18" t="str">
        <f t="shared" si="108"/>
        <v/>
      </c>
      <c r="O886" s="18" t="str">
        <f t="shared" si="109"/>
        <v/>
      </c>
      <c r="P886" s="17" t="str">
        <f t="shared" si="110"/>
        <v/>
      </c>
      <c r="Q886" s="17" t="str">
        <f t="shared" si="111"/>
        <v/>
      </c>
      <c r="R886" s="19" t="str">
        <f ca="1">IF(A886="","",IF(COUNTIF(_TradeIds,A886)=0,"违规：交易编号不存在",IF(OR(B886="",B886&lt;1,B886&gt;5,B886&lt;&gt;INT(B886)),"违规：加仓序号须为1到5的整数",IF(COUNTIFS($A$2:$A$1001,A886,$B$2:$B$1001,B886)&gt;1,"违规：同一交易的加仓序号重复",IF(OR(D886="",E886="",F886=""),"计划不完整：请填写加仓价、新止损价和风险预算",IF(OR(D886&lt;=0,E886&lt;=0,F886&lt;=0,D886&lt;=E886),"违规：加仓价必须高于新止损价，金额须大于0",IF(AND(B886&gt;1,COUNTIFS($A$2:$A$1001,A886,$B$2:$B$1001,B886-1,$G$2:$G$1001,"&gt;0")=0),"违规：须先完成上一次加仓",IF(AND(B886&gt;1,E886&lt;SUMIFS($E$2:$E$1001,$A$2:$A$1001,A886,$B$2:$B$1001,B886-1)),"违规：新止损价不得低于上一次",IF(AND(B886&gt;1,F886&gt;SUMIFS($F$2:$F$1001,$A$2:$A$1001,A886,$B$2:$B$1001,B886-1)),"违规：风险预算须逐次不增加",IF(OR(_LockStatus="已锁仓",_LockStatus="解锁信息不完整"),"违规：锁仓期间禁止加仓",IF(G886="","计划可执行：建议股数见N列",IF(OR(G886&lt;=0,G886&lt;&gt;INT(G886),MOD(G886,100)&lt;&gt;0),"违规：实际股数须为100股整数倍",IF(G886&gt;N886,"违规：实际股数超过风险或金字塔上限",IF(AND(B886&gt;1,G886&gt;SUMIFS($G$2:$G$1001,$A$2:$A$1001,A886,$B$2:$B$1001,B886-1)),"违规：加仓股数须逐次不增加",IF(Q886&gt;F886,"违规：止损风险超过本次预算","通过")))))))))))))))</f>
        <v/>
      </c>
    </row>
    <row r="887" ht="17" spans="1:18">
      <c r="A887" s="13"/>
      <c r="B887" s="14"/>
      <c r="C887" s="15"/>
      <c r="D887" s="16"/>
      <c r="E887" s="16"/>
      <c r="F887" s="16"/>
      <c r="G887" s="14"/>
      <c r="H887" s="17" t="str">
        <f t="shared" si="104"/>
        <v/>
      </c>
      <c r="I887" s="18" t="str">
        <f>IF(OR(A887="",B887=""),"",IFERROR(LOOKUP(2,1/(单次交易!$A$2:$A$201=A887),单次交易!$H$2:$H$201),0)+SUMIFS($G$2:$G$1001,$A$2:$A$1001,A887,$B$2:$B$1001,"&lt;"&amp;B887))</f>
        <v/>
      </c>
      <c r="J887" s="17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17" t="str">
        <f t="shared" si="105"/>
        <v/>
      </c>
      <c r="L887" s="18" t="str">
        <f t="shared" si="106"/>
        <v/>
      </c>
      <c r="M887" s="18" t="str">
        <f t="shared" si="107"/>
        <v/>
      </c>
      <c r="N887" s="18" t="str">
        <f t="shared" si="108"/>
        <v/>
      </c>
      <c r="O887" s="18" t="str">
        <f t="shared" si="109"/>
        <v/>
      </c>
      <c r="P887" s="17" t="str">
        <f t="shared" si="110"/>
        <v/>
      </c>
      <c r="Q887" s="17" t="str">
        <f t="shared" si="111"/>
        <v/>
      </c>
      <c r="R887" s="19" t="str">
        <f ca="1">IF(A887="","",IF(COUNTIF(_TradeIds,A887)=0,"违规：交易编号不存在",IF(OR(B887="",B887&lt;1,B887&gt;5,B887&lt;&gt;INT(B887)),"违规：加仓序号须为1到5的整数",IF(COUNTIFS($A$2:$A$1001,A887,$B$2:$B$1001,B887)&gt;1,"违规：同一交易的加仓序号重复",IF(OR(D887="",E887="",F887=""),"计划不完整：请填写加仓价、新止损价和风险预算",IF(OR(D887&lt;=0,E887&lt;=0,F887&lt;=0,D887&lt;=E887),"违规：加仓价必须高于新止损价，金额须大于0",IF(AND(B887&gt;1,COUNTIFS($A$2:$A$1001,A887,$B$2:$B$1001,B887-1,$G$2:$G$1001,"&gt;0")=0),"违规：须先完成上一次加仓",IF(AND(B887&gt;1,E887&lt;SUMIFS($E$2:$E$1001,$A$2:$A$1001,A887,$B$2:$B$1001,B887-1)),"违规：新止损价不得低于上一次",IF(AND(B887&gt;1,F887&gt;SUMIFS($F$2:$F$1001,$A$2:$A$1001,A887,$B$2:$B$1001,B887-1)),"违规：风险预算须逐次不增加",IF(OR(_LockStatus="已锁仓",_LockStatus="解锁信息不完整"),"违规：锁仓期间禁止加仓",IF(G887="","计划可执行：建议股数见N列",IF(OR(G887&lt;=0,G887&lt;&gt;INT(G887),MOD(G887,100)&lt;&gt;0),"违规：实际股数须为100股整数倍",IF(G887&gt;N887,"违规：实际股数超过风险或金字塔上限",IF(AND(B887&gt;1,G887&gt;SUMIFS($G$2:$G$1001,$A$2:$A$1001,A887,$B$2:$B$1001,B887-1)),"违规：加仓股数须逐次不增加",IF(Q887&gt;F887,"违规：止损风险超过本次预算","通过")))))))))))))))</f>
        <v/>
      </c>
    </row>
    <row r="888" ht="17" spans="1:18">
      <c r="A888" s="13"/>
      <c r="B888" s="14"/>
      <c r="C888" s="15"/>
      <c r="D888" s="16"/>
      <c r="E888" s="16"/>
      <c r="F888" s="16"/>
      <c r="G888" s="14"/>
      <c r="H888" s="17" t="str">
        <f t="shared" si="104"/>
        <v/>
      </c>
      <c r="I888" s="18" t="str">
        <f>IF(OR(A888="",B888=""),"",IFERROR(LOOKUP(2,1/(单次交易!$A$2:$A$201=A888),单次交易!$H$2:$H$201),0)+SUMIFS($G$2:$G$1001,$A$2:$A$1001,A888,$B$2:$B$1001,"&lt;"&amp;B888))</f>
        <v/>
      </c>
      <c r="J888" s="17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17" t="str">
        <f t="shared" si="105"/>
        <v/>
      </c>
      <c r="L888" s="18" t="str">
        <f t="shared" si="106"/>
        <v/>
      </c>
      <c r="M888" s="18" t="str">
        <f t="shared" si="107"/>
        <v/>
      </c>
      <c r="N888" s="18" t="str">
        <f t="shared" si="108"/>
        <v/>
      </c>
      <c r="O888" s="18" t="str">
        <f t="shared" si="109"/>
        <v/>
      </c>
      <c r="P888" s="17" t="str">
        <f t="shared" si="110"/>
        <v/>
      </c>
      <c r="Q888" s="17" t="str">
        <f t="shared" si="111"/>
        <v/>
      </c>
      <c r="R888" s="19" t="str">
        <f ca="1">IF(A888="","",IF(COUNTIF(_TradeIds,A888)=0,"违规：交易编号不存在",IF(OR(B888="",B888&lt;1,B888&gt;5,B888&lt;&gt;INT(B888)),"违规：加仓序号须为1到5的整数",IF(COUNTIFS($A$2:$A$1001,A888,$B$2:$B$1001,B888)&gt;1,"违规：同一交易的加仓序号重复",IF(OR(D888="",E888="",F888=""),"计划不完整：请填写加仓价、新止损价和风险预算",IF(OR(D888&lt;=0,E888&lt;=0,F888&lt;=0,D888&lt;=E888),"违规：加仓价必须高于新止损价，金额须大于0",IF(AND(B888&gt;1,COUNTIFS($A$2:$A$1001,A888,$B$2:$B$1001,B888-1,$G$2:$G$1001,"&gt;0")=0),"违规：须先完成上一次加仓",IF(AND(B888&gt;1,E888&lt;SUMIFS($E$2:$E$1001,$A$2:$A$1001,A888,$B$2:$B$1001,B888-1)),"违规：新止损价不得低于上一次",IF(AND(B888&gt;1,F888&gt;SUMIFS($F$2:$F$1001,$A$2:$A$1001,A888,$B$2:$B$1001,B888-1)),"违规：风险预算须逐次不增加",IF(OR(_LockStatus="已锁仓",_LockStatus="解锁信息不完整"),"违规：锁仓期间禁止加仓",IF(G888="","计划可执行：建议股数见N列",IF(OR(G888&lt;=0,G888&lt;&gt;INT(G888),MOD(G888,100)&lt;&gt;0),"违规：实际股数须为100股整数倍",IF(G888&gt;N888,"违规：实际股数超过风险或金字塔上限",IF(AND(B888&gt;1,G888&gt;SUMIFS($G$2:$G$1001,$A$2:$A$1001,A888,$B$2:$B$1001,B888-1)),"违规：加仓股数须逐次不增加",IF(Q888&gt;F888,"违规：止损风险超过本次预算","通过")))))))))))))))</f>
        <v/>
      </c>
    </row>
    <row r="889" ht="17" spans="1:18">
      <c r="A889" s="13"/>
      <c r="B889" s="14"/>
      <c r="C889" s="15"/>
      <c r="D889" s="16"/>
      <c r="E889" s="16"/>
      <c r="F889" s="16"/>
      <c r="G889" s="14"/>
      <c r="H889" s="17" t="str">
        <f t="shared" si="104"/>
        <v/>
      </c>
      <c r="I889" s="18" t="str">
        <f>IF(OR(A889="",B889=""),"",IFERROR(LOOKUP(2,1/(单次交易!$A$2:$A$201=A889),单次交易!$H$2:$H$201),0)+SUMIFS($G$2:$G$1001,$A$2:$A$1001,A889,$B$2:$B$1001,"&lt;"&amp;B889))</f>
        <v/>
      </c>
      <c r="J889" s="17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17" t="str">
        <f t="shared" si="105"/>
        <v/>
      </c>
      <c r="L889" s="18" t="str">
        <f t="shared" si="106"/>
        <v/>
      </c>
      <c r="M889" s="18" t="str">
        <f t="shared" si="107"/>
        <v/>
      </c>
      <c r="N889" s="18" t="str">
        <f t="shared" si="108"/>
        <v/>
      </c>
      <c r="O889" s="18" t="str">
        <f t="shared" si="109"/>
        <v/>
      </c>
      <c r="P889" s="17" t="str">
        <f t="shared" si="110"/>
        <v/>
      </c>
      <c r="Q889" s="17" t="str">
        <f t="shared" si="111"/>
        <v/>
      </c>
      <c r="R889" s="19" t="str">
        <f ca="1">IF(A889="","",IF(COUNTIF(_TradeIds,A889)=0,"违规：交易编号不存在",IF(OR(B889="",B889&lt;1,B889&gt;5,B889&lt;&gt;INT(B889)),"违规：加仓序号须为1到5的整数",IF(COUNTIFS($A$2:$A$1001,A889,$B$2:$B$1001,B889)&gt;1,"违规：同一交易的加仓序号重复",IF(OR(D889="",E889="",F889=""),"计划不完整：请填写加仓价、新止损价和风险预算",IF(OR(D889&lt;=0,E889&lt;=0,F889&lt;=0,D889&lt;=E889),"违规：加仓价必须高于新止损价，金额须大于0",IF(AND(B889&gt;1,COUNTIFS($A$2:$A$1001,A889,$B$2:$B$1001,B889-1,$G$2:$G$1001,"&gt;0")=0),"违规：须先完成上一次加仓",IF(AND(B889&gt;1,E889&lt;SUMIFS($E$2:$E$1001,$A$2:$A$1001,A889,$B$2:$B$1001,B889-1)),"违规：新止损价不得低于上一次",IF(AND(B889&gt;1,F889&gt;SUMIFS($F$2:$F$1001,$A$2:$A$1001,A889,$B$2:$B$1001,B889-1)),"违规：风险预算须逐次不增加",IF(OR(_LockStatus="已锁仓",_LockStatus="解锁信息不完整"),"违规：锁仓期间禁止加仓",IF(G889="","计划可执行：建议股数见N列",IF(OR(G889&lt;=0,G889&lt;&gt;INT(G889),MOD(G889,100)&lt;&gt;0),"违规：实际股数须为100股整数倍",IF(G889&gt;N889,"违规：实际股数超过风险或金字塔上限",IF(AND(B889&gt;1,G889&gt;SUMIFS($G$2:$G$1001,$A$2:$A$1001,A889,$B$2:$B$1001,B889-1)),"违规：加仓股数须逐次不增加",IF(Q889&gt;F889,"违规：止损风险超过本次预算","通过")))))))))))))))</f>
        <v/>
      </c>
    </row>
    <row r="890" ht="17" spans="1:18">
      <c r="A890" s="13"/>
      <c r="B890" s="14"/>
      <c r="C890" s="15"/>
      <c r="D890" s="16"/>
      <c r="E890" s="16"/>
      <c r="F890" s="16"/>
      <c r="G890" s="14"/>
      <c r="H890" s="17" t="str">
        <f t="shared" si="104"/>
        <v/>
      </c>
      <c r="I890" s="18" t="str">
        <f>IF(OR(A890="",B890=""),"",IFERROR(LOOKUP(2,1/(单次交易!$A$2:$A$201=A890),单次交易!$H$2:$H$201),0)+SUMIFS($G$2:$G$1001,$A$2:$A$1001,A890,$B$2:$B$1001,"&lt;"&amp;B890))</f>
        <v/>
      </c>
      <c r="J890" s="17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17" t="str">
        <f t="shared" si="105"/>
        <v/>
      </c>
      <c r="L890" s="18" t="str">
        <f t="shared" si="106"/>
        <v/>
      </c>
      <c r="M890" s="18" t="str">
        <f t="shared" si="107"/>
        <v/>
      </c>
      <c r="N890" s="18" t="str">
        <f t="shared" si="108"/>
        <v/>
      </c>
      <c r="O890" s="18" t="str">
        <f t="shared" si="109"/>
        <v/>
      </c>
      <c r="P890" s="17" t="str">
        <f t="shared" si="110"/>
        <v/>
      </c>
      <c r="Q890" s="17" t="str">
        <f t="shared" si="111"/>
        <v/>
      </c>
      <c r="R890" s="19" t="str">
        <f ca="1">IF(A890="","",IF(COUNTIF(_TradeIds,A890)=0,"违规：交易编号不存在",IF(OR(B890="",B890&lt;1,B890&gt;5,B890&lt;&gt;INT(B890)),"违规：加仓序号须为1到5的整数",IF(COUNTIFS($A$2:$A$1001,A890,$B$2:$B$1001,B890)&gt;1,"违规：同一交易的加仓序号重复",IF(OR(D890="",E890="",F890=""),"计划不完整：请填写加仓价、新止损价和风险预算",IF(OR(D890&lt;=0,E890&lt;=0,F890&lt;=0,D890&lt;=E890),"违规：加仓价必须高于新止损价，金额须大于0",IF(AND(B890&gt;1,COUNTIFS($A$2:$A$1001,A890,$B$2:$B$1001,B890-1,$G$2:$G$1001,"&gt;0")=0),"违规：须先完成上一次加仓",IF(AND(B890&gt;1,E890&lt;SUMIFS($E$2:$E$1001,$A$2:$A$1001,A890,$B$2:$B$1001,B890-1)),"违规：新止损价不得低于上一次",IF(AND(B890&gt;1,F890&gt;SUMIFS($F$2:$F$1001,$A$2:$A$1001,A890,$B$2:$B$1001,B890-1)),"违规：风险预算须逐次不增加",IF(OR(_LockStatus="已锁仓",_LockStatus="解锁信息不完整"),"违规：锁仓期间禁止加仓",IF(G890="","计划可执行：建议股数见N列",IF(OR(G890&lt;=0,G890&lt;&gt;INT(G890),MOD(G890,100)&lt;&gt;0),"违规：实际股数须为100股整数倍",IF(G890&gt;N890,"违规：实际股数超过风险或金字塔上限",IF(AND(B890&gt;1,G890&gt;SUMIFS($G$2:$G$1001,$A$2:$A$1001,A890,$B$2:$B$1001,B890-1)),"违规：加仓股数须逐次不增加",IF(Q890&gt;F890,"违规：止损风险超过本次预算","通过")))))))))))))))</f>
        <v/>
      </c>
    </row>
    <row r="891" ht="17" spans="1:18">
      <c r="A891" s="13"/>
      <c r="B891" s="14"/>
      <c r="C891" s="15"/>
      <c r="D891" s="16"/>
      <c r="E891" s="16"/>
      <c r="F891" s="16"/>
      <c r="G891" s="14"/>
      <c r="H891" s="17" t="str">
        <f t="shared" si="104"/>
        <v/>
      </c>
      <c r="I891" s="18" t="str">
        <f>IF(OR(A891="",B891=""),"",IFERROR(LOOKUP(2,1/(单次交易!$A$2:$A$201=A891),单次交易!$H$2:$H$201),0)+SUMIFS($G$2:$G$1001,$A$2:$A$1001,A891,$B$2:$B$1001,"&lt;"&amp;B891))</f>
        <v/>
      </c>
      <c r="J891" s="17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17" t="str">
        <f t="shared" si="105"/>
        <v/>
      </c>
      <c r="L891" s="18" t="str">
        <f t="shared" si="106"/>
        <v/>
      </c>
      <c r="M891" s="18" t="str">
        <f t="shared" si="107"/>
        <v/>
      </c>
      <c r="N891" s="18" t="str">
        <f t="shared" si="108"/>
        <v/>
      </c>
      <c r="O891" s="18" t="str">
        <f t="shared" si="109"/>
        <v/>
      </c>
      <c r="P891" s="17" t="str">
        <f t="shared" si="110"/>
        <v/>
      </c>
      <c r="Q891" s="17" t="str">
        <f t="shared" si="111"/>
        <v/>
      </c>
      <c r="R891" s="19" t="str">
        <f ca="1">IF(A891="","",IF(COUNTIF(_TradeIds,A891)=0,"违规：交易编号不存在",IF(OR(B891="",B891&lt;1,B891&gt;5,B891&lt;&gt;INT(B891)),"违规：加仓序号须为1到5的整数",IF(COUNTIFS($A$2:$A$1001,A891,$B$2:$B$1001,B891)&gt;1,"违规：同一交易的加仓序号重复",IF(OR(D891="",E891="",F891=""),"计划不完整：请填写加仓价、新止损价和风险预算",IF(OR(D891&lt;=0,E891&lt;=0,F891&lt;=0,D891&lt;=E891),"违规：加仓价必须高于新止损价，金额须大于0",IF(AND(B891&gt;1,COUNTIFS($A$2:$A$1001,A891,$B$2:$B$1001,B891-1,$G$2:$G$1001,"&gt;0")=0),"违规：须先完成上一次加仓",IF(AND(B891&gt;1,E891&lt;SUMIFS($E$2:$E$1001,$A$2:$A$1001,A891,$B$2:$B$1001,B891-1)),"违规：新止损价不得低于上一次",IF(AND(B891&gt;1,F891&gt;SUMIFS($F$2:$F$1001,$A$2:$A$1001,A891,$B$2:$B$1001,B891-1)),"违规：风险预算须逐次不增加",IF(OR(_LockStatus="已锁仓",_LockStatus="解锁信息不完整"),"违规：锁仓期间禁止加仓",IF(G891="","计划可执行：建议股数见N列",IF(OR(G891&lt;=0,G891&lt;&gt;INT(G891),MOD(G891,100)&lt;&gt;0),"违规：实际股数须为100股整数倍",IF(G891&gt;N891,"违规：实际股数超过风险或金字塔上限",IF(AND(B891&gt;1,G891&gt;SUMIFS($G$2:$G$1001,$A$2:$A$1001,A891,$B$2:$B$1001,B891-1)),"违规：加仓股数须逐次不增加",IF(Q891&gt;F891,"违规：止损风险超过本次预算","通过")))))))))))))))</f>
        <v/>
      </c>
    </row>
    <row r="892" ht="17" spans="1:18">
      <c r="A892" s="13"/>
      <c r="B892" s="14"/>
      <c r="C892" s="15"/>
      <c r="D892" s="16"/>
      <c r="E892" s="16"/>
      <c r="F892" s="16"/>
      <c r="G892" s="14"/>
      <c r="H892" s="17" t="str">
        <f t="shared" si="104"/>
        <v/>
      </c>
      <c r="I892" s="18" t="str">
        <f>IF(OR(A892="",B892=""),"",IFERROR(LOOKUP(2,1/(单次交易!$A$2:$A$201=A892),单次交易!$H$2:$H$201),0)+SUMIFS($G$2:$G$1001,$A$2:$A$1001,A892,$B$2:$B$1001,"&lt;"&amp;B892))</f>
        <v/>
      </c>
      <c r="J892" s="17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17" t="str">
        <f t="shared" si="105"/>
        <v/>
      </c>
      <c r="L892" s="18" t="str">
        <f t="shared" si="106"/>
        <v/>
      </c>
      <c r="M892" s="18" t="str">
        <f t="shared" si="107"/>
        <v/>
      </c>
      <c r="N892" s="18" t="str">
        <f t="shared" si="108"/>
        <v/>
      </c>
      <c r="O892" s="18" t="str">
        <f t="shared" si="109"/>
        <v/>
      </c>
      <c r="P892" s="17" t="str">
        <f t="shared" si="110"/>
        <v/>
      </c>
      <c r="Q892" s="17" t="str">
        <f t="shared" si="111"/>
        <v/>
      </c>
      <c r="R892" s="19" t="str">
        <f ca="1">IF(A892="","",IF(COUNTIF(_TradeIds,A892)=0,"违规：交易编号不存在",IF(OR(B892="",B892&lt;1,B892&gt;5,B892&lt;&gt;INT(B892)),"违规：加仓序号须为1到5的整数",IF(COUNTIFS($A$2:$A$1001,A892,$B$2:$B$1001,B892)&gt;1,"违规：同一交易的加仓序号重复",IF(OR(D892="",E892="",F892=""),"计划不完整：请填写加仓价、新止损价和风险预算",IF(OR(D892&lt;=0,E892&lt;=0,F892&lt;=0,D892&lt;=E892),"违规：加仓价必须高于新止损价，金额须大于0",IF(AND(B892&gt;1,COUNTIFS($A$2:$A$1001,A892,$B$2:$B$1001,B892-1,$G$2:$G$1001,"&gt;0")=0),"违规：须先完成上一次加仓",IF(AND(B892&gt;1,E892&lt;SUMIFS($E$2:$E$1001,$A$2:$A$1001,A892,$B$2:$B$1001,B892-1)),"违规：新止损价不得低于上一次",IF(AND(B892&gt;1,F892&gt;SUMIFS($F$2:$F$1001,$A$2:$A$1001,A892,$B$2:$B$1001,B892-1)),"违规：风险预算须逐次不增加",IF(OR(_LockStatus="已锁仓",_LockStatus="解锁信息不完整"),"违规：锁仓期间禁止加仓",IF(G892="","计划可执行：建议股数见N列",IF(OR(G892&lt;=0,G892&lt;&gt;INT(G892),MOD(G892,100)&lt;&gt;0),"违规：实际股数须为100股整数倍",IF(G892&gt;N892,"违规：实际股数超过风险或金字塔上限",IF(AND(B892&gt;1,G892&gt;SUMIFS($G$2:$G$1001,$A$2:$A$1001,A892,$B$2:$B$1001,B892-1)),"违规：加仓股数须逐次不增加",IF(Q892&gt;F892,"违规：止损风险超过本次预算","通过")))))))))))))))</f>
        <v/>
      </c>
    </row>
    <row r="893" ht="17" spans="1:18">
      <c r="A893" s="13"/>
      <c r="B893" s="14"/>
      <c r="C893" s="15"/>
      <c r="D893" s="16"/>
      <c r="E893" s="16"/>
      <c r="F893" s="16"/>
      <c r="G893" s="14"/>
      <c r="H893" s="17" t="str">
        <f t="shared" si="104"/>
        <v/>
      </c>
      <c r="I893" s="18" t="str">
        <f>IF(OR(A893="",B893=""),"",IFERROR(LOOKUP(2,1/(单次交易!$A$2:$A$201=A893),单次交易!$H$2:$H$201),0)+SUMIFS($G$2:$G$1001,$A$2:$A$1001,A893,$B$2:$B$1001,"&lt;"&amp;B893))</f>
        <v/>
      </c>
      <c r="J893" s="17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17" t="str">
        <f t="shared" si="105"/>
        <v/>
      </c>
      <c r="L893" s="18" t="str">
        <f t="shared" si="106"/>
        <v/>
      </c>
      <c r="M893" s="18" t="str">
        <f t="shared" si="107"/>
        <v/>
      </c>
      <c r="N893" s="18" t="str">
        <f t="shared" si="108"/>
        <v/>
      </c>
      <c r="O893" s="18" t="str">
        <f t="shared" si="109"/>
        <v/>
      </c>
      <c r="P893" s="17" t="str">
        <f t="shared" si="110"/>
        <v/>
      </c>
      <c r="Q893" s="17" t="str">
        <f t="shared" si="111"/>
        <v/>
      </c>
      <c r="R893" s="19" t="str">
        <f ca="1">IF(A893="","",IF(COUNTIF(_TradeIds,A893)=0,"违规：交易编号不存在",IF(OR(B893="",B893&lt;1,B893&gt;5,B893&lt;&gt;INT(B893)),"违规：加仓序号须为1到5的整数",IF(COUNTIFS($A$2:$A$1001,A893,$B$2:$B$1001,B893)&gt;1,"违规：同一交易的加仓序号重复",IF(OR(D893="",E893="",F893=""),"计划不完整：请填写加仓价、新止损价和风险预算",IF(OR(D893&lt;=0,E893&lt;=0,F893&lt;=0,D893&lt;=E893),"违规：加仓价必须高于新止损价，金额须大于0",IF(AND(B893&gt;1,COUNTIFS($A$2:$A$1001,A893,$B$2:$B$1001,B893-1,$G$2:$G$1001,"&gt;0")=0),"违规：须先完成上一次加仓",IF(AND(B893&gt;1,E893&lt;SUMIFS($E$2:$E$1001,$A$2:$A$1001,A893,$B$2:$B$1001,B893-1)),"违规：新止损价不得低于上一次",IF(AND(B893&gt;1,F893&gt;SUMIFS($F$2:$F$1001,$A$2:$A$1001,A893,$B$2:$B$1001,B893-1)),"违规：风险预算须逐次不增加",IF(OR(_LockStatus="已锁仓",_LockStatus="解锁信息不完整"),"违规：锁仓期间禁止加仓",IF(G893="","计划可执行：建议股数见N列",IF(OR(G893&lt;=0,G893&lt;&gt;INT(G893),MOD(G893,100)&lt;&gt;0),"违规：实际股数须为100股整数倍",IF(G893&gt;N893,"违规：实际股数超过风险或金字塔上限",IF(AND(B893&gt;1,G893&gt;SUMIFS($G$2:$G$1001,$A$2:$A$1001,A893,$B$2:$B$1001,B893-1)),"违规：加仓股数须逐次不增加",IF(Q893&gt;F893,"违规：止损风险超过本次预算","通过")))))))))))))))</f>
        <v/>
      </c>
    </row>
    <row r="894" ht="17" spans="1:18">
      <c r="A894" s="13"/>
      <c r="B894" s="14"/>
      <c r="C894" s="15"/>
      <c r="D894" s="16"/>
      <c r="E894" s="16"/>
      <c r="F894" s="16"/>
      <c r="G894" s="14"/>
      <c r="H894" s="17" t="str">
        <f t="shared" si="104"/>
        <v/>
      </c>
      <c r="I894" s="18" t="str">
        <f>IF(OR(A894="",B894=""),"",IFERROR(LOOKUP(2,1/(单次交易!$A$2:$A$201=A894),单次交易!$H$2:$H$201),0)+SUMIFS($G$2:$G$1001,$A$2:$A$1001,A894,$B$2:$B$1001,"&lt;"&amp;B894))</f>
        <v/>
      </c>
      <c r="J894" s="17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17" t="str">
        <f t="shared" si="105"/>
        <v/>
      </c>
      <c r="L894" s="18" t="str">
        <f t="shared" si="106"/>
        <v/>
      </c>
      <c r="M894" s="18" t="str">
        <f t="shared" si="107"/>
        <v/>
      </c>
      <c r="N894" s="18" t="str">
        <f t="shared" si="108"/>
        <v/>
      </c>
      <c r="O894" s="18" t="str">
        <f t="shared" si="109"/>
        <v/>
      </c>
      <c r="P894" s="17" t="str">
        <f t="shared" si="110"/>
        <v/>
      </c>
      <c r="Q894" s="17" t="str">
        <f t="shared" si="111"/>
        <v/>
      </c>
      <c r="R894" s="19" t="str">
        <f ca="1">IF(A894="","",IF(COUNTIF(_TradeIds,A894)=0,"违规：交易编号不存在",IF(OR(B894="",B894&lt;1,B894&gt;5,B894&lt;&gt;INT(B894)),"违规：加仓序号须为1到5的整数",IF(COUNTIFS($A$2:$A$1001,A894,$B$2:$B$1001,B894)&gt;1,"违规：同一交易的加仓序号重复",IF(OR(D894="",E894="",F894=""),"计划不完整：请填写加仓价、新止损价和风险预算",IF(OR(D894&lt;=0,E894&lt;=0,F894&lt;=0,D894&lt;=E894),"违规：加仓价必须高于新止损价，金额须大于0",IF(AND(B894&gt;1,COUNTIFS($A$2:$A$1001,A894,$B$2:$B$1001,B894-1,$G$2:$G$1001,"&gt;0")=0),"违规：须先完成上一次加仓",IF(AND(B894&gt;1,E894&lt;SUMIFS($E$2:$E$1001,$A$2:$A$1001,A894,$B$2:$B$1001,B894-1)),"违规：新止损价不得低于上一次",IF(AND(B894&gt;1,F894&gt;SUMIFS($F$2:$F$1001,$A$2:$A$1001,A894,$B$2:$B$1001,B894-1)),"违规：风险预算须逐次不增加",IF(OR(_LockStatus="已锁仓",_LockStatus="解锁信息不完整"),"违规：锁仓期间禁止加仓",IF(G894="","计划可执行：建议股数见N列",IF(OR(G894&lt;=0,G894&lt;&gt;INT(G894),MOD(G894,100)&lt;&gt;0),"违规：实际股数须为100股整数倍",IF(G894&gt;N894,"违规：实际股数超过风险或金字塔上限",IF(AND(B894&gt;1,G894&gt;SUMIFS($G$2:$G$1001,$A$2:$A$1001,A894,$B$2:$B$1001,B894-1)),"违规：加仓股数须逐次不增加",IF(Q894&gt;F894,"违规：止损风险超过本次预算","通过")))))))))))))))</f>
        <v/>
      </c>
    </row>
    <row r="895" ht="17" spans="1:18">
      <c r="A895" s="13"/>
      <c r="B895" s="14"/>
      <c r="C895" s="15"/>
      <c r="D895" s="16"/>
      <c r="E895" s="16"/>
      <c r="F895" s="16"/>
      <c r="G895" s="14"/>
      <c r="H895" s="17" t="str">
        <f t="shared" si="104"/>
        <v/>
      </c>
      <c r="I895" s="18" t="str">
        <f>IF(OR(A895="",B895=""),"",IFERROR(LOOKUP(2,1/(单次交易!$A$2:$A$201=A895),单次交易!$H$2:$H$201),0)+SUMIFS($G$2:$G$1001,$A$2:$A$1001,A895,$B$2:$B$1001,"&lt;"&amp;B895))</f>
        <v/>
      </c>
      <c r="J895" s="17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17" t="str">
        <f t="shared" si="105"/>
        <v/>
      </c>
      <c r="L895" s="18" t="str">
        <f t="shared" si="106"/>
        <v/>
      </c>
      <c r="M895" s="18" t="str">
        <f t="shared" si="107"/>
        <v/>
      </c>
      <c r="N895" s="18" t="str">
        <f t="shared" si="108"/>
        <v/>
      </c>
      <c r="O895" s="18" t="str">
        <f t="shared" si="109"/>
        <v/>
      </c>
      <c r="P895" s="17" t="str">
        <f t="shared" si="110"/>
        <v/>
      </c>
      <c r="Q895" s="17" t="str">
        <f t="shared" si="111"/>
        <v/>
      </c>
      <c r="R895" s="19" t="str">
        <f ca="1">IF(A895="","",IF(COUNTIF(_TradeIds,A895)=0,"违规：交易编号不存在",IF(OR(B895="",B895&lt;1,B895&gt;5,B895&lt;&gt;INT(B895)),"违规：加仓序号须为1到5的整数",IF(COUNTIFS($A$2:$A$1001,A895,$B$2:$B$1001,B895)&gt;1,"违规：同一交易的加仓序号重复",IF(OR(D895="",E895="",F895=""),"计划不完整：请填写加仓价、新止损价和风险预算",IF(OR(D895&lt;=0,E895&lt;=0,F895&lt;=0,D895&lt;=E895),"违规：加仓价必须高于新止损价，金额须大于0",IF(AND(B895&gt;1,COUNTIFS($A$2:$A$1001,A895,$B$2:$B$1001,B895-1,$G$2:$G$1001,"&gt;0")=0),"违规：须先完成上一次加仓",IF(AND(B895&gt;1,E895&lt;SUMIFS($E$2:$E$1001,$A$2:$A$1001,A895,$B$2:$B$1001,B895-1)),"违规：新止损价不得低于上一次",IF(AND(B895&gt;1,F895&gt;SUMIFS($F$2:$F$1001,$A$2:$A$1001,A895,$B$2:$B$1001,B895-1)),"违规：风险预算须逐次不增加",IF(OR(_LockStatus="已锁仓",_LockStatus="解锁信息不完整"),"违规：锁仓期间禁止加仓",IF(G895="","计划可执行：建议股数见N列",IF(OR(G895&lt;=0,G895&lt;&gt;INT(G895),MOD(G895,100)&lt;&gt;0),"违规：实际股数须为100股整数倍",IF(G895&gt;N895,"违规：实际股数超过风险或金字塔上限",IF(AND(B895&gt;1,G895&gt;SUMIFS($G$2:$G$1001,$A$2:$A$1001,A895,$B$2:$B$1001,B895-1)),"违规：加仓股数须逐次不增加",IF(Q895&gt;F895,"违规：止损风险超过本次预算","通过")))))))))))))))</f>
        <v/>
      </c>
    </row>
    <row r="896" ht="17" spans="1:18">
      <c r="A896" s="13"/>
      <c r="B896" s="14"/>
      <c r="C896" s="15"/>
      <c r="D896" s="16"/>
      <c r="E896" s="16"/>
      <c r="F896" s="16"/>
      <c r="G896" s="14"/>
      <c r="H896" s="17" t="str">
        <f t="shared" si="104"/>
        <v/>
      </c>
      <c r="I896" s="18" t="str">
        <f>IF(OR(A896="",B896=""),"",IFERROR(LOOKUP(2,1/(单次交易!$A$2:$A$201=A896),单次交易!$H$2:$H$201),0)+SUMIFS($G$2:$G$1001,$A$2:$A$1001,A896,$B$2:$B$1001,"&lt;"&amp;B896))</f>
        <v/>
      </c>
      <c r="J896" s="17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17" t="str">
        <f t="shared" si="105"/>
        <v/>
      </c>
      <c r="L896" s="18" t="str">
        <f t="shared" si="106"/>
        <v/>
      </c>
      <c r="M896" s="18" t="str">
        <f t="shared" si="107"/>
        <v/>
      </c>
      <c r="N896" s="18" t="str">
        <f t="shared" si="108"/>
        <v/>
      </c>
      <c r="O896" s="18" t="str">
        <f t="shared" si="109"/>
        <v/>
      </c>
      <c r="P896" s="17" t="str">
        <f t="shared" si="110"/>
        <v/>
      </c>
      <c r="Q896" s="17" t="str">
        <f t="shared" si="111"/>
        <v/>
      </c>
      <c r="R896" s="19" t="str">
        <f ca="1">IF(A896="","",IF(COUNTIF(_TradeIds,A896)=0,"违规：交易编号不存在",IF(OR(B896="",B896&lt;1,B896&gt;5,B896&lt;&gt;INT(B896)),"违规：加仓序号须为1到5的整数",IF(COUNTIFS($A$2:$A$1001,A896,$B$2:$B$1001,B896)&gt;1,"违规：同一交易的加仓序号重复",IF(OR(D896="",E896="",F896=""),"计划不完整：请填写加仓价、新止损价和风险预算",IF(OR(D896&lt;=0,E896&lt;=0,F896&lt;=0,D896&lt;=E896),"违规：加仓价必须高于新止损价，金额须大于0",IF(AND(B896&gt;1,COUNTIFS($A$2:$A$1001,A896,$B$2:$B$1001,B896-1,$G$2:$G$1001,"&gt;0")=0),"违规：须先完成上一次加仓",IF(AND(B896&gt;1,E896&lt;SUMIFS($E$2:$E$1001,$A$2:$A$1001,A896,$B$2:$B$1001,B896-1)),"违规：新止损价不得低于上一次",IF(AND(B896&gt;1,F896&gt;SUMIFS($F$2:$F$1001,$A$2:$A$1001,A896,$B$2:$B$1001,B896-1)),"违规：风险预算须逐次不增加",IF(OR(_LockStatus="已锁仓",_LockStatus="解锁信息不完整"),"违规：锁仓期间禁止加仓",IF(G896="","计划可执行：建议股数见N列",IF(OR(G896&lt;=0,G896&lt;&gt;INT(G896),MOD(G896,100)&lt;&gt;0),"违规：实际股数须为100股整数倍",IF(G896&gt;N896,"违规：实际股数超过风险或金字塔上限",IF(AND(B896&gt;1,G896&gt;SUMIFS($G$2:$G$1001,$A$2:$A$1001,A896,$B$2:$B$1001,B896-1)),"违规：加仓股数须逐次不增加",IF(Q896&gt;F896,"违规：止损风险超过本次预算","通过")))))))))))))))</f>
        <v/>
      </c>
    </row>
    <row r="897" ht="17" spans="1:18">
      <c r="A897" s="13"/>
      <c r="B897" s="14"/>
      <c r="C897" s="15"/>
      <c r="D897" s="16"/>
      <c r="E897" s="16"/>
      <c r="F897" s="16"/>
      <c r="G897" s="14"/>
      <c r="H897" s="17" t="str">
        <f t="shared" si="104"/>
        <v/>
      </c>
      <c r="I897" s="18" t="str">
        <f>IF(OR(A897="",B897=""),"",IFERROR(LOOKUP(2,1/(单次交易!$A$2:$A$201=A897),单次交易!$H$2:$H$201),0)+SUMIFS($G$2:$G$1001,$A$2:$A$1001,A897,$B$2:$B$1001,"&lt;"&amp;B897))</f>
        <v/>
      </c>
      <c r="J897" s="17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17" t="str">
        <f t="shared" si="105"/>
        <v/>
      </c>
      <c r="L897" s="18" t="str">
        <f t="shared" si="106"/>
        <v/>
      </c>
      <c r="M897" s="18" t="str">
        <f t="shared" si="107"/>
        <v/>
      </c>
      <c r="N897" s="18" t="str">
        <f t="shared" si="108"/>
        <v/>
      </c>
      <c r="O897" s="18" t="str">
        <f t="shared" si="109"/>
        <v/>
      </c>
      <c r="P897" s="17" t="str">
        <f t="shared" si="110"/>
        <v/>
      </c>
      <c r="Q897" s="17" t="str">
        <f t="shared" si="111"/>
        <v/>
      </c>
      <c r="R897" s="19" t="str">
        <f ca="1">IF(A897="","",IF(COUNTIF(_TradeIds,A897)=0,"违规：交易编号不存在",IF(OR(B897="",B897&lt;1,B897&gt;5,B897&lt;&gt;INT(B897)),"违规：加仓序号须为1到5的整数",IF(COUNTIFS($A$2:$A$1001,A897,$B$2:$B$1001,B897)&gt;1,"违规：同一交易的加仓序号重复",IF(OR(D897="",E897="",F897=""),"计划不完整：请填写加仓价、新止损价和风险预算",IF(OR(D897&lt;=0,E897&lt;=0,F897&lt;=0,D897&lt;=E897),"违规：加仓价必须高于新止损价，金额须大于0",IF(AND(B897&gt;1,COUNTIFS($A$2:$A$1001,A897,$B$2:$B$1001,B897-1,$G$2:$G$1001,"&gt;0")=0),"违规：须先完成上一次加仓",IF(AND(B897&gt;1,E897&lt;SUMIFS($E$2:$E$1001,$A$2:$A$1001,A897,$B$2:$B$1001,B897-1)),"违规：新止损价不得低于上一次",IF(AND(B897&gt;1,F897&gt;SUMIFS($F$2:$F$1001,$A$2:$A$1001,A897,$B$2:$B$1001,B897-1)),"违规：风险预算须逐次不增加",IF(OR(_LockStatus="已锁仓",_LockStatus="解锁信息不完整"),"违规：锁仓期间禁止加仓",IF(G897="","计划可执行：建议股数见N列",IF(OR(G897&lt;=0,G897&lt;&gt;INT(G897),MOD(G897,100)&lt;&gt;0),"违规：实际股数须为100股整数倍",IF(G897&gt;N897,"违规：实际股数超过风险或金字塔上限",IF(AND(B897&gt;1,G897&gt;SUMIFS($G$2:$G$1001,$A$2:$A$1001,A897,$B$2:$B$1001,B897-1)),"违规：加仓股数须逐次不增加",IF(Q897&gt;F897,"违规：止损风险超过本次预算","通过")))))))))))))))</f>
        <v/>
      </c>
    </row>
    <row r="898" ht="17" spans="1:18">
      <c r="A898" s="13"/>
      <c r="B898" s="14"/>
      <c r="C898" s="15"/>
      <c r="D898" s="16"/>
      <c r="E898" s="16"/>
      <c r="F898" s="16"/>
      <c r="G898" s="14"/>
      <c r="H898" s="17" t="str">
        <f t="shared" ref="H898:H961" si="112">IF(OR(A898="",D898="",G898=""),"",D898*G898)</f>
        <v/>
      </c>
      <c r="I898" s="18" t="str">
        <f>IF(OR(A898="",B898=""),"",IFERROR(LOOKUP(2,1/(单次交易!$A$2:$A$201=A898),单次交易!$H$2:$H$201),0)+SUMIFS($G$2:$G$1001,$A$2:$A$1001,A898,$B$2:$B$1001,"&lt;"&amp;B898))</f>
        <v/>
      </c>
      <c r="J898" s="17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17" t="str">
        <f t="shared" ref="K898:K961" si="113">IF(OR(E898="",I898="",J898=""),"",MAX(E898*I898-J898,0))</f>
        <v/>
      </c>
      <c r="L898" s="18" t="str">
        <f t="shared" ref="L898:L961" si="114">IF(OR(D898="",E898="",F898="",D898&lt;=E898),"",FLOOR((F898+K898)/(D898-E898),100))</f>
        <v/>
      </c>
      <c r="M898" s="18" t="str">
        <f t="shared" ref="M898:M961" si="115">IF(OR(A898="",B898="",L898=""),"",IF(B898=1,L898,IFERROR(SUMIFS($G$2:$G$1001,$A$2:$A$1001,A898,$B$2:$B$1001,B898-1),0)))</f>
        <v/>
      </c>
      <c r="N898" s="18" t="str">
        <f t="shared" ref="N898:N961" si="116">IF(OR(L898="",M898=""),"",MIN(L898,M898))</f>
        <v/>
      </c>
      <c r="O898" s="18" t="str">
        <f t="shared" ref="O898:O961" si="117">IF(OR(I898="",G898=""),"",I898+G898)</f>
        <v/>
      </c>
      <c r="P898" s="17" t="str">
        <f t="shared" ref="P898:P961" si="118">IF(OR(O898="",O898=0),"",(J898+H898)/O898)</f>
        <v/>
      </c>
      <c r="Q898" s="17" t="str">
        <f t="shared" ref="Q898:Q961" si="119">IF(OR(O898="",E898=""),"",MAX(J898+H898-E898*O898,0))</f>
        <v/>
      </c>
      <c r="R898" s="19" t="str">
        <f ca="1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ht="17" spans="1:18">
      <c r="A899" s="13"/>
      <c r="B899" s="14"/>
      <c r="C899" s="15"/>
      <c r="D899" s="16"/>
      <c r="E899" s="16"/>
      <c r="F899" s="16"/>
      <c r="G899" s="14"/>
      <c r="H899" s="17" t="str">
        <f t="shared" si="112"/>
        <v/>
      </c>
      <c r="I899" s="18" t="str">
        <f>IF(OR(A899="",B899=""),"",IFERROR(LOOKUP(2,1/(单次交易!$A$2:$A$201=A899),单次交易!$H$2:$H$201),0)+SUMIFS($G$2:$G$1001,$A$2:$A$1001,A899,$B$2:$B$1001,"&lt;"&amp;B899))</f>
        <v/>
      </c>
      <c r="J899" s="17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17" t="str">
        <f t="shared" si="113"/>
        <v/>
      </c>
      <c r="L899" s="18" t="str">
        <f t="shared" si="114"/>
        <v/>
      </c>
      <c r="M899" s="18" t="str">
        <f t="shared" si="115"/>
        <v/>
      </c>
      <c r="N899" s="18" t="str">
        <f t="shared" si="116"/>
        <v/>
      </c>
      <c r="O899" s="18" t="str">
        <f t="shared" si="117"/>
        <v/>
      </c>
      <c r="P899" s="17" t="str">
        <f t="shared" si="118"/>
        <v/>
      </c>
      <c r="Q899" s="17" t="str">
        <f t="shared" si="119"/>
        <v/>
      </c>
      <c r="R899" s="19" t="str">
        <f ca="1">IF(A899="","",IF(COUNTIF(_TradeIds,A899)=0,"违规：交易编号不存在",IF(OR(B899="",B899&lt;1,B899&gt;5,B899&lt;&gt;INT(B899)),"违规：加仓序号须为1到5的整数",IF(COUNTIFS($A$2:$A$1001,A899,$B$2:$B$1001,B899)&gt;1,"违规：同一交易的加仓序号重复",IF(OR(D899="",E899="",F899=""),"计划不完整：请填写加仓价、新止损价和风险预算",IF(OR(D899&lt;=0,E899&lt;=0,F899&lt;=0,D899&lt;=E899),"违规：加仓价必须高于新止损价，金额须大于0",IF(AND(B899&gt;1,COUNTIFS($A$2:$A$1001,A899,$B$2:$B$1001,B899-1,$G$2:$G$1001,"&gt;0")=0),"违规：须先完成上一次加仓",IF(AND(B899&gt;1,E899&lt;SUMIFS($E$2:$E$1001,$A$2:$A$1001,A899,$B$2:$B$1001,B899-1)),"违规：新止损价不得低于上一次",IF(AND(B899&gt;1,F899&gt;SUMIFS($F$2:$F$1001,$A$2:$A$1001,A899,$B$2:$B$1001,B899-1)),"违规：风险预算须逐次不增加",IF(OR(_LockStatus="已锁仓",_LockStatus="解锁信息不完整"),"违规：锁仓期间禁止加仓",IF(G899="","计划可执行：建议股数见N列",IF(OR(G899&lt;=0,G899&lt;&gt;INT(G899),MOD(G899,100)&lt;&gt;0),"违规：实际股数须为100股整数倍",IF(G899&gt;N899,"违规：实际股数超过风险或金字塔上限",IF(AND(B899&gt;1,G899&gt;SUMIFS($G$2:$G$1001,$A$2:$A$1001,A899,$B$2:$B$1001,B899-1)),"违规：加仓股数须逐次不增加",IF(Q899&gt;F899,"违规：止损风险超过本次预算","通过")))))))))))))))</f>
        <v/>
      </c>
    </row>
    <row r="900" ht="17" spans="1:18">
      <c r="A900" s="13"/>
      <c r="B900" s="14"/>
      <c r="C900" s="15"/>
      <c r="D900" s="16"/>
      <c r="E900" s="16"/>
      <c r="F900" s="16"/>
      <c r="G900" s="14"/>
      <c r="H900" s="17" t="str">
        <f t="shared" si="112"/>
        <v/>
      </c>
      <c r="I900" s="18" t="str">
        <f>IF(OR(A900="",B900=""),"",IFERROR(LOOKUP(2,1/(单次交易!$A$2:$A$201=A900),单次交易!$H$2:$H$201),0)+SUMIFS($G$2:$G$1001,$A$2:$A$1001,A900,$B$2:$B$1001,"&lt;"&amp;B900))</f>
        <v/>
      </c>
      <c r="J900" s="17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17" t="str">
        <f t="shared" si="113"/>
        <v/>
      </c>
      <c r="L900" s="18" t="str">
        <f t="shared" si="114"/>
        <v/>
      </c>
      <c r="M900" s="18" t="str">
        <f t="shared" si="115"/>
        <v/>
      </c>
      <c r="N900" s="18" t="str">
        <f t="shared" si="116"/>
        <v/>
      </c>
      <c r="O900" s="18" t="str">
        <f t="shared" si="117"/>
        <v/>
      </c>
      <c r="P900" s="17" t="str">
        <f t="shared" si="118"/>
        <v/>
      </c>
      <c r="Q900" s="17" t="str">
        <f t="shared" si="119"/>
        <v/>
      </c>
      <c r="R900" s="19" t="str">
        <f ca="1">IF(A900="","",IF(COUNTIF(_TradeIds,A900)=0,"违规：交易编号不存在",IF(OR(B900="",B900&lt;1,B900&gt;5,B900&lt;&gt;INT(B900)),"违规：加仓序号须为1到5的整数",IF(COUNTIFS($A$2:$A$1001,A900,$B$2:$B$1001,B900)&gt;1,"违规：同一交易的加仓序号重复",IF(OR(D900="",E900="",F900=""),"计划不完整：请填写加仓价、新止损价和风险预算",IF(OR(D900&lt;=0,E900&lt;=0,F900&lt;=0,D900&lt;=E900),"违规：加仓价必须高于新止损价，金额须大于0",IF(AND(B900&gt;1,COUNTIFS($A$2:$A$1001,A900,$B$2:$B$1001,B900-1,$G$2:$G$1001,"&gt;0")=0),"违规：须先完成上一次加仓",IF(AND(B900&gt;1,E900&lt;SUMIFS($E$2:$E$1001,$A$2:$A$1001,A900,$B$2:$B$1001,B900-1)),"违规：新止损价不得低于上一次",IF(AND(B900&gt;1,F900&gt;SUMIFS($F$2:$F$1001,$A$2:$A$1001,A900,$B$2:$B$1001,B900-1)),"违规：风险预算须逐次不增加",IF(OR(_LockStatus="已锁仓",_LockStatus="解锁信息不完整"),"违规：锁仓期间禁止加仓",IF(G900="","计划可执行：建议股数见N列",IF(OR(G900&lt;=0,G900&lt;&gt;INT(G900),MOD(G900,100)&lt;&gt;0),"违规：实际股数须为100股整数倍",IF(G900&gt;N900,"违规：实际股数超过风险或金字塔上限",IF(AND(B900&gt;1,G900&gt;SUMIFS($G$2:$G$1001,$A$2:$A$1001,A900,$B$2:$B$1001,B900-1)),"违规：加仓股数须逐次不增加",IF(Q900&gt;F900,"违规：止损风险超过本次预算","通过")))))))))))))))</f>
        <v/>
      </c>
    </row>
    <row r="901" ht="17" spans="1:18">
      <c r="A901" s="13"/>
      <c r="B901" s="14"/>
      <c r="C901" s="15"/>
      <c r="D901" s="16"/>
      <c r="E901" s="16"/>
      <c r="F901" s="16"/>
      <c r="G901" s="14"/>
      <c r="H901" s="17" t="str">
        <f t="shared" si="112"/>
        <v/>
      </c>
      <c r="I901" s="18" t="str">
        <f>IF(OR(A901="",B901=""),"",IFERROR(LOOKUP(2,1/(单次交易!$A$2:$A$201=A901),单次交易!$H$2:$H$201),0)+SUMIFS($G$2:$G$1001,$A$2:$A$1001,A901,$B$2:$B$1001,"&lt;"&amp;B901))</f>
        <v/>
      </c>
      <c r="J901" s="17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17" t="str">
        <f t="shared" si="113"/>
        <v/>
      </c>
      <c r="L901" s="18" t="str">
        <f t="shared" si="114"/>
        <v/>
      </c>
      <c r="M901" s="18" t="str">
        <f t="shared" si="115"/>
        <v/>
      </c>
      <c r="N901" s="18" t="str">
        <f t="shared" si="116"/>
        <v/>
      </c>
      <c r="O901" s="18" t="str">
        <f t="shared" si="117"/>
        <v/>
      </c>
      <c r="P901" s="17" t="str">
        <f t="shared" si="118"/>
        <v/>
      </c>
      <c r="Q901" s="17" t="str">
        <f t="shared" si="119"/>
        <v/>
      </c>
      <c r="R901" s="19" t="str">
        <f ca="1">IF(A901="","",IF(COUNTIF(_TradeIds,A901)=0,"违规：交易编号不存在",IF(OR(B901="",B901&lt;1,B901&gt;5,B901&lt;&gt;INT(B901)),"违规：加仓序号须为1到5的整数",IF(COUNTIFS($A$2:$A$1001,A901,$B$2:$B$1001,B901)&gt;1,"违规：同一交易的加仓序号重复",IF(OR(D901="",E901="",F901=""),"计划不完整：请填写加仓价、新止损价和风险预算",IF(OR(D901&lt;=0,E901&lt;=0,F901&lt;=0,D901&lt;=E901),"违规：加仓价必须高于新止损价，金额须大于0",IF(AND(B901&gt;1,COUNTIFS($A$2:$A$1001,A901,$B$2:$B$1001,B901-1,$G$2:$G$1001,"&gt;0")=0),"违规：须先完成上一次加仓",IF(AND(B901&gt;1,E901&lt;SUMIFS($E$2:$E$1001,$A$2:$A$1001,A901,$B$2:$B$1001,B901-1)),"违规：新止损价不得低于上一次",IF(AND(B901&gt;1,F901&gt;SUMIFS($F$2:$F$1001,$A$2:$A$1001,A901,$B$2:$B$1001,B901-1)),"违规：风险预算须逐次不增加",IF(OR(_LockStatus="已锁仓",_LockStatus="解锁信息不完整"),"违规：锁仓期间禁止加仓",IF(G901="","计划可执行：建议股数见N列",IF(OR(G901&lt;=0,G901&lt;&gt;INT(G901),MOD(G901,100)&lt;&gt;0),"违规：实际股数须为100股整数倍",IF(G901&gt;N901,"违规：实际股数超过风险或金字塔上限",IF(AND(B901&gt;1,G901&gt;SUMIFS($G$2:$G$1001,$A$2:$A$1001,A901,$B$2:$B$1001,B901-1)),"违规：加仓股数须逐次不增加",IF(Q901&gt;F901,"违规：止损风险超过本次预算","通过")))))))))))))))</f>
        <v/>
      </c>
    </row>
    <row r="902" ht="17" spans="1:18">
      <c r="A902" s="13"/>
      <c r="B902" s="14"/>
      <c r="C902" s="15"/>
      <c r="D902" s="16"/>
      <c r="E902" s="16"/>
      <c r="F902" s="16"/>
      <c r="G902" s="14"/>
      <c r="H902" s="17" t="str">
        <f t="shared" si="112"/>
        <v/>
      </c>
      <c r="I902" s="18" t="str">
        <f>IF(OR(A902="",B902=""),"",IFERROR(LOOKUP(2,1/(单次交易!$A$2:$A$201=A902),单次交易!$H$2:$H$201),0)+SUMIFS($G$2:$G$1001,$A$2:$A$1001,A902,$B$2:$B$1001,"&lt;"&amp;B902))</f>
        <v/>
      </c>
      <c r="J902" s="17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17" t="str">
        <f t="shared" si="113"/>
        <v/>
      </c>
      <c r="L902" s="18" t="str">
        <f t="shared" si="114"/>
        <v/>
      </c>
      <c r="M902" s="18" t="str">
        <f t="shared" si="115"/>
        <v/>
      </c>
      <c r="N902" s="18" t="str">
        <f t="shared" si="116"/>
        <v/>
      </c>
      <c r="O902" s="18" t="str">
        <f t="shared" si="117"/>
        <v/>
      </c>
      <c r="P902" s="17" t="str">
        <f t="shared" si="118"/>
        <v/>
      </c>
      <c r="Q902" s="17" t="str">
        <f t="shared" si="119"/>
        <v/>
      </c>
      <c r="R902" s="19" t="str">
        <f ca="1">IF(A902="","",IF(COUNTIF(_TradeIds,A902)=0,"违规：交易编号不存在",IF(OR(B902="",B902&lt;1,B902&gt;5,B902&lt;&gt;INT(B902)),"违规：加仓序号须为1到5的整数",IF(COUNTIFS($A$2:$A$1001,A902,$B$2:$B$1001,B902)&gt;1,"违规：同一交易的加仓序号重复",IF(OR(D902="",E902="",F902=""),"计划不完整：请填写加仓价、新止损价和风险预算",IF(OR(D902&lt;=0,E902&lt;=0,F902&lt;=0,D902&lt;=E902),"违规：加仓价必须高于新止损价，金额须大于0",IF(AND(B902&gt;1,COUNTIFS($A$2:$A$1001,A902,$B$2:$B$1001,B902-1,$G$2:$G$1001,"&gt;0")=0),"违规：须先完成上一次加仓",IF(AND(B902&gt;1,E902&lt;SUMIFS($E$2:$E$1001,$A$2:$A$1001,A902,$B$2:$B$1001,B902-1)),"违规：新止损价不得低于上一次",IF(AND(B902&gt;1,F902&gt;SUMIFS($F$2:$F$1001,$A$2:$A$1001,A902,$B$2:$B$1001,B902-1)),"违规：风险预算须逐次不增加",IF(OR(_LockStatus="已锁仓",_LockStatus="解锁信息不完整"),"违规：锁仓期间禁止加仓",IF(G902="","计划可执行：建议股数见N列",IF(OR(G902&lt;=0,G902&lt;&gt;INT(G902),MOD(G902,100)&lt;&gt;0),"违规：实际股数须为100股整数倍",IF(G902&gt;N902,"违规：实际股数超过风险或金字塔上限",IF(AND(B902&gt;1,G902&gt;SUMIFS($G$2:$G$1001,$A$2:$A$1001,A902,$B$2:$B$1001,B902-1)),"违规：加仓股数须逐次不增加",IF(Q902&gt;F902,"违规：止损风险超过本次预算","通过")))))))))))))))</f>
        <v/>
      </c>
    </row>
    <row r="903" ht="17" spans="1:18">
      <c r="A903" s="13"/>
      <c r="B903" s="14"/>
      <c r="C903" s="15"/>
      <c r="D903" s="16"/>
      <c r="E903" s="16"/>
      <c r="F903" s="16"/>
      <c r="G903" s="14"/>
      <c r="H903" s="17" t="str">
        <f t="shared" si="112"/>
        <v/>
      </c>
      <c r="I903" s="18" t="str">
        <f>IF(OR(A903="",B903=""),"",IFERROR(LOOKUP(2,1/(单次交易!$A$2:$A$201=A903),单次交易!$H$2:$H$201),0)+SUMIFS($G$2:$G$1001,$A$2:$A$1001,A903,$B$2:$B$1001,"&lt;"&amp;B903))</f>
        <v/>
      </c>
      <c r="J903" s="17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17" t="str">
        <f t="shared" si="113"/>
        <v/>
      </c>
      <c r="L903" s="18" t="str">
        <f t="shared" si="114"/>
        <v/>
      </c>
      <c r="M903" s="18" t="str">
        <f t="shared" si="115"/>
        <v/>
      </c>
      <c r="N903" s="18" t="str">
        <f t="shared" si="116"/>
        <v/>
      </c>
      <c r="O903" s="18" t="str">
        <f t="shared" si="117"/>
        <v/>
      </c>
      <c r="P903" s="17" t="str">
        <f t="shared" si="118"/>
        <v/>
      </c>
      <c r="Q903" s="17" t="str">
        <f t="shared" si="119"/>
        <v/>
      </c>
      <c r="R903" s="19" t="str">
        <f ca="1">IF(A903="","",IF(COUNTIF(_TradeIds,A903)=0,"违规：交易编号不存在",IF(OR(B903="",B903&lt;1,B903&gt;5,B903&lt;&gt;INT(B903)),"违规：加仓序号须为1到5的整数",IF(COUNTIFS($A$2:$A$1001,A903,$B$2:$B$1001,B903)&gt;1,"违规：同一交易的加仓序号重复",IF(OR(D903="",E903="",F903=""),"计划不完整：请填写加仓价、新止损价和风险预算",IF(OR(D903&lt;=0,E903&lt;=0,F903&lt;=0,D903&lt;=E903),"违规：加仓价必须高于新止损价，金额须大于0",IF(AND(B903&gt;1,COUNTIFS($A$2:$A$1001,A903,$B$2:$B$1001,B903-1,$G$2:$G$1001,"&gt;0")=0),"违规：须先完成上一次加仓",IF(AND(B903&gt;1,E903&lt;SUMIFS($E$2:$E$1001,$A$2:$A$1001,A903,$B$2:$B$1001,B903-1)),"违规：新止损价不得低于上一次",IF(AND(B903&gt;1,F903&gt;SUMIFS($F$2:$F$1001,$A$2:$A$1001,A903,$B$2:$B$1001,B903-1)),"违规：风险预算须逐次不增加",IF(OR(_LockStatus="已锁仓",_LockStatus="解锁信息不完整"),"违规：锁仓期间禁止加仓",IF(G903="","计划可执行：建议股数见N列",IF(OR(G903&lt;=0,G903&lt;&gt;INT(G903),MOD(G903,100)&lt;&gt;0),"违规：实际股数须为100股整数倍",IF(G903&gt;N903,"违规：实际股数超过风险或金字塔上限",IF(AND(B903&gt;1,G903&gt;SUMIFS($G$2:$G$1001,$A$2:$A$1001,A903,$B$2:$B$1001,B903-1)),"违规：加仓股数须逐次不增加",IF(Q903&gt;F903,"违规：止损风险超过本次预算","通过")))))))))))))))</f>
        <v/>
      </c>
    </row>
    <row r="904" ht="17" spans="1:18">
      <c r="A904" s="13"/>
      <c r="B904" s="14"/>
      <c r="C904" s="15"/>
      <c r="D904" s="16"/>
      <c r="E904" s="16"/>
      <c r="F904" s="16"/>
      <c r="G904" s="14"/>
      <c r="H904" s="17" t="str">
        <f t="shared" si="112"/>
        <v/>
      </c>
      <c r="I904" s="18" t="str">
        <f>IF(OR(A904="",B904=""),"",IFERROR(LOOKUP(2,1/(单次交易!$A$2:$A$201=A904),单次交易!$H$2:$H$201),0)+SUMIFS($G$2:$G$1001,$A$2:$A$1001,A904,$B$2:$B$1001,"&lt;"&amp;B904))</f>
        <v/>
      </c>
      <c r="J904" s="17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17" t="str">
        <f t="shared" si="113"/>
        <v/>
      </c>
      <c r="L904" s="18" t="str">
        <f t="shared" si="114"/>
        <v/>
      </c>
      <c r="M904" s="18" t="str">
        <f t="shared" si="115"/>
        <v/>
      </c>
      <c r="N904" s="18" t="str">
        <f t="shared" si="116"/>
        <v/>
      </c>
      <c r="O904" s="18" t="str">
        <f t="shared" si="117"/>
        <v/>
      </c>
      <c r="P904" s="17" t="str">
        <f t="shared" si="118"/>
        <v/>
      </c>
      <c r="Q904" s="17" t="str">
        <f t="shared" si="119"/>
        <v/>
      </c>
      <c r="R904" s="19" t="str">
        <f ca="1">IF(A904="","",IF(COUNTIF(_TradeIds,A904)=0,"违规：交易编号不存在",IF(OR(B904="",B904&lt;1,B904&gt;5,B904&lt;&gt;INT(B904)),"违规：加仓序号须为1到5的整数",IF(COUNTIFS($A$2:$A$1001,A904,$B$2:$B$1001,B904)&gt;1,"违规：同一交易的加仓序号重复",IF(OR(D904="",E904="",F904=""),"计划不完整：请填写加仓价、新止损价和风险预算",IF(OR(D904&lt;=0,E904&lt;=0,F904&lt;=0,D904&lt;=E904),"违规：加仓价必须高于新止损价，金额须大于0",IF(AND(B904&gt;1,COUNTIFS($A$2:$A$1001,A904,$B$2:$B$1001,B904-1,$G$2:$G$1001,"&gt;0")=0),"违规：须先完成上一次加仓",IF(AND(B904&gt;1,E904&lt;SUMIFS($E$2:$E$1001,$A$2:$A$1001,A904,$B$2:$B$1001,B904-1)),"违规：新止损价不得低于上一次",IF(AND(B904&gt;1,F904&gt;SUMIFS($F$2:$F$1001,$A$2:$A$1001,A904,$B$2:$B$1001,B904-1)),"违规：风险预算须逐次不增加",IF(OR(_LockStatus="已锁仓",_LockStatus="解锁信息不完整"),"违规：锁仓期间禁止加仓",IF(G904="","计划可执行：建议股数见N列",IF(OR(G904&lt;=0,G904&lt;&gt;INT(G904),MOD(G904,100)&lt;&gt;0),"违规：实际股数须为100股整数倍",IF(G904&gt;N904,"违规：实际股数超过风险或金字塔上限",IF(AND(B904&gt;1,G904&gt;SUMIFS($G$2:$G$1001,$A$2:$A$1001,A904,$B$2:$B$1001,B904-1)),"违规：加仓股数须逐次不增加",IF(Q904&gt;F904,"违规：止损风险超过本次预算","通过")))))))))))))))</f>
        <v/>
      </c>
    </row>
    <row r="905" ht="17" spans="1:18">
      <c r="A905" s="13"/>
      <c r="B905" s="14"/>
      <c r="C905" s="15"/>
      <c r="D905" s="16"/>
      <c r="E905" s="16"/>
      <c r="F905" s="16"/>
      <c r="G905" s="14"/>
      <c r="H905" s="17" t="str">
        <f t="shared" si="112"/>
        <v/>
      </c>
      <c r="I905" s="18" t="str">
        <f>IF(OR(A905="",B905=""),"",IFERROR(LOOKUP(2,1/(单次交易!$A$2:$A$201=A905),单次交易!$H$2:$H$201),0)+SUMIFS($G$2:$G$1001,$A$2:$A$1001,A905,$B$2:$B$1001,"&lt;"&amp;B905))</f>
        <v/>
      </c>
      <c r="J905" s="17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17" t="str">
        <f t="shared" si="113"/>
        <v/>
      </c>
      <c r="L905" s="18" t="str">
        <f t="shared" si="114"/>
        <v/>
      </c>
      <c r="M905" s="18" t="str">
        <f t="shared" si="115"/>
        <v/>
      </c>
      <c r="N905" s="18" t="str">
        <f t="shared" si="116"/>
        <v/>
      </c>
      <c r="O905" s="18" t="str">
        <f t="shared" si="117"/>
        <v/>
      </c>
      <c r="P905" s="17" t="str">
        <f t="shared" si="118"/>
        <v/>
      </c>
      <c r="Q905" s="17" t="str">
        <f t="shared" si="119"/>
        <v/>
      </c>
      <c r="R905" s="19" t="str">
        <f ca="1">IF(A905="","",IF(COUNTIF(_TradeIds,A905)=0,"违规：交易编号不存在",IF(OR(B905="",B905&lt;1,B905&gt;5,B905&lt;&gt;INT(B905)),"违规：加仓序号须为1到5的整数",IF(COUNTIFS($A$2:$A$1001,A905,$B$2:$B$1001,B905)&gt;1,"违规：同一交易的加仓序号重复",IF(OR(D905="",E905="",F905=""),"计划不完整：请填写加仓价、新止损价和风险预算",IF(OR(D905&lt;=0,E905&lt;=0,F905&lt;=0,D905&lt;=E905),"违规：加仓价必须高于新止损价，金额须大于0",IF(AND(B905&gt;1,COUNTIFS($A$2:$A$1001,A905,$B$2:$B$1001,B905-1,$G$2:$G$1001,"&gt;0")=0),"违规：须先完成上一次加仓",IF(AND(B905&gt;1,E905&lt;SUMIFS($E$2:$E$1001,$A$2:$A$1001,A905,$B$2:$B$1001,B905-1)),"违规：新止损价不得低于上一次",IF(AND(B905&gt;1,F905&gt;SUMIFS($F$2:$F$1001,$A$2:$A$1001,A905,$B$2:$B$1001,B905-1)),"违规：风险预算须逐次不增加",IF(OR(_LockStatus="已锁仓",_LockStatus="解锁信息不完整"),"违规：锁仓期间禁止加仓",IF(G905="","计划可执行：建议股数见N列",IF(OR(G905&lt;=0,G905&lt;&gt;INT(G905),MOD(G905,100)&lt;&gt;0),"违规：实际股数须为100股整数倍",IF(G905&gt;N905,"违规：实际股数超过风险或金字塔上限",IF(AND(B905&gt;1,G905&gt;SUMIFS($G$2:$G$1001,$A$2:$A$1001,A905,$B$2:$B$1001,B905-1)),"违规：加仓股数须逐次不增加",IF(Q905&gt;F905,"违规：止损风险超过本次预算","通过")))))))))))))))</f>
        <v/>
      </c>
    </row>
    <row r="906" ht="17" spans="1:18">
      <c r="A906" s="13"/>
      <c r="B906" s="14"/>
      <c r="C906" s="15"/>
      <c r="D906" s="16"/>
      <c r="E906" s="16"/>
      <c r="F906" s="16"/>
      <c r="G906" s="14"/>
      <c r="H906" s="17" t="str">
        <f t="shared" si="112"/>
        <v/>
      </c>
      <c r="I906" s="18" t="str">
        <f>IF(OR(A906="",B906=""),"",IFERROR(LOOKUP(2,1/(单次交易!$A$2:$A$201=A906),单次交易!$H$2:$H$201),0)+SUMIFS($G$2:$G$1001,$A$2:$A$1001,A906,$B$2:$B$1001,"&lt;"&amp;B906))</f>
        <v/>
      </c>
      <c r="J906" s="17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17" t="str">
        <f t="shared" si="113"/>
        <v/>
      </c>
      <c r="L906" s="18" t="str">
        <f t="shared" si="114"/>
        <v/>
      </c>
      <c r="M906" s="18" t="str">
        <f t="shared" si="115"/>
        <v/>
      </c>
      <c r="N906" s="18" t="str">
        <f t="shared" si="116"/>
        <v/>
      </c>
      <c r="O906" s="18" t="str">
        <f t="shared" si="117"/>
        <v/>
      </c>
      <c r="P906" s="17" t="str">
        <f t="shared" si="118"/>
        <v/>
      </c>
      <c r="Q906" s="17" t="str">
        <f t="shared" si="119"/>
        <v/>
      </c>
      <c r="R906" s="19" t="str">
        <f ca="1">IF(A906="","",IF(COUNTIF(_TradeIds,A906)=0,"违规：交易编号不存在",IF(OR(B906="",B906&lt;1,B906&gt;5,B906&lt;&gt;INT(B906)),"违规：加仓序号须为1到5的整数",IF(COUNTIFS($A$2:$A$1001,A906,$B$2:$B$1001,B906)&gt;1,"违规：同一交易的加仓序号重复",IF(OR(D906="",E906="",F906=""),"计划不完整：请填写加仓价、新止损价和风险预算",IF(OR(D906&lt;=0,E906&lt;=0,F906&lt;=0,D906&lt;=E906),"违规：加仓价必须高于新止损价，金额须大于0",IF(AND(B906&gt;1,COUNTIFS($A$2:$A$1001,A906,$B$2:$B$1001,B906-1,$G$2:$G$1001,"&gt;0")=0),"违规：须先完成上一次加仓",IF(AND(B906&gt;1,E906&lt;SUMIFS($E$2:$E$1001,$A$2:$A$1001,A906,$B$2:$B$1001,B906-1)),"违规：新止损价不得低于上一次",IF(AND(B906&gt;1,F906&gt;SUMIFS($F$2:$F$1001,$A$2:$A$1001,A906,$B$2:$B$1001,B906-1)),"违规：风险预算须逐次不增加",IF(OR(_LockStatus="已锁仓",_LockStatus="解锁信息不完整"),"违规：锁仓期间禁止加仓",IF(G906="","计划可执行：建议股数见N列",IF(OR(G906&lt;=0,G906&lt;&gt;INT(G906),MOD(G906,100)&lt;&gt;0),"违规：实际股数须为100股整数倍",IF(G906&gt;N906,"违规：实际股数超过风险或金字塔上限",IF(AND(B906&gt;1,G906&gt;SUMIFS($G$2:$G$1001,$A$2:$A$1001,A906,$B$2:$B$1001,B906-1)),"违规：加仓股数须逐次不增加",IF(Q906&gt;F906,"违规：止损风险超过本次预算","通过")))))))))))))))</f>
        <v/>
      </c>
    </row>
    <row r="907" ht="17" spans="1:18">
      <c r="A907" s="13"/>
      <c r="B907" s="14"/>
      <c r="C907" s="15"/>
      <c r="D907" s="16"/>
      <c r="E907" s="16"/>
      <c r="F907" s="16"/>
      <c r="G907" s="14"/>
      <c r="H907" s="17" t="str">
        <f t="shared" si="112"/>
        <v/>
      </c>
      <c r="I907" s="18" t="str">
        <f>IF(OR(A907="",B907=""),"",IFERROR(LOOKUP(2,1/(单次交易!$A$2:$A$201=A907),单次交易!$H$2:$H$201),0)+SUMIFS($G$2:$G$1001,$A$2:$A$1001,A907,$B$2:$B$1001,"&lt;"&amp;B907))</f>
        <v/>
      </c>
      <c r="J907" s="17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17" t="str">
        <f t="shared" si="113"/>
        <v/>
      </c>
      <c r="L907" s="18" t="str">
        <f t="shared" si="114"/>
        <v/>
      </c>
      <c r="M907" s="18" t="str">
        <f t="shared" si="115"/>
        <v/>
      </c>
      <c r="N907" s="18" t="str">
        <f t="shared" si="116"/>
        <v/>
      </c>
      <c r="O907" s="18" t="str">
        <f t="shared" si="117"/>
        <v/>
      </c>
      <c r="P907" s="17" t="str">
        <f t="shared" si="118"/>
        <v/>
      </c>
      <c r="Q907" s="17" t="str">
        <f t="shared" si="119"/>
        <v/>
      </c>
      <c r="R907" s="19" t="str">
        <f ca="1">IF(A907="","",IF(COUNTIF(_TradeIds,A907)=0,"违规：交易编号不存在",IF(OR(B907="",B907&lt;1,B907&gt;5,B907&lt;&gt;INT(B907)),"违规：加仓序号须为1到5的整数",IF(COUNTIFS($A$2:$A$1001,A907,$B$2:$B$1001,B907)&gt;1,"违规：同一交易的加仓序号重复",IF(OR(D907="",E907="",F907=""),"计划不完整：请填写加仓价、新止损价和风险预算",IF(OR(D907&lt;=0,E907&lt;=0,F907&lt;=0,D907&lt;=E907),"违规：加仓价必须高于新止损价，金额须大于0",IF(AND(B907&gt;1,COUNTIFS($A$2:$A$1001,A907,$B$2:$B$1001,B907-1,$G$2:$G$1001,"&gt;0")=0),"违规：须先完成上一次加仓",IF(AND(B907&gt;1,E907&lt;SUMIFS($E$2:$E$1001,$A$2:$A$1001,A907,$B$2:$B$1001,B907-1)),"违规：新止损价不得低于上一次",IF(AND(B907&gt;1,F907&gt;SUMIFS($F$2:$F$1001,$A$2:$A$1001,A907,$B$2:$B$1001,B907-1)),"违规：风险预算须逐次不增加",IF(OR(_LockStatus="已锁仓",_LockStatus="解锁信息不完整"),"违规：锁仓期间禁止加仓",IF(G907="","计划可执行：建议股数见N列",IF(OR(G907&lt;=0,G907&lt;&gt;INT(G907),MOD(G907,100)&lt;&gt;0),"违规：实际股数须为100股整数倍",IF(G907&gt;N907,"违规：实际股数超过风险或金字塔上限",IF(AND(B907&gt;1,G907&gt;SUMIFS($G$2:$G$1001,$A$2:$A$1001,A907,$B$2:$B$1001,B907-1)),"违规：加仓股数须逐次不增加",IF(Q907&gt;F907,"违规：止损风险超过本次预算","通过")))))))))))))))</f>
        <v/>
      </c>
    </row>
    <row r="908" ht="17" spans="1:18">
      <c r="A908" s="13"/>
      <c r="B908" s="14"/>
      <c r="C908" s="15"/>
      <c r="D908" s="16"/>
      <c r="E908" s="16"/>
      <c r="F908" s="16"/>
      <c r="G908" s="14"/>
      <c r="H908" s="17" t="str">
        <f t="shared" si="112"/>
        <v/>
      </c>
      <c r="I908" s="18" t="str">
        <f>IF(OR(A908="",B908=""),"",IFERROR(LOOKUP(2,1/(单次交易!$A$2:$A$201=A908),单次交易!$H$2:$H$201),0)+SUMIFS($G$2:$G$1001,$A$2:$A$1001,A908,$B$2:$B$1001,"&lt;"&amp;B908))</f>
        <v/>
      </c>
      <c r="J908" s="17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17" t="str">
        <f t="shared" si="113"/>
        <v/>
      </c>
      <c r="L908" s="18" t="str">
        <f t="shared" si="114"/>
        <v/>
      </c>
      <c r="M908" s="18" t="str">
        <f t="shared" si="115"/>
        <v/>
      </c>
      <c r="N908" s="18" t="str">
        <f t="shared" si="116"/>
        <v/>
      </c>
      <c r="O908" s="18" t="str">
        <f t="shared" si="117"/>
        <v/>
      </c>
      <c r="P908" s="17" t="str">
        <f t="shared" si="118"/>
        <v/>
      </c>
      <c r="Q908" s="17" t="str">
        <f t="shared" si="119"/>
        <v/>
      </c>
      <c r="R908" s="19" t="str">
        <f ca="1">IF(A908="","",IF(COUNTIF(_TradeIds,A908)=0,"违规：交易编号不存在",IF(OR(B908="",B908&lt;1,B908&gt;5,B908&lt;&gt;INT(B908)),"违规：加仓序号须为1到5的整数",IF(COUNTIFS($A$2:$A$1001,A908,$B$2:$B$1001,B908)&gt;1,"违规：同一交易的加仓序号重复",IF(OR(D908="",E908="",F908=""),"计划不完整：请填写加仓价、新止损价和风险预算",IF(OR(D908&lt;=0,E908&lt;=0,F908&lt;=0,D908&lt;=E908),"违规：加仓价必须高于新止损价，金额须大于0",IF(AND(B908&gt;1,COUNTIFS($A$2:$A$1001,A908,$B$2:$B$1001,B908-1,$G$2:$G$1001,"&gt;0")=0),"违规：须先完成上一次加仓",IF(AND(B908&gt;1,E908&lt;SUMIFS($E$2:$E$1001,$A$2:$A$1001,A908,$B$2:$B$1001,B908-1)),"违规：新止损价不得低于上一次",IF(AND(B908&gt;1,F908&gt;SUMIFS($F$2:$F$1001,$A$2:$A$1001,A908,$B$2:$B$1001,B908-1)),"违规：风险预算须逐次不增加",IF(OR(_LockStatus="已锁仓",_LockStatus="解锁信息不完整"),"违规：锁仓期间禁止加仓",IF(G908="","计划可执行：建议股数见N列",IF(OR(G908&lt;=0,G908&lt;&gt;INT(G908),MOD(G908,100)&lt;&gt;0),"违规：实际股数须为100股整数倍",IF(G908&gt;N908,"违规：实际股数超过风险或金字塔上限",IF(AND(B908&gt;1,G908&gt;SUMIFS($G$2:$G$1001,$A$2:$A$1001,A908,$B$2:$B$1001,B908-1)),"违规：加仓股数须逐次不增加",IF(Q908&gt;F908,"违规：止损风险超过本次预算","通过")))))))))))))))</f>
        <v/>
      </c>
    </row>
    <row r="909" ht="17" spans="1:18">
      <c r="A909" s="13"/>
      <c r="B909" s="14"/>
      <c r="C909" s="15"/>
      <c r="D909" s="16"/>
      <c r="E909" s="16"/>
      <c r="F909" s="16"/>
      <c r="G909" s="14"/>
      <c r="H909" s="17" t="str">
        <f t="shared" si="112"/>
        <v/>
      </c>
      <c r="I909" s="18" t="str">
        <f>IF(OR(A909="",B909=""),"",IFERROR(LOOKUP(2,1/(单次交易!$A$2:$A$201=A909),单次交易!$H$2:$H$201),0)+SUMIFS($G$2:$G$1001,$A$2:$A$1001,A909,$B$2:$B$1001,"&lt;"&amp;B909))</f>
        <v/>
      </c>
      <c r="J909" s="17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17" t="str">
        <f t="shared" si="113"/>
        <v/>
      </c>
      <c r="L909" s="18" t="str">
        <f t="shared" si="114"/>
        <v/>
      </c>
      <c r="M909" s="18" t="str">
        <f t="shared" si="115"/>
        <v/>
      </c>
      <c r="N909" s="18" t="str">
        <f t="shared" si="116"/>
        <v/>
      </c>
      <c r="O909" s="18" t="str">
        <f t="shared" si="117"/>
        <v/>
      </c>
      <c r="P909" s="17" t="str">
        <f t="shared" si="118"/>
        <v/>
      </c>
      <c r="Q909" s="17" t="str">
        <f t="shared" si="119"/>
        <v/>
      </c>
      <c r="R909" s="19" t="str">
        <f ca="1">IF(A909="","",IF(COUNTIF(_TradeIds,A909)=0,"违规：交易编号不存在",IF(OR(B909="",B909&lt;1,B909&gt;5,B909&lt;&gt;INT(B909)),"违规：加仓序号须为1到5的整数",IF(COUNTIFS($A$2:$A$1001,A909,$B$2:$B$1001,B909)&gt;1,"违规：同一交易的加仓序号重复",IF(OR(D909="",E909="",F909=""),"计划不完整：请填写加仓价、新止损价和风险预算",IF(OR(D909&lt;=0,E909&lt;=0,F909&lt;=0,D909&lt;=E909),"违规：加仓价必须高于新止损价，金额须大于0",IF(AND(B909&gt;1,COUNTIFS($A$2:$A$1001,A909,$B$2:$B$1001,B909-1,$G$2:$G$1001,"&gt;0")=0),"违规：须先完成上一次加仓",IF(AND(B909&gt;1,E909&lt;SUMIFS($E$2:$E$1001,$A$2:$A$1001,A909,$B$2:$B$1001,B909-1)),"违规：新止损价不得低于上一次",IF(AND(B909&gt;1,F909&gt;SUMIFS($F$2:$F$1001,$A$2:$A$1001,A909,$B$2:$B$1001,B909-1)),"违规：风险预算须逐次不增加",IF(OR(_LockStatus="已锁仓",_LockStatus="解锁信息不完整"),"违规：锁仓期间禁止加仓",IF(G909="","计划可执行：建议股数见N列",IF(OR(G909&lt;=0,G909&lt;&gt;INT(G909),MOD(G909,100)&lt;&gt;0),"违规：实际股数须为100股整数倍",IF(G909&gt;N909,"违规：实际股数超过风险或金字塔上限",IF(AND(B909&gt;1,G909&gt;SUMIFS($G$2:$G$1001,$A$2:$A$1001,A909,$B$2:$B$1001,B909-1)),"违规：加仓股数须逐次不增加",IF(Q909&gt;F909,"违规：止损风险超过本次预算","通过")))))))))))))))</f>
        <v/>
      </c>
    </row>
    <row r="910" ht="17" spans="1:18">
      <c r="A910" s="13"/>
      <c r="B910" s="14"/>
      <c r="C910" s="15"/>
      <c r="D910" s="16"/>
      <c r="E910" s="16"/>
      <c r="F910" s="16"/>
      <c r="G910" s="14"/>
      <c r="H910" s="17" t="str">
        <f t="shared" si="112"/>
        <v/>
      </c>
      <c r="I910" s="18" t="str">
        <f>IF(OR(A910="",B910=""),"",IFERROR(LOOKUP(2,1/(单次交易!$A$2:$A$201=A910),单次交易!$H$2:$H$201),0)+SUMIFS($G$2:$G$1001,$A$2:$A$1001,A910,$B$2:$B$1001,"&lt;"&amp;B910))</f>
        <v/>
      </c>
      <c r="J910" s="17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17" t="str">
        <f t="shared" si="113"/>
        <v/>
      </c>
      <c r="L910" s="18" t="str">
        <f t="shared" si="114"/>
        <v/>
      </c>
      <c r="M910" s="18" t="str">
        <f t="shared" si="115"/>
        <v/>
      </c>
      <c r="N910" s="18" t="str">
        <f t="shared" si="116"/>
        <v/>
      </c>
      <c r="O910" s="18" t="str">
        <f t="shared" si="117"/>
        <v/>
      </c>
      <c r="P910" s="17" t="str">
        <f t="shared" si="118"/>
        <v/>
      </c>
      <c r="Q910" s="17" t="str">
        <f t="shared" si="119"/>
        <v/>
      </c>
      <c r="R910" s="19" t="str">
        <f ca="1">IF(A910="","",IF(COUNTIF(_TradeIds,A910)=0,"违规：交易编号不存在",IF(OR(B910="",B910&lt;1,B910&gt;5,B910&lt;&gt;INT(B910)),"违规：加仓序号须为1到5的整数",IF(COUNTIFS($A$2:$A$1001,A910,$B$2:$B$1001,B910)&gt;1,"违规：同一交易的加仓序号重复",IF(OR(D910="",E910="",F910=""),"计划不完整：请填写加仓价、新止损价和风险预算",IF(OR(D910&lt;=0,E910&lt;=0,F910&lt;=0,D910&lt;=E910),"违规：加仓价必须高于新止损价，金额须大于0",IF(AND(B910&gt;1,COUNTIFS($A$2:$A$1001,A910,$B$2:$B$1001,B910-1,$G$2:$G$1001,"&gt;0")=0),"违规：须先完成上一次加仓",IF(AND(B910&gt;1,E910&lt;SUMIFS($E$2:$E$1001,$A$2:$A$1001,A910,$B$2:$B$1001,B910-1)),"违规：新止损价不得低于上一次",IF(AND(B910&gt;1,F910&gt;SUMIFS($F$2:$F$1001,$A$2:$A$1001,A910,$B$2:$B$1001,B910-1)),"违规：风险预算须逐次不增加",IF(OR(_LockStatus="已锁仓",_LockStatus="解锁信息不完整"),"违规：锁仓期间禁止加仓",IF(G910="","计划可执行：建议股数见N列",IF(OR(G910&lt;=0,G910&lt;&gt;INT(G910),MOD(G910,100)&lt;&gt;0),"违规：实际股数须为100股整数倍",IF(G910&gt;N910,"违规：实际股数超过风险或金字塔上限",IF(AND(B910&gt;1,G910&gt;SUMIFS($G$2:$G$1001,$A$2:$A$1001,A910,$B$2:$B$1001,B910-1)),"违规：加仓股数须逐次不增加",IF(Q910&gt;F910,"违规：止损风险超过本次预算","通过")))))))))))))))</f>
        <v/>
      </c>
    </row>
    <row r="911" ht="17" spans="1:18">
      <c r="A911" s="13"/>
      <c r="B911" s="14"/>
      <c r="C911" s="15"/>
      <c r="D911" s="16"/>
      <c r="E911" s="16"/>
      <c r="F911" s="16"/>
      <c r="G911" s="14"/>
      <c r="H911" s="17" t="str">
        <f t="shared" si="112"/>
        <v/>
      </c>
      <c r="I911" s="18" t="str">
        <f>IF(OR(A911="",B911=""),"",IFERROR(LOOKUP(2,1/(单次交易!$A$2:$A$201=A911),单次交易!$H$2:$H$201),0)+SUMIFS($G$2:$G$1001,$A$2:$A$1001,A911,$B$2:$B$1001,"&lt;"&amp;B911))</f>
        <v/>
      </c>
      <c r="J911" s="17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17" t="str">
        <f t="shared" si="113"/>
        <v/>
      </c>
      <c r="L911" s="18" t="str">
        <f t="shared" si="114"/>
        <v/>
      </c>
      <c r="M911" s="18" t="str">
        <f t="shared" si="115"/>
        <v/>
      </c>
      <c r="N911" s="18" t="str">
        <f t="shared" si="116"/>
        <v/>
      </c>
      <c r="O911" s="18" t="str">
        <f t="shared" si="117"/>
        <v/>
      </c>
      <c r="P911" s="17" t="str">
        <f t="shared" si="118"/>
        <v/>
      </c>
      <c r="Q911" s="17" t="str">
        <f t="shared" si="119"/>
        <v/>
      </c>
      <c r="R911" s="19" t="str">
        <f ca="1">IF(A911="","",IF(COUNTIF(_TradeIds,A911)=0,"违规：交易编号不存在",IF(OR(B911="",B911&lt;1,B911&gt;5,B911&lt;&gt;INT(B911)),"违规：加仓序号须为1到5的整数",IF(COUNTIFS($A$2:$A$1001,A911,$B$2:$B$1001,B911)&gt;1,"违规：同一交易的加仓序号重复",IF(OR(D911="",E911="",F911=""),"计划不完整：请填写加仓价、新止损价和风险预算",IF(OR(D911&lt;=0,E911&lt;=0,F911&lt;=0,D911&lt;=E911),"违规：加仓价必须高于新止损价，金额须大于0",IF(AND(B911&gt;1,COUNTIFS($A$2:$A$1001,A911,$B$2:$B$1001,B911-1,$G$2:$G$1001,"&gt;0")=0),"违规：须先完成上一次加仓",IF(AND(B911&gt;1,E911&lt;SUMIFS($E$2:$E$1001,$A$2:$A$1001,A911,$B$2:$B$1001,B911-1)),"违规：新止损价不得低于上一次",IF(AND(B911&gt;1,F911&gt;SUMIFS($F$2:$F$1001,$A$2:$A$1001,A911,$B$2:$B$1001,B911-1)),"违规：风险预算须逐次不增加",IF(OR(_LockStatus="已锁仓",_LockStatus="解锁信息不完整"),"违规：锁仓期间禁止加仓",IF(G911="","计划可执行：建议股数见N列",IF(OR(G911&lt;=0,G911&lt;&gt;INT(G911),MOD(G911,100)&lt;&gt;0),"违规：实际股数须为100股整数倍",IF(G911&gt;N911,"违规：实际股数超过风险或金字塔上限",IF(AND(B911&gt;1,G911&gt;SUMIFS($G$2:$G$1001,$A$2:$A$1001,A911,$B$2:$B$1001,B911-1)),"违规：加仓股数须逐次不增加",IF(Q911&gt;F911,"违规：止损风险超过本次预算","通过")))))))))))))))</f>
        <v/>
      </c>
    </row>
    <row r="912" ht="17" spans="1:18">
      <c r="A912" s="13"/>
      <c r="B912" s="14"/>
      <c r="C912" s="15"/>
      <c r="D912" s="16"/>
      <c r="E912" s="16"/>
      <c r="F912" s="16"/>
      <c r="G912" s="14"/>
      <c r="H912" s="17" t="str">
        <f t="shared" si="112"/>
        <v/>
      </c>
      <c r="I912" s="18" t="str">
        <f>IF(OR(A912="",B912=""),"",IFERROR(LOOKUP(2,1/(单次交易!$A$2:$A$201=A912),单次交易!$H$2:$H$201),0)+SUMIFS($G$2:$G$1001,$A$2:$A$1001,A912,$B$2:$B$1001,"&lt;"&amp;B912))</f>
        <v/>
      </c>
      <c r="J912" s="17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17" t="str">
        <f t="shared" si="113"/>
        <v/>
      </c>
      <c r="L912" s="18" t="str">
        <f t="shared" si="114"/>
        <v/>
      </c>
      <c r="M912" s="18" t="str">
        <f t="shared" si="115"/>
        <v/>
      </c>
      <c r="N912" s="18" t="str">
        <f t="shared" si="116"/>
        <v/>
      </c>
      <c r="O912" s="18" t="str">
        <f t="shared" si="117"/>
        <v/>
      </c>
      <c r="P912" s="17" t="str">
        <f t="shared" si="118"/>
        <v/>
      </c>
      <c r="Q912" s="17" t="str">
        <f t="shared" si="119"/>
        <v/>
      </c>
      <c r="R912" s="19" t="str">
        <f ca="1">IF(A912="","",IF(COUNTIF(_TradeIds,A912)=0,"违规：交易编号不存在",IF(OR(B912="",B912&lt;1,B912&gt;5,B912&lt;&gt;INT(B912)),"违规：加仓序号须为1到5的整数",IF(COUNTIFS($A$2:$A$1001,A912,$B$2:$B$1001,B912)&gt;1,"违规：同一交易的加仓序号重复",IF(OR(D912="",E912="",F912=""),"计划不完整：请填写加仓价、新止损价和风险预算",IF(OR(D912&lt;=0,E912&lt;=0,F912&lt;=0,D912&lt;=E912),"违规：加仓价必须高于新止损价，金额须大于0",IF(AND(B912&gt;1,COUNTIFS($A$2:$A$1001,A912,$B$2:$B$1001,B912-1,$G$2:$G$1001,"&gt;0")=0),"违规：须先完成上一次加仓",IF(AND(B912&gt;1,E912&lt;SUMIFS($E$2:$E$1001,$A$2:$A$1001,A912,$B$2:$B$1001,B912-1)),"违规：新止损价不得低于上一次",IF(AND(B912&gt;1,F912&gt;SUMIFS($F$2:$F$1001,$A$2:$A$1001,A912,$B$2:$B$1001,B912-1)),"违规：风险预算须逐次不增加",IF(OR(_LockStatus="已锁仓",_LockStatus="解锁信息不完整"),"违规：锁仓期间禁止加仓",IF(G912="","计划可执行：建议股数见N列",IF(OR(G912&lt;=0,G912&lt;&gt;INT(G912),MOD(G912,100)&lt;&gt;0),"违规：实际股数须为100股整数倍",IF(G912&gt;N912,"违规：实际股数超过风险或金字塔上限",IF(AND(B912&gt;1,G912&gt;SUMIFS($G$2:$G$1001,$A$2:$A$1001,A912,$B$2:$B$1001,B912-1)),"违规：加仓股数须逐次不增加",IF(Q912&gt;F912,"违规：止损风险超过本次预算","通过")))))))))))))))</f>
        <v/>
      </c>
    </row>
    <row r="913" ht="17" spans="1:18">
      <c r="A913" s="13"/>
      <c r="B913" s="14"/>
      <c r="C913" s="15"/>
      <c r="D913" s="16"/>
      <c r="E913" s="16"/>
      <c r="F913" s="16"/>
      <c r="G913" s="14"/>
      <c r="H913" s="17" t="str">
        <f t="shared" si="112"/>
        <v/>
      </c>
      <c r="I913" s="18" t="str">
        <f>IF(OR(A913="",B913=""),"",IFERROR(LOOKUP(2,1/(单次交易!$A$2:$A$201=A913),单次交易!$H$2:$H$201),0)+SUMIFS($G$2:$G$1001,$A$2:$A$1001,A913,$B$2:$B$1001,"&lt;"&amp;B913))</f>
        <v/>
      </c>
      <c r="J913" s="17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17" t="str">
        <f t="shared" si="113"/>
        <v/>
      </c>
      <c r="L913" s="18" t="str">
        <f t="shared" si="114"/>
        <v/>
      </c>
      <c r="M913" s="18" t="str">
        <f t="shared" si="115"/>
        <v/>
      </c>
      <c r="N913" s="18" t="str">
        <f t="shared" si="116"/>
        <v/>
      </c>
      <c r="O913" s="18" t="str">
        <f t="shared" si="117"/>
        <v/>
      </c>
      <c r="P913" s="17" t="str">
        <f t="shared" si="118"/>
        <v/>
      </c>
      <c r="Q913" s="17" t="str">
        <f t="shared" si="119"/>
        <v/>
      </c>
      <c r="R913" s="19" t="str">
        <f ca="1">IF(A913="","",IF(COUNTIF(_TradeIds,A913)=0,"违规：交易编号不存在",IF(OR(B913="",B913&lt;1,B913&gt;5,B913&lt;&gt;INT(B913)),"违规：加仓序号须为1到5的整数",IF(COUNTIFS($A$2:$A$1001,A913,$B$2:$B$1001,B913)&gt;1,"违规：同一交易的加仓序号重复",IF(OR(D913="",E913="",F913=""),"计划不完整：请填写加仓价、新止损价和风险预算",IF(OR(D913&lt;=0,E913&lt;=0,F913&lt;=0,D913&lt;=E913),"违规：加仓价必须高于新止损价，金额须大于0",IF(AND(B913&gt;1,COUNTIFS($A$2:$A$1001,A913,$B$2:$B$1001,B913-1,$G$2:$G$1001,"&gt;0")=0),"违规：须先完成上一次加仓",IF(AND(B913&gt;1,E913&lt;SUMIFS($E$2:$E$1001,$A$2:$A$1001,A913,$B$2:$B$1001,B913-1)),"违规：新止损价不得低于上一次",IF(AND(B913&gt;1,F913&gt;SUMIFS($F$2:$F$1001,$A$2:$A$1001,A913,$B$2:$B$1001,B913-1)),"违规：风险预算须逐次不增加",IF(OR(_LockStatus="已锁仓",_LockStatus="解锁信息不完整"),"违规：锁仓期间禁止加仓",IF(G913="","计划可执行：建议股数见N列",IF(OR(G913&lt;=0,G913&lt;&gt;INT(G913),MOD(G913,100)&lt;&gt;0),"违规：实际股数须为100股整数倍",IF(G913&gt;N913,"违规：实际股数超过风险或金字塔上限",IF(AND(B913&gt;1,G913&gt;SUMIFS($G$2:$G$1001,$A$2:$A$1001,A913,$B$2:$B$1001,B913-1)),"违规：加仓股数须逐次不增加",IF(Q913&gt;F913,"违规：止损风险超过本次预算","通过")))))))))))))))</f>
        <v/>
      </c>
    </row>
    <row r="914" ht="17" spans="1:18">
      <c r="A914" s="13"/>
      <c r="B914" s="14"/>
      <c r="C914" s="15"/>
      <c r="D914" s="16"/>
      <c r="E914" s="16"/>
      <c r="F914" s="16"/>
      <c r="G914" s="14"/>
      <c r="H914" s="17" t="str">
        <f t="shared" si="112"/>
        <v/>
      </c>
      <c r="I914" s="18" t="str">
        <f>IF(OR(A914="",B914=""),"",IFERROR(LOOKUP(2,1/(单次交易!$A$2:$A$201=A914),单次交易!$H$2:$H$201),0)+SUMIFS($G$2:$G$1001,$A$2:$A$1001,A914,$B$2:$B$1001,"&lt;"&amp;B914))</f>
        <v/>
      </c>
      <c r="J914" s="17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17" t="str">
        <f t="shared" si="113"/>
        <v/>
      </c>
      <c r="L914" s="18" t="str">
        <f t="shared" si="114"/>
        <v/>
      </c>
      <c r="M914" s="18" t="str">
        <f t="shared" si="115"/>
        <v/>
      </c>
      <c r="N914" s="18" t="str">
        <f t="shared" si="116"/>
        <v/>
      </c>
      <c r="O914" s="18" t="str">
        <f t="shared" si="117"/>
        <v/>
      </c>
      <c r="P914" s="17" t="str">
        <f t="shared" si="118"/>
        <v/>
      </c>
      <c r="Q914" s="17" t="str">
        <f t="shared" si="119"/>
        <v/>
      </c>
      <c r="R914" s="19" t="str">
        <f ca="1">IF(A914="","",IF(COUNTIF(_TradeIds,A914)=0,"违规：交易编号不存在",IF(OR(B914="",B914&lt;1,B914&gt;5,B914&lt;&gt;INT(B914)),"违规：加仓序号须为1到5的整数",IF(COUNTIFS($A$2:$A$1001,A914,$B$2:$B$1001,B914)&gt;1,"违规：同一交易的加仓序号重复",IF(OR(D914="",E914="",F914=""),"计划不完整：请填写加仓价、新止损价和风险预算",IF(OR(D914&lt;=0,E914&lt;=0,F914&lt;=0,D914&lt;=E914),"违规：加仓价必须高于新止损价，金额须大于0",IF(AND(B914&gt;1,COUNTIFS($A$2:$A$1001,A914,$B$2:$B$1001,B914-1,$G$2:$G$1001,"&gt;0")=0),"违规：须先完成上一次加仓",IF(AND(B914&gt;1,E914&lt;SUMIFS($E$2:$E$1001,$A$2:$A$1001,A914,$B$2:$B$1001,B914-1)),"违规：新止损价不得低于上一次",IF(AND(B914&gt;1,F914&gt;SUMIFS($F$2:$F$1001,$A$2:$A$1001,A914,$B$2:$B$1001,B914-1)),"违规：风险预算须逐次不增加",IF(OR(_LockStatus="已锁仓",_LockStatus="解锁信息不完整"),"违规：锁仓期间禁止加仓",IF(G914="","计划可执行：建议股数见N列",IF(OR(G914&lt;=0,G914&lt;&gt;INT(G914),MOD(G914,100)&lt;&gt;0),"违规：实际股数须为100股整数倍",IF(G914&gt;N914,"违规：实际股数超过风险或金字塔上限",IF(AND(B914&gt;1,G914&gt;SUMIFS($G$2:$G$1001,$A$2:$A$1001,A914,$B$2:$B$1001,B914-1)),"违规：加仓股数须逐次不增加",IF(Q914&gt;F914,"违规：止损风险超过本次预算","通过")))))))))))))))</f>
        <v/>
      </c>
    </row>
    <row r="915" ht="17" spans="1:18">
      <c r="A915" s="13"/>
      <c r="B915" s="14"/>
      <c r="C915" s="15"/>
      <c r="D915" s="16"/>
      <c r="E915" s="16"/>
      <c r="F915" s="16"/>
      <c r="G915" s="14"/>
      <c r="H915" s="17" t="str">
        <f t="shared" si="112"/>
        <v/>
      </c>
      <c r="I915" s="18" t="str">
        <f>IF(OR(A915="",B915=""),"",IFERROR(LOOKUP(2,1/(单次交易!$A$2:$A$201=A915),单次交易!$H$2:$H$201),0)+SUMIFS($G$2:$G$1001,$A$2:$A$1001,A915,$B$2:$B$1001,"&lt;"&amp;B915))</f>
        <v/>
      </c>
      <c r="J915" s="17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17" t="str">
        <f t="shared" si="113"/>
        <v/>
      </c>
      <c r="L915" s="18" t="str">
        <f t="shared" si="114"/>
        <v/>
      </c>
      <c r="M915" s="18" t="str">
        <f t="shared" si="115"/>
        <v/>
      </c>
      <c r="N915" s="18" t="str">
        <f t="shared" si="116"/>
        <v/>
      </c>
      <c r="O915" s="18" t="str">
        <f t="shared" si="117"/>
        <v/>
      </c>
      <c r="P915" s="17" t="str">
        <f t="shared" si="118"/>
        <v/>
      </c>
      <c r="Q915" s="17" t="str">
        <f t="shared" si="119"/>
        <v/>
      </c>
      <c r="R915" s="19" t="str">
        <f ca="1">IF(A915="","",IF(COUNTIF(_TradeIds,A915)=0,"违规：交易编号不存在",IF(OR(B915="",B915&lt;1,B915&gt;5,B915&lt;&gt;INT(B915)),"违规：加仓序号须为1到5的整数",IF(COUNTIFS($A$2:$A$1001,A915,$B$2:$B$1001,B915)&gt;1,"违规：同一交易的加仓序号重复",IF(OR(D915="",E915="",F915=""),"计划不完整：请填写加仓价、新止损价和风险预算",IF(OR(D915&lt;=0,E915&lt;=0,F915&lt;=0,D915&lt;=E915),"违规：加仓价必须高于新止损价，金额须大于0",IF(AND(B915&gt;1,COUNTIFS($A$2:$A$1001,A915,$B$2:$B$1001,B915-1,$G$2:$G$1001,"&gt;0")=0),"违规：须先完成上一次加仓",IF(AND(B915&gt;1,E915&lt;SUMIFS($E$2:$E$1001,$A$2:$A$1001,A915,$B$2:$B$1001,B915-1)),"违规：新止损价不得低于上一次",IF(AND(B915&gt;1,F915&gt;SUMIFS($F$2:$F$1001,$A$2:$A$1001,A915,$B$2:$B$1001,B915-1)),"违规：风险预算须逐次不增加",IF(OR(_LockStatus="已锁仓",_LockStatus="解锁信息不完整"),"违规：锁仓期间禁止加仓",IF(G915="","计划可执行：建议股数见N列",IF(OR(G915&lt;=0,G915&lt;&gt;INT(G915),MOD(G915,100)&lt;&gt;0),"违规：实际股数须为100股整数倍",IF(G915&gt;N915,"违规：实际股数超过风险或金字塔上限",IF(AND(B915&gt;1,G915&gt;SUMIFS($G$2:$G$1001,$A$2:$A$1001,A915,$B$2:$B$1001,B915-1)),"违规：加仓股数须逐次不增加",IF(Q915&gt;F915,"违规：止损风险超过本次预算","通过")))))))))))))))</f>
        <v/>
      </c>
    </row>
    <row r="916" ht="17" spans="1:18">
      <c r="A916" s="13"/>
      <c r="B916" s="14"/>
      <c r="C916" s="15"/>
      <c r="D916" s="16"/>
      <c r="E916" s="16"/>
      <c r="F916" s="16"/>
      <c r="G916" s="14"/>
      <c r="H916" s="17" t="str">
        <f t="shared" si="112"/>
        <v/>
      </c>
      <c r="I916" s="18" t="str">
        <f>IF(OR(A916="",B916=""),"",IFERROR(LOOKUP(2,1/(单次交易!$A$2:$A$201=A916),单次交易!$H$2:$H$201),0)+SUMIFS($G$2:$G$1001,$A$2:$A$1001,A916,$B$2:$B$1001,"&lt;"&amp;B916))</f>
        <v/>
      </c>
      <c r="J916" s="17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17" t="str">
        <f t="shared" si="113"/>
        <v/>
      </c>
      <c r="L916" s="18" t="str">
        <f t="shared" si="114"/>
        <v/>
      </c>
      <c r="M916" s="18" t="str">
        <f t="shared" si="115"/>
        <v/>
      </c>
      <c r="N916" s="18" t="str">
        <f t="shared" si="116"/>
        <v/>
      </c>
      <c r="O916" s="18" t="str">
        <f t="shared" si="117"/>
        <v/>
      </c>
      <c r="P916" s="17" t="str">
        <f t="shared" si="118"/>
        <v/>
      </c>
      <c r="Q916" s="17" t="str">
        <f t="shared" si="119"/>
        <v/>
      </c>
      <c r="R916" s="19" t="str">
        <f ca="1">IF(A916="","",IF(COUNTIF(_TradeIds,A916)=0,"违规：交易编号不存在",IF(OR(B916="",B916&lt;1,B916&gt;5,B916&lt;&gt;INT(B916)),"违规：加仓序号须为1到5的整数",IF(COUNTIFS($A$2:$A$1001,A916,$B$2:$B$1001,B916)&gt;1,"违规：同一交易的加仓序号重复",IF(OR(D916="",E916="",F916=""),"计划不完整：请填写加仓价、新止损价和风险预算",IF(OR(D916&lt;=0,E916&lt;=0,F916&lt;=0,D916&lt;=E916),"违规：加仓价必须高于新止损价，金额须大于0",IF(AND(B916&gt;1,COUNTIFS($A$2:$A$1001,A916,$B$2:$B$1001,B916-1,$G$2:$G$1001,"&gt;0")=0),"违规：须先完成上一次加仓",IF(AND(B916&gt;1,E916&lt;SUMIFS($E$2:$E$1001,$A$2:$A$1001,A916,$B$2:$B$1001,B916-1)),"违规：新止损价不得低于上一次",IF(AND(B916&gt;1,F916&gt;SUMIFS($F$2:$F$1001,$A$2:$A$1001,A916,$B$2:$B$1001,B916-1)),"违规：风险预算须逐次不增加",IF(OR(_LockStatus="已锁仓",_LockStatus="解锁信息不完整"),"违规：锁仓期间禁止加仓",IF(G916="","计划可执行：建议股数见N列",IF(OR(G916&lt;=0,G916&lt;&gt;INT(G916),MOD(G916,100)&lt;&gt;0),"违规：实际股数须为100股整数倍",IF(G916&gt;N916,"违规：实际股数超过风险或金字塔上限",IF(AND(B916&gt;1,G916&gt;SUMIFS($G$2:$G$1001,$A$2:$A$1001,A916,$B$2:$B$1001,B916-1)),"违规：加仓股数须逐次不增加",IF(Q916&gt;F916,"违规：止损风险超过本次预算","通过")))))))))))))))</f>
        <v/>
      </c>
    </row>
    <row r="917" ht="17" spans="1:18">
      <c r="A917" s="13"/>
      <c r="B917" s="14"/>
      <c r="C917" s="15"/>
      <c r="D917" s="16"/>
      <c r="E917" s="16"/>
      <c r="F917" s="16"/>
      <c r="G917" s="14"/>
      <c r="H917" s="17" t="str">
        <f t="shared" si="112"/>
        <v/>
      </c>
      <c r="I917" s="18" t="str">
        <f>IF(OR(A917="",B917=""),"",IFERROR(LOOKUP(2,1/(单次交易!$A$2:$A$201=A917),单次交易!$H$2:$H$201),0)+SUMIFS($G$2:$G$1001,$A$2:$A$1001,A917,$B$2:$B$1001,"&lt;"&amp;B917))</f>
        <v/>
      </c>
      <c r="J917" s="17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17" t="str">
        <f t="shared" si="113"/>
        <v/>
      </c>
      <c r="L917" s="18" t="str">
        <f t="shared" si="114"/>
        <v/>
      </c>
      <c r="M917" s="18" t="str">
        <f t="shared" si="115"/>
        <v/>
      </c>
      <c r="N917" s="18" t="str">
        <f t="shared" si="116"/>
        <v/>
      </c>
      <c r="O917" s="18" t="str">
        <f t="shared" si="117"/>
        <v/>
      </c>
      <c r="P917" s="17" t="str">
        <f t="shared" si="118"/>
        <v/>
      </c>
      <c r="Q917" s="17" t="str">
        <f t="shared" si="119"/>
        <v/>
      </c>
      <c r="R917" s="19" t="str">
        <f ca="1">IF(A917="","",IF(COUNTIF(_TradeIds,A917)=0,"违规：交易编号不存在",IF(OR(B917="",B917&lt;1,B917&gt;5,B917&lt;&gt;INT(B917)),"违规：加仓序号须为1到5的整数",IF(COUNTIFS($A$2:$A$1001,A917,$B$2:$B$1001,B917)&gt;1,"违规：同一交易的加仓序号重复",IF(OR(D917="",E917="",F917=""),"计划不完整：请填写加仓价、新止损价和风险预算",IF(OR(D917&lt;=0,E917&lt;=0,F917&lt;=0,D917&lt;=E917),"违规：加仓价必须高于新止损价，金额须大于0",IF(AND(B917&gt;1,COUNTIFS($A$2:$A$1001,A917,$B$2:$B$1001,B917-1,$G$2:$G$1001,"&gt;0")=0),"违规：须先完成上一次加仓",IF(AND(B917&gt;1,E917&lt;SUMIFS($E$2:$E$1001,$A$2:$A$1001,A917,$B$2:$B$1001,B917-1)),"违规：新止损价不得低于上一次",IF(AND(B917&gt;1,F917&gt;SUMIFS($F$2:$F$1001,$A$2:$A$1001,A917,$B$2:$B$1001,B917-1)),"违规：风险预算须逐次不增加",IF(OR(_LockStatus="已锁仓",_LockStatus="解锁信息不完整"),"违规：锁仓期间禁止加仓",IF(G917="","计划可执行：建议股数见N列",IF(OR(G917&lt;=0,G917&lt;&gt;INT(G917),MOD(G917,100)&lt;&gt;0),"违规：实际股数须为100股整数倍",IF(G917&gt;N917,"违规：实际股数超过风险或金字塔上限",IF(AND(B917&gt;1,G917&gt;SUMIFS($G$2:$G$1001,$A$2:$A$1001,A917,$B$2:$B$1001,B917-1)),"违规：加仓股数须逐次不增加",IF(Q917&gt;F917,"违规：止损风险超过本次预算","通过")))))))))))))))</f>
        <v/>
      </c>
    </row>
    <row r="918" ht="17" spans="1:18">
      <c r="A918" s="13"/>
      <c r="B918" s="14"/>
      <c r="C918" s="15"/>
      <c r="D918" s="16"/>
      <c r="E918" s="16"/>
      <c r="F918" s="16"/>
      <c r="G918" s="14"/>
      <c r="H918" s="17" t="str">
        <f t="shared" si="112"/>
        <v/>
      </c>
      <c r="I918" s="18" t="str">
        <f>IF(OR(A918="",B918=""),"",IFERROR(LOOKUP(2,1/(单次交易!$A$2:$A$201=A918),单次交易!$H$2:$H$201),0)+SUMIFS($G$2:$G$1001,$A$2:$A$1001,A918,$B$2:$B$1001,"&lt;"&amp;B918))</f>
        <v/>
      </c>
      <c r="J918" s="17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17" t="str">
        <f t="shared" si="113"/>
        <v/>
      </c>
      <c r="L918" s="18" t="str">
        <f t="shared" si="114"/>
        <v/>
      </c>
      <c r="M918" s="18" t="str">
        <f t="shared" si="115"/>
        <v/>
      </c>
      <c r="N918" s="18" t="str">
        <f t="shared" si="116"/>
        <v/>
      </c>
      <c r="O918" s="18" t="str">
        <f t="shared" si="117"/>
        <v/>
      </c>
      <c r="P918" s="17" t="str">
        <f t="shared" si="118"/>
        <v/>
      </c>
      <c r="Q918" s="17" t="str">
        <f t="shared" si="119"/>
        <v/>
      </c>
      <c r="R918" s="19" t="str">
        <f ca="1">IF(A918="","",IF(COUNTIF(_TradeIds,A918)=0,"违规：交易编号不存在",IF(OR(B918="",B918&lt;1,B918&gt;5,B918&lt;&gt;INT(B918)),"违规：加仓序号须为1到5的整数",IF(COUNTIFS($A$2:$A$1001,A918,$B$2:$B$1001,B918)&gt;1,"违规：同一交易的加仓序号重复",IF(OR(D918="",E918="",F918=""),"计划不完整：请填写加仓价、新止损价和风险预算",IF(OR(D918&lt;=0,E918&lt;=0,F918&lt;=0,D918&lt;=E918),"违规：加仓价必须高于新止损价，金额须大于0",IF(AND(B918&gt;1,COUNTIFS($A$2:$A$1001,A918,$B$2:$B$1001,B918-1,$G$2:$G$1001,"&gt;0")=0),"违规：须先完成上一次加仓",IF(AND(B918&gt;1,E918&lt;SUMIFS($E$2:$E$1001,$A$2:$A$1001,A918,$B$2:$B$1001,B918-1)),"违规：新止损价不得低于上一次",IF(AND(B918&gt;1,F918&gt;SUMIFS($F$2:$F$1001,$A$2:$A$1001,A918,$B$2:$B$1001,B918-1)),"违规：风险预算须逐次不增加",IF(OR(_LockStatus="已锁仓",_LockStatus="解锁信息不完整"),"违规：锁仓期间禁止加仓",IF(G918="","计划可执行：建议股数见N列",IF(OR(G918&lt;=0,G918&lt;&gt;INT(G918),MOD(G918,100)&lt;&gt;0),"违规：实际股数须为100股整数倍",IF(G918&gt;N918,"违规：实际股数超过风险或金字塔上限",IF(AND(B918&gt;1,G918&gt;SUMIFS($G$2:$G$1001,$A$2:$A$1001,A918,$B$2:$B$1001,B918-1)),"违规：加仓股数须逐次不增加",IF(Q918&gt;F918,"违规：止损风险超过本次预算","通过")))))))))))))))</f>
        <v/>
      </c>
    </row>
    <row r="919" ht="17" spans="1:18">
      <c r="A919" s="13"/>
      <c r="B919" s="14"/>
      <c r="C919" s="15"/>
      <c r="D919" s="16"/>
      <c r="E919" s="16"/>
      <c r="F919" s="16"/>
      <c r="G919" s="14"/>
      <c r="H919" s="17" t="str">
        <f t="shared" si="112"/>
        <v/>
      </c>
      <c r="I919" s="18" t="str">
        <f>IF(OR(A919="",B919=""),"",IFERROR(LOOKUP(2,1/(单次交易!$A$2:$A$201=A919),单次交易!$H$2:$H$201),0)+SUMIFS($G$2:$G$1001,$A$2:$A$1001,A919,$B$2:$B$1001,"&lt;"&amp;B919))</f>
        <v/>
      </c>
      <c r="J919" s="17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17" t="str">
        <f t="shared" si="113"/>
        <v/>
      </c>
      <c r="L919" s="18" t="str">
        <f t="shared" si="114"/>
        <v/>
      </c>
      <c r="M919" s="18" t="str">
        <f t="shared" si="115"/>
        <v/>
      </c>
      <c r="N919" s="18" t="str">
        <f t="shared" si="116"/>
        <v/>
      </c>
      <c r="O919" s="18" t="str">
        <f t="shared" si="117"/>
        <v/>
      </c>
      <c r="P919" s="17" t="str">
        <f t="shared" si="118"/>
        <v/>
      </c>
      <c r="Q919" s="17" t="str">
        <f t="shared" si="119"/>
        <v/>
      </c>
      <c r="R919" s="19" t="str">
        <f ca="1">IF(A919="","",IF(COUNTIF(_TradeIds,A919)=0,"违规：交易编号不存在",IF(OR(B919="",B919&lt;1,B919&gt;5,B919&lt;&gt;INT(B919)),"违规：加仓序号须为1到5的整数",IF(COUNTIFS($A$2:$A$1001,A919,$B$2:$B$1001,B919)&gt;1,"违规：同一交易的加仓序号重复",IF(OR(D919="",E919="",F919=""),"计划不完整：请填写加仓价、新止损价和风险预算",IF(OR(D919&lt;=0,E919&lt;=0,F919&lt;=0,D919&lt;=E919),"违规：加仓价必须高于新止损价，金额须大于0",IF(AND(B919&gt;1,COUNTIFS($A$2:$A$1001,A919,$B$2:$B$1001,B919-1,$G$2:$G$1001,"&gt;0")=0),"违规：须先完成上一次加仓",IF(AND(B919&gt;1,E919&lt;SUMIFS($E$2:$E$1001,$A$2:$A$1001,A919,$B$2:$B$1001,B919-1)),"违规：新止损价不得低于上一次",IF(AND(B919&gt;1,F919&gt;SUMIFS($F$2:$F$1001,$A$2:$A$1001,A919,$B$2:$B$1001,B919-1)),"违规：风险预算须逐次不增加",IF(OR(_LockStatus="已锁仓",_LockStatus="解锁信息不完整"),"违规：锁仓期间禁止加仓",IF(G919="","计划可执行：建议股数见N列",IF(OR(G919&lt;=0,G919&lt;&gt;INT(G919),MOD(G919,100)&lt;&gt;0),"违规：实际股数须为100股整数倍",IF(G919&gt;N919,"违规：实际股数超过风险或金字塔上限",IF(AND(B919&gt;1,G919&gt;SUMIFS($G$2:$G$1001,$A$2:$A$1001,A919,$B$2:$B$1001,B919-1)),"违规：加仓股数须逐次不增加",IF(Q919&gt;F919,"违规：止损风险超过本次预算","通过")))))))))))))))</f>
        <v/>
      </c>
    </row>
    <row r="920" ht="17" spans="1:18">
      <c r="A920" s="13"/>
      <c r="B920" s="14"/>
      <c r="C920" s="15"/>
      <c r="D920" s="16"/>
      <c r="E920" s="16"/>
      <c r="F920" s="16"/>
      <c r="G920" s="14"/>
      <c r="H920" s="17" t="str">
        <f t="shared" si="112"/>
        <v/>
      </c>
      <c r="I920" s="18" t="str">
        <f>IF(OR(A920="",B920=""),"",IFERROR(LOOKUP(2,1/(单次交易!$A$2:$A$201=A920),单次交易!$H$2:$H$201),0)+SUMIFS($G$2:$G$1001,$A$2:$A$1001,A920,$B$2:$B$1001,"&lt;"&amp;B920))</f>
        <v/>
      </c>
      <c r="J920" s="17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17" t="str">
        <f t="shared" si="113"/>
        <v/>
      </c>
      <c r="L920" s="18" t="str">
        <f t="shared" si="114"/>
        <v/>
      </c>
      <c r="M920" s="18" t="str">
        <f t="shared" si="115"/>
        <v/>
      </c>
      <c r="N920" s="18" t="str">
        <f t="shared" si="116"/>
        <v/>
      </c>
      <c r="O920" s="18" t="str">
        <f t="shared" si="117"/>
        <v/>
      </c>
      <c r="P920" s="17" t="str">
        <f t="shared" si="118"/>
        <v/>
      </c>
      <c r="Q920" s="17" t="str">
        <f t="shared" si="119"/>
        <v/>
      </c>
      <c r="R920" s="19" t="str">
        <f ca="1">IF(A920="","",IF(COUNTIF(_TradeIds,A920)=0,"违规：交易编号不存在",IF(OR(B920="",B920&lt;1,B920&gt;5,B920&lt;&gt;INT(B920)),"违规：加仓序号须为1到5的整数",IF(COUNTIFS($A$2:$A$1001,A920,$B$2:$B$1001,B920)&gt;1,"违规：同一交易的加仓序号重复",IF(OR(D920="",E920="",F920=""),"计划不完整：请填写加仓价、新止损价和风险预算",IF(OR(D920&lt;=0,E920&lt;=0,F920&lt;=0,D920&lt;=E920),"违规：加仓价必须高于新止损价，金额须大于0",IF(AND(B920&gt;1,COUNTIFS($A$2:$A$1001,A920,$B$2:$B$1001,B920-1,$G$2:$G$1001,"&gt;0")=0),"违规：须先完成上一次加仓",IF(AND(B920&gt;1,E920&lt;SUMIFS($E$2:$E$1001,$A$2:$A$1001,A920,$B$2:$B$1001,B920-1)),"违规：新止损价不得低于上一次",IF(AND(B920&gt;1,F920&gt;SUMIFS($F$2:$F$1001,$A$2:$A$1001,A920,$B$2:$B$1001,B920-1)),"违规：风险预算须逐次不增加",IF(OR(_LockStatus="已锁仓",_LockStatus="解锁信息不完整"),"违规：锁仓期间禁止加仓",IF(G920="","计划可执行：建议股数见N列",IF(OR(G920&lt;=0,G920&lt;&gt;INT(G920),MOD(G920,100)&lt;&gt;0),"违规：实际股数须为100股整数倍",IF(G920&gt;N920,"违规：实际股数超过风险或金字塔上限",IF(AND(B920&gt;1,G920&gt;SUMIFS($G$2:$G$1001,$A$2:$A$1001,A920,$B$2:$B$1001,B920-1)),"违规：加仓股数须逐次不增加",IF(Q920&gt;F920,"违规：止损风险超过本次预算","通过")))))))))))))))</f>
        <v/>
      </c>
    </row>
    <row r="921" ht="17" spans="1:18">
      <c r="A921" s="13"/>
      <c r="B921" s="14"/>
      <c r="C921" s="15"/>
      <c r="D921" s="16"/>
      <c r="E921" s="16"/>
      <c r="F921" s="16"/>
      <c r="G921" s="14"/>
      <c r="H921" s="17" t="str">
        <f t="shared" si="112"/>
        <v/>
      </c>
      <c r="I921" s="18" t="str">
        <f>IF(OR(A921="",B921=""),"",IFERROR(LOOKUP(2,1/(单次交易!$A$2:$A$201=A921),单次交易!$H$2:$H$201),0)+SUMIFS($G$2:$G$1001,$A$2:$A$1001,A921,$B$2:$B$1001,"&lt;"&amp;B921))</f>
        <v/>
      </c>
      <c r="J921" s="17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17" t="str">
        <f t="shared" si="113"/>
        <v/>
      </c>
      <c r="L921" s="18" t="str">
        <f t="shared" si="114"/>
        <v/>
      </c>
      <c r="M921" s="18" t="str">
        <f t="shared" si="115"/>
        <v/>
      </c>
      <c r="N921" s="18" t="str">
        <f t="shared" si="116"/>
        <v/>
      </c>
      <c r="O921" s="18" t="str">
        <f t="shared" si="117"/>
        <v/>
      </c>
      <c r="P921" s="17" t="str">
        <f t="shared" si="118"/>
        <v/>
      </c>
      <c r="Q921" s="17" t="str">
        <f t="shared" si="119"/>
        <v/>
      </c>
      <c r="R921" s="19" t="str">
        <f ca="1">IF(A921="","",IF(COUNTIF(_TradeIds,A921)=0,"违规：交易编号不存在",IF(OR(B921="",B921&lt;1,B921&gt;5,B921&lt;&gt;INT(B921)),"违规：加仓序号须为1到5的整数",IF(COUNTIFS($A$2:$A$1001,A921,$B$2:$B$1001,B921)&gt;1,"违规：同一交易的加仓序号重复",IF(OR(D921="",E921="",F921=""),"计划不完整：请填写加仓价、新止损价和风险预算",IF(OR(D921&lt;=0,E921&lt;=0,F921&lt;=0,D921&lt;=E921),"违规：加仓价必须高于新止损价，金额须大于0",IF(AND(B921&gt;1,COUNTIFS($A$2:$A$1001,A921,$B$2:$B$1001,B921-1,$G$2:$G$1001,"&gt;0")=0),"违规：须先完成上一次加仓",IF(AND(B921&gt;1,E921&lt;SUMIFS($E$2:$E$1001,$A$2:$A$1001,A921,$B$2:$B$1001,B921-1)),"违规：新止损价不得低于上一次",IF(AND(B921&gt;1,F921&gt;SUMIFS($F$2:$F$1001,$A$2:$A$1001,A921,$B$2:$B$1001,B921-1)),"违规：风险预算须逐次不增加",IF(OR(_LockStatus="已锁仓",_LockStatus="解锁信息不完整"),"违规：锁仓期间禁止加仓",IF(G921="","计划可执行：建议股数见N列",IF(OR(G921&lt;=0,G921&lt;&gt;INT(G921),MOD(G921,100)&lt;&gt;0),"违规：实际股数须为100股整数倍",IF(G921&gt;N921,"违规：实际股数超过风险或金字塔上限",IF(AND(B921&gt;1,G921&gt;SUMIFS($G$2:$G$1001,$A$2:$A$1001,A921,$B$2:$B$1001,B921-1)),"违规：加仓股数须逐次不增加",IF(Q921&gt;F921,"违规：止损风险超过本次预算","通过")))))))))))))))</f>
        <v/>
      </c>
    </row>
    <row r="922" ht="17" spans="1:18">
      <c r="A922" s="13"/>
      <c r="B922" s="14"/>
      <c r="C922" s="15"/>
      <c r="D922" s="16"/>
      <c r="E922" s="16"/>
      <c r="F922" s="16"/>
      <c r="G922" s="14"/>
      <c r="H922" s="17" t="str">
        <f t="shared" si="112"/>
        <v/>
      </c>
      <c r="I922" s="18" t="str">
        <f>IF(OR(A922="",B922=""),"",IFERROR(LOOKUP(2,1/(单次交易!$A$2:$A$201=A922),单次交易!$H$2:$H$201),0)+SUMIFS($G$2:$G$1001,$A$2:$A$1001,A922,$B$2:$B$1001,"&lt;"&amp;B922))</f>
        <v/>
      </c>
      <c r="J922" s="17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17" t="str">
        <f t="shared" si="113"/>
        <v/>
      </c>
      <c r="L922" s="18" t="str">
        <f t="shared" si="114"/>
        <v/>
      </c>
      <c r="M922" s="18" t="str">
        <f t="shared" si="115"/>
        <v/>
      </c>
      <c r="N922" s="18" t="str">
        <f t="shared" si="116"/>
        <v/>
      </c>
      <c r="O922" s="18" t="str">
        <f t="shared" si="117"/>
        <v/>
      </c>
      <c r="P922" s="17" t="str">
        <f t="shared" si="118"/>
        <v/>
      </c>
      <c r="Q922" s="17" t="str">
        <f t="shared" si="119"/>
        <v/>
      </c>
      <c r="R922" s="19" t="str">
        <f ca="1">IF(A922="","",IF(COUNTIF(_TradeIds,A922)=0,"违规：交易编号不存在",IF(OR(B922="",B922&lt;1,B922&gt;5,B922&lt;&gt;INT(B922)),"违规：加仓序号须为1到5的整数",IF(COUNTIFS($A$2:$A$1001,A922,$B$2:$B$1001,B922)&gt;1,"违规：同一交易的加仓序号重复",IF(OR(D922="",E922="",F922=""),"计划不完整：请填写加仓价、新止损价和风险预算",IF(OR(D922&lt;=0,E922&lt;=0,F922&lt;=0,D922&lt;=E922),"违规：加仓价必须高于新止损价，金额须大于0",IF(AND(B922&gt;1,COUNTIFS($A$2:$A$1001,A922,$B$2:$B$1001,B922-1,$G$2:$G$1001,"&gt;0")=0),"违规：须先完成上一次加仓",IF(AND(B922&gt;1,E922&lt;SUMIFS($E$2:$E$1001,$A$2:$A$1001,A922,$B$2:$B$1001,B922-1)),"违规：新止损价不得低于上一次",IF(AND(B922&gt;1,F922&gt;SUMIFS($F$2:$F$1001,$A$2:$A$1001,A922,$B$2:$B$1001,B922-1)),"违规：风险预算须逐次不增加",IF(OR(_LockStatus="已锁仓",_LockStatus="解锁信息不完整"),"违规：锁仓期间禁止加仓",IF(G922="","计划可执行：建议股数见N列",IF(OR(G922&lt;=0,G922&lt;&gt;INT(G922),MOD(G922,100)&lt;&gt;0),"违规：实际股数须为100股整数倍",IF(G922&gt;N922,"违规：实际股数超过风险或金字塔上限",IF(AND(B922&gt;1,G922&gt;SUMIFS($G$2:$G$1001,$A$2:$A$1001,A922,$B$2:$B$1001,B922-1)),"违规：加仓股数须逐次不增加",IF(Q922&gt;F922,"违规：止损风险超过本次预算","通过")))))))))))))))</f>
        <v/>
      </c>
    </row>
    <row r="923" ht="17" spans="1:18">
      <c r="A923" s="13"/>
      <c r="B923" s="14"/>
      <c r="C923" s="15"/>
      <c r="D923" s="16"/>
      <c r="E923" s="16"/>
      <c r="F923" s="16"/>
      <c r="G923" s="14"/>
      <c r="H923" s="17" t="str">
        <f t="shared" si="112"/>
        <v/>
      </c>
      <c r="I923" s="18" t="str">
        <f>IF(OR(A923="",B923=""),"",IFERROR(LOOKUP(2,1/(单次交易!$A$2:$A$201=A923),单次交易!$H$2:$H$201),0)+SUMIFS($G$2:$G$1001,$A$2:$A$1001,A923,$B$2:$B$1001,"&lt;"&amp;B923))</f>
        <v/>
      </c>
      <c r="J923" s="17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17" t="str">
        <f t="shared" si="113"/>
        <v/>
      </c>
      <c r="L923" s="18" t="str">
        <f t="shared" si="114"/>
        <v/>
      </c>
      <c r="M923" s="18" t="str">
        <f t="shared" si="115"/>
        <v/>
      </c>
      <c r="N923" s="18" t="str">
        <f t="shared" si="116"/>
        <v/>
      </c>
      <c r="O923" s="18" t="str">
        <f t="shared" si="117"/>
        <v/>
      </c>
      <c r="P923" s="17" t="str">
        <f t="shared" si="118"/>
        <v/>
      </c>
      <c r="Q923" s="17" t="str">
        <f t="shared" si="119"/>
        <v/>
      </c>
      <c r="R923" s="19" t="str">
        <f ca="1">IF(A923="","",IF(COUNTIF(_TradeIds,A923)=0,"违规：交易编号不存在",IF(OR(B923="",B923&lt;1,B923&gt;5,B923&lt;&gt;INT(B923)),"违规：加仓序号须为1到5的整数",IF(COUNTIFS($A$2:$A$1001,A923,$B$2:$B$1001,B923)&gt;1,"违规：同一交易的加仓序号重复",IF(OR(D923="",E923="",F923=""),"计划不完整：请填写加仓价、新止损价和风险预算",IF(OR(D923&lt;=0,E923&lt;=0,F923&lt;=0,D923&lt;=E923),"违规：加仓价必须高于新止损价，金额须大于0",IF(AND(B923&gt;1,COUNTIFS($A$2:$A$1001,A923,$B$2:$B$1001,B923-1,$G$2:$G$1001,"&gt;0")=0),"违规：须先完成上一次加仓",IF(AND(B923&gt;1,E923&lt;SUMIFS($E$2:$E$1001,$A$2:$A$1001,A923,$B$2:$B$1001,B923-1)),"违规：新止损价不得低于上一次",IF(AND(B923&gt;1,F923&gt;SUMIFS($F$2:$F$1001,$A$2:$A$1001,A923,$B$2:$B$1001,B923-1)),"违规：风险预算须逐次不增加",IF(OR(_LockStatus="已锁仓",_LockStatus="解锁信息不完整"),"违规：锁仓期间禁止加仓",IF(G923="","计划可执行：建议股数见N列",IF(OR(G923&lt;=0,G923&lt;&gt;INT(G923),MOD(G923,100)&lt;&gt;0),"违规：实际股数须为100股整数倍",IF(G923&gt;N923,"违规：实际股数超过风险或金字塔上限",IF(AND(B923&gt;1,G923&gt;SUMIFS($G$2:$G$1001,$A$2:$A$1001,A923,$B$2:$B$1001,B923-1)),"违规：加仓股数须逐次不增加",IF(Q923&gt;F923,"违规：止损风险超过本次预算","通过")))))))))))))))</f>
        <v/>
      </c>
    </row>
    <row r="924" ht="17" spans="1:18">
      <c r="A924" s="13"/>
      <c r="B924" s="14"/>
      <c r="C924" s="15"/>
      <c r="D924" s="16"/>
      <c r="E924" s="16"/>
      <c r="F924" s="16"/>
      <c r="G924" s="14"/>
      <c r="H924" s="17" t="str">
        <f t="shared" si="112"/>
        <v/>
      </c>
      <c r="I924" s="18" t="str">
        <f>IF(OR(A924="",B924=""),"",IFERROR(LOOKUP(2,1/(单次交易!$A$2:$A$201=A924),单次交易!$H$2:$H$201),0)+SUMIFS($G$2:$G$1001,$A$2:$A$1001,A924,$B$2:$B$1001,"&lt;"&amp;B924))</f>
        <v/>
      </c>
      <c r="J924" s="17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17" t="str">
        <f t="shared" si="113"/>
        <v/>
      </c>
      <c r="L924" s="18" t="str">
        <f t="shared" si="114"/>
        <v/>
      </c>
      <c r="M924" s="18" t="str">
        <f t="shared" si="115"/>
        <v/>
      </c>
      <c r="N924" s="18" t="str">
        <f t="shared" si="116"/>
        <v/>
      </c>
      <c r="O924" s="18" t="str">
        <f t="shared" si="117"/>
        <v/>
      </c>
      <c r="P924" s="17" t="str">
        <f t="shared" si="118"/>
        <v/>
      </c>
      <c r="Q924" s="17" t="str">
        <f t="shared" si="119"/>
        <v/>
      </c>
      <c r="R924" s="19" t="str">
        <f ca="1">IF(A924="","",IF(COUNTIF(_TradeIds,A924)=0,"违规：交易编号不存在",IF(OR(B924="",B924&lt;1,B924&gt;5,B924&lt;&gt;INT(B924)),"违规：加仓序号须为1到5的整数",IF(COUNTIFS($A$2:$A$1001,A924,$B$2:$B$1001,B924)&gt;1,"违规：同一交易的加仓序号重复",IF(OR(D924="",E924="",F924=""),"计划不完整：请填写加仓价、新止损价和风险预算",IF(OR(D924&lt;=0,E924&lt;=0,F924&lt;=0,D924&lt;=E924),"违规：加仓价必须高于新止损价，金额须大于0",IF(AND(B924&gt;1,COUNTIFS($A$2:$A$1001,A924,$B$2:$B$1001,B924-1,$G$2:$G$1001,"&gt;0")=0),"违规：须先完成上一次加仓",IF(AND(B924&gt;1,E924&lt;SUMIFS($E$2:$E$1001,$A$2:$A$1001,A924,$B$2:$B$1001,B924-1)),"违规：新止损价不得低于上一次",IF(AND(B924&gt;1,F924&gt;SUMIFS($F$2:$F$1001,$A$2:$A$1001,A924,$B$2:$B$1001,B924-1)),"违规：风险预算须逐次不增加",IF(OR(_LockStatus="已锁仓",_LockStatus="解锁信息不完整"),"违规：锁仓期间禁止加仓",IF(G924="","计划可执行：建议股数见N列",IF(OR(G924&lt;=0,G924&lt;&gt;INT(G924),MOD(G924,100)&lt;&gt;0),"违规：实际股数须为100股整数倍",IF(G924&gt;N924,"违规：实际股数超过风险或金字塔上限",IF(AND(B924&gt;1,G924&gt;SUMIFS($G$2:$G$1001,$A$2:$A$1001,A924,$B$2:$B$1001,B924-1)),"违规：加仓股数须逐次不增加",IF(Q924&gt;F924,"违规：止损风险超过本次预算","通过")))))))))))))))</f>
        <v/>
      </c>
    </row>
    <row r="925" ht="17" spans="1:18">
      <c r="A925" s="13"/>
      <c r="B925" s="14"/>
      <c r="C925" s="15"/>
      <c r="D925" s="16"/>
      <c r="E925" s="16"/>
      <c r="F925" s="16"/>
      <c r="G925" s="14"/>
      <c r="H925" s="17" t="str">
        <f t="shared" si="112"/>
        <v/>
      </c>
      <c r="I925" s="18" t="str">
        <f>IF(OR(A925="",B925=""),"",IFERROR(LOOKUP(2,1/(单次交易!$A$2:$A$201=A925),单次交易!$H$2:$H$201),0)+SUMIFS($G$2:$G$1001,$A$2:$A$1001,A925,$B$2:$B$1001,"&lt;"&amp;B925))</f>
        <v/>
      </c>
      <c r="J925" s="17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17" t="str">
        <f t="shared" si="113"/>
        <v/>
      </c>
      <c r="L925" s="18" t="str">
        <f t="shared" si="114"/>
        <v/>
      </c>
      <c r="M925" s="18" t="str">
        <f t="shared" si="115"/>
        <v/>
      </c>
      <c r="N925" s="18" t="str">
        <f t="shared" si="116"/>
        <v/>
      </c>
      <c r="O925" s="18" t="str">
        <f t="shared" si="117"/>
        <v/>
      </c>
      <c r="P925" s="17" t="str">
        <f t="shared" si="118"/>
        <v/>
      </c>
      <c r="Q925" s="17" t="str">
        <f t="shared" si="119"/>
        <v/>
      </c>
      <c r="R925" s="19" t="str">
        <f ca="1">IF(A925="","",IF(COUNTIF(_TradeIds,A925)=0,"违规：交易编号不存在",IF(OR(B925="",B925&lt;1,B925&gt;5,B925&lt;&gt;INT(B925)),"违规：加仓序号须为1到5的整数",IF(COUNTIFS($A$2:$A$1001,A925,$B$2:$B$1001,B925)&gt;1,"违规：同一交易的加仓序号重复",IF(OR(D925="",E925="",F925=""),"计划不完整：请填写加仓价、新止损价和风险预算",IF(OR(D925&lt;=0,E925&lt;=0,F925&lt;=0,D925&lt;=E925),"违规：加仓价必须高于新止损价，金额须大于0",IF(AND(B925&gt;1,COUNTIFS($A$2:$A$1001,A925,$B$2:$B$1001,B925-1,$G$2:$G$1001,"&gt;0")=0),"违规：须先完成上一次加仓",IF(AND(B925&gt;1,E925&lt;SUMIFS($E$2:$E$1001,$A$2:$A$1001,A925,$B$2:$B$1001,B925-1)),"违规：新止损价不得低于上一次",IF(AND(B925&gt;1,F925&gt;SUMIFS($F$2:$F$1001,$A$2:$A$1001,A925,$B$2:$B$1001,B925-1)),"违规：风险预算须逐次不增加",IF(OR(_LockStatus="已锁仓",_LockStatus="解锁信息不完整"),"违规：锁仓期间禁止加仓",IF(G925="","计划可执行：建议股数见N列",IF(OR(G925&lt;=0,G925&lt;&gt;INT(G925),MOD(G925,100)&lt;&gt;0),"违规：实际股数须为100股整数倍",IF(G925&gt;N925,"违规：实际股数超过风险或金字塔上限",IF(AND(B925&gt;1,G925&gt;SUMIFS($G$2:$G$1001,$A$2:$A$1001,A925,$B$2:$B$1001,B925-1)),"违规：加仓股数须逐次不增加",IF(Q925&gt;F925,"违规：止损风险超过本次预算","通过")))))))))))))))</f>
        <v/>
      </c>
    </row>
    <row r="926" ht="17" spans="1:18">
      <c r="A926" s="13"/>
      <c r="B926" s="14"/>
      <c r="C926" s="15"/>
      <c r="D926" s="16"/>
      <c r="E926" s="16"/>
      <c r="F926" s="16"/>
      <c r="G926" s="14"/>
      <c r="H926" s="17" t="str">
        <f t="shared" si="112"/>
        <v/>
      </c>
      <c r="I926" s="18" t="str">
        <f>IF(OR(A926="",B926=""),"",IFERROR(LOOKUP(2,1/(单次交易!$A$2:$A$201=A926),单次交易!$H$2:$H$201),0)+SUMIFS($G$2:$G$1001,$A$2:$A$1001,A926,$B$2:$B$1001,"&lt;"&amp;B926))</f>
        <v/>
      </c>
      <c r="J926" s="17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17" t="str">
        <f t="shared" si="113"/>
        <v/>
      </c>
      <c r="L926" s="18" t="str">
        <f t="shared" si="114"/>
        <v/>
      </c>
      <c r="M926" s="18" t="str">
        <f t="shared" si="115"/>
        <v/>
      </c>
      <c r="N926" s="18" t="str">
        <f t="shared" si="116"/>
        <v/>
      </c>
      <c r="O926" s="18" t="str">
        <f t="shared" si="117"/>
        <v/>
      </c>
      <c r="P926" s="17" t="str">
        <f t="shared" si="118"/>
        <v/>
      </c>
      <c r="Q926" s="17" t="str">
        <f t="shared" si="119"/>
        <v/>
      </c>
      <c r="R926" s="19" t="str">
        <f ca="1">IF(A926="","",IF(COUNTIF(_TradeIds,A926)=0,"违规：交易编号不存在",IF(OR(B926="",B926&lt;1,B926&gt;5,B926&lt;&gt;INT(B926)),"违规：加仓序号须为1到5的整数",IF(COUNTIFS($A$2:$A$1001,A926,$B$2:$B$1001,B926)&gt;1,"违规：同一交易的加仓序号重复",IF(OR(D926="",E926="",F926=""),"计划不完整：请填写加仓价、新止损价和风险预算",IF(OR(D926&lt;=0,E926&lt;=0,F926&lt;=0,D926&lt;=E926),"违规：加仓价必须高于新止损价，金额须大于0",IF(AND(B926&gt;1,COUNTIFS($A$2:$A$1001,A926,$B$2:$B$1001,B926-1,$G$2:$G$1001,"&gt;0")=0),"违规：须先完成上一次加仓",IF(AND(B926&gt;1,E926&lt;SUMIFS($E$2:$E$1001,$A$2:$A$1001,A926,$B$2:$B$1001,B926-1)),"违规：新止损价不得低于上一次",IF(AND(B926&gt;1,F926&gt;SUMIFS($F$2:$F$1001,$A$2:$A$1001,A926,$B$2:$B$1001,B926-1)),"违规：风险预算须逐次不增加",IF(OR(_LockStatus="已锁仓",_LockStatus="解锁信息不完整"),"违规：锁仓期间禁止加仓",IF(G926="","计划可执行：建议股数见N列",IF(OR(G926&lt;=0,G926&lt;&gt;INT(G926),MOD(G926,100)&lt;&gt;0),"违规：实际股数须为100股整数倍",IF(G926&gt;N926,"违规：实际股数超过风险或金字塔上限",IF(AND(B926&gt;1,G926&gt;SUMIFS($G$2:$G$1001,$A$2:$A$1001,A926,$B$2:$B$1001,B926-1)),"违规：加仓股数须逐次不增加",IF(Q926&gt;F926,"违规：止损风险超过本次预算","通过")))))))))))))))</f>
        <v/>
      </c>
    </row>
    <row r="927" ht="17" spans="1:18">
      <c r="A927" s="13"/>
      <c r="B927" s="14"/>
      <c r="C927" s="15"/>
      <c r="D927" s="16"/>
      <c r="E927" s="16"/>
      <c r="F927" s="16"/>
      <c r="G927" s="14"/>
      <c r="H927" s="17" t="str">
        <f t="shared" si="112"/>
        <v/>
      </c>
      <c r="I927" s="18" t="str">
        <f>IF(OR(A927="",B927=""),"",IFERROR(LOOKUP(2,1/(单次交易!$A$2:$A$201=A927),单次交易!$H$2:$H$201),0)+SUMIFS($G$2:$G$1001,$A$2:$A$1001,A927,$B$2:$B$1001,"&lt;"&amp;B927))</f>
        <v/>
      </c>
      <c r="J927" s="17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17" t="str">
        <f t="shared" si="113"/>
        <v/>
      </c>
      <c r="L927" s="18" t="str">
        <f t="shared" si="114"/>
        <v/>
      </c>
      <c r="M927" s="18" t="str">
        <f t="shared" si="115"/>
        <v/>
      </c>
      <c r="N927" s="18" t="str">
        <f t="shared" si="116"/>
        <v/>
      </c>
      <c r="O927" s="18" t="str">
        <f t="shared" si="117"/>
        <v/>
      </c>
      <c r="P927" s="17" t="str">
        <f t="shared" si="118"/>
        <v/>
      </c>
      <c r="Q927" s="17" t="str">
        <f t="shared" si="119"/>
        <v/>
      </c>
      <c r="R927" s="19" t="str">
        <f ca="1">IF(A927="","",IF(COUNTIF(_TradeIds,A927)=0,"违规：交易编号不存在",IF(OR(B927="",B927&lt;1,B927&gt;5,B927&lt;&gt;INT(B927)),"违规：加仓序号须为1到5的整数",IF(COUNTIFS($A$2:$A$1001,A927,$B$2:$B$1001,B927)&gt;1,"违规：同一交易的加仓序号重复",IF(OR(D927="",E927="",F927=""),"计划不完整：请填写加仓价、新止损价和风险预算",IF(OR(D927&lt;=0,E927&lt;=0,F927&lt;=0,D927&lt;=E927),"违规：加仓价必须高于新止损价，金额须大于0",IF(AND(B927&gt;1,COUNTIFS($A$2:$A$1001,A927,$B$2:$B$1001,B927-1,$G$2:$G$1001,"&gt;0")=0),"违规：须先完成上一次加仓",IF(AND(B927&gt;1,E927&lt;SUMIFS($E$2:$E$1001,$A$2:$A$1001,A927,$B$2:$B$1001,B927-1)),"违规：新止损价不得低于上一次",IF(AND(B927&gt;1,F927&gt;SUMIFS($F$2:$F$1001,$A$2:$A$1001,A927,$B$2:$B$1001,B927-1)),"违规：风险预算须逐次不增加",IF(OR(_LockStatus="已锁仓",_LockStatus="解锁信息不完整"),"违规：锁仓期间禁止加仓",IF(G927="","计划可执行：建议股数见N列",IF(OR(G927&lt;=0,G927&lt;&gt;INT(G927),MOD(G927,100)&lt;&gt;0),"违规：实际股数须为100股整数倍",IF(G927&gt;N927,"违规：实际股数超过风险或金字塔上限",IF(AND(B927&gt;1,G927&gt;SUMIFS($G$2:$G$1001,$A$2:$A$1001,A927,$B$2:$B$1001,B927-1)),"违规：加仓股数须逐次不增加",IF(Q927&gt;F927,"违规：止损风险超过本次预算","通过")))))))))))))))</f>
        <v/>
      </c>
    </row>
    <row r="928" ht="17" spans="1:18">
      <c r="A928" s="13"/>
      <c r="B928" s="14"/>
      <c r="C928" s="15"/>
      <c r="D928" s="16"/>
      <c r="E928" s="16"/>
      <c r="F928" s="16"/>
      <c r="G928" s="14"/>
      <c r="H928" s="17" t="str">
        <f t="shared" si="112"/>
        <v/>
      </c>
      <c r="I928" s="18" t="str">
        <f>IF(OR(A928="",B928=""),"",IFERROR(LOOKUP(2,1/(单次交易!$A$2:$A$201=A928),单次交易!$H$2:$H$201),0)+SUMIFS($G$2:$G$1001,$A$2:$A$1001,A928,$B$2:$B$1001,"&lt;"&amp;B928))</f>
        <v/>
      </c>
      <c r="J928" s="17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17" t="str">
        <f t="shared" si="113"/>
        <v/>
      </c>
      <c r="L928" s="18" t="str">
        <f t="shared" si="114"/>
        <v/>
      </c>
      <c r="M928" s="18" t="str">
        <f t="shared" si="115"/>
        <v/>
      </c>
      <c r="N928" s="18" t="str">
        <f t="shared" si="116"/>
        <v/>
      </c>
      <c r="O928" s="18" t="str">
        <f t="shared" si="117"/>
        <v/>
      </c>
      <c r="P928" s="17" t="str">
        <f t="shared" si="118"/>
        <v/>
      </c>
      <c r="Q928" s="17" t="str">
        <f t="shared" si="119"/>
        <v/>
      </c>
      <c r="R928" s="19" t="str">
        <f ca="1">IF(A928="","",IF(COUNTIF(_TradeIds,A928)=0,"违规：交易编号不存在",IF(OR(B928="",B928&lt;1,B928&gt;5,B928&lt;&gt;INT(B928)),"违规：加仓序号须为1到5的整数",IF(COUNTIFS($A$2:$A$1001,A928,$B$2:$B$1001,B928)&gt;1,"违规：同一交易的加仓序号重复",IF(OR(D928="",E928="",F928=""),"计划不完整：请填写加仓价、新止损价和风险预算",IF(OR(D928&lt;=0,E928&lt;=0,F928&lt;=0,D928&lt;=E928),"违规：加仓价必须高于新止损价，金额须大于0",IF(AND(B928&gt;1,COUNTIFS($A$2:$A$1001,A928,$B$2:$B$1001,B928-1,$G$2:$G$1001,"&gt;0")=0),"违规：须先完成上一次加仓",IF(AND(B928&gt;1,E928&lt;SUMIFS($E$2:$E$1001,$A$2:$A$1001,A928,$B$2:$B$1001,B928-1)),"违规：新止损价不得低于上一次",IF(AND(B928&gt;1,F928&gt;SUMIFS($F$2:$F$1001,$A$2:$A$1001,A928,$B$2:$B$1001,B928-1)),"违规：风险预算须逐次不增加",IF(OR(_LockStatus="已锁仓",_LockStatus="解锁信息不完整"),"违规：锁仓期间禁止加仓",IF(G928="","计划可执行：建议股数见N列",IF(OR(G928&lt;=0,G928&lt;&gt;INT(G928),MOD(G928,100)&lt;&gt;0),"违规：实际股数须为100股整数倍",IF(G928&gt;N928,"违规：实际股数超过风险或金字塔上限",IF(AND(B928&gt;1,G928&gt;SUMIFS($G$2:$G$1001,$A$2:$A$1001,A928,$B$2:$B$1001,B928-1)),"违规：加仓股数须逐次不增加",IF(Q928&gt;F928,"违规：止损风险超过本次预算","通过")))))))))))))))</f>
        <v/>
      </c>
    </row>
    <row r="929" ht="17" spans="1:18">
      <c r="A929" s="13"/>
      <c r="B929" s="14"/>
      <c r="C929" s="15"/>
      <c r="D929" s="16"/>
      <c r="E929" s="16"/>
      <c r="F929" s="16"/>
      <c r="G929" s="14"/>
      <c r="H929" s="17" t="str">
        <f t="shared" si="112"/>
        <v/>
      </c>
      <c r="I929" s="18" t="str">
        <f>IF(OR(A929="",B929=""),"",IFERROR(LOOKUP(2,1/(单次交易!$A$2:$A$201=A929),单次交易!$H$2:$H$201),0)+SUMIFS($G$2:$G$1001,$A$2:$A$1001,A929,$B$2:$B$1001,"&lt;"&amp;B929))</f>
        <v/>
      </c>
      <c r="J929" s="17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17" t="str">
        <f t="shared" si="113"/>
        <v/>
      </c>
      <c r="L929" s="18" t="str">
        <f t="shared" si="114"/>
        <v/>
      </c>
      <c r="M929" s="18" t="str">
        <f t="shared" si="115"/>
        <v/>
      </c>
      <c r="N929" s="18" t="str">
        <f t="shared" si="116"/>
        <v/>
      </c>
      <c r="O929" s="18" t="str">
        <f t="shared" si="117"/>
        <v/>
      </c>
      <c r="P929" s="17" t="str">
        <f t="shared" si="118"/>
        <v/>
      </c>
      <c r="Q929" s="17" t="str">
        <f t="shared" si="119"/>
        <v/>
      </c>
      <c r="R929" s="19" t="str">
        <f ca="1">IF(A929="","",IF(COUNTIF(_TradeIds,A929)=0,"违规：交易编号不存在",IF(OR(B929="",B929&lt;1,B929&gt;5,B929&lt;&gt;INT(B929)),"违规：加仓序号须为1到5的整数",IF(COUNTIFS($A$2:$A$1001,A929,$B$2:$B$1001,B929)&gt;1,"违规：同一交易的加仓序号重复",IF(OR(D929="",E929="",F929=""),"计划不完整：请填写加仓价、新止损价和风险预算",IF(OR(D929&lt;=0,E929&lt;=0,F929&lt;=0,D929&lt;=E929),"违规：加仓价必须高于新止损价，金额须大于0",IF(AND(B929&gt;1,COUNTIFS($A$2:$A$1001,A929,$B$2:$B$1001,B929-1,$G$2:$G$1001,"&gt;0")=0),"违规：须先完成上一次加仓",IF(AND(B929&gt;1,E929&lt;SUMIFS($E$2:$E$1001,$A$2:$A$1001,A929,$B$2:$B$1001,B929-1)),"违规：新止损价不得低于上一次",IF(AND(B929&gt;1,F929&gt;SUMIFS($F$2:$F$1001,$A$2:$A$1001,A929,$B$2:$B$1001,B929-1)),"违规：风险预算须逐次不增加",IF(OR(_LockStatus="已锁仓",_LockStatus="解锁信息不完整"),"违规：锁仓期间禁止加仓",IF(G929="","计划可执行：建议股数见N列",IF(OR(G929&lt;=0,G929&lt;&gt;INT(G929),MOD(G929,100)&lt;&gt;0),"违规：实际股数须为100股整数倍",IF(G929&gt;N929,"违规：实际股数超过风险或金字塔上限",IF(AND(B929&gt;1,G929&gt;SUMIFS($G$2:$G$1001,$A$2:$A$1001,A929,$B$2:$B$1001,B929-1)),"违规：加仓股数须逐次不增加",IF(Q929&gt;F929,"违规：止损风险超过本次预算","通过")))))))))))))))</f>
        <v/>
      </c>
    </row>
    <row r="930" ht="17" spans="1:18">
      <c r="A930" s="13"/>
      <c r="B930" s="14"/>
      <c r="C930" s="15"/>
      <c r="D930" s="16"/>
      <c r="E930" s="16"/>
      <c r="F930" s="16"/>
      <c r="G930" s="14"/>
      <c r="H930" s="17" t="str">
        <f t="shared" si="112"/>
        <v/>
      </c>
      <c r="I930" s="18" t="str">
        <f>IF(OR(A930="",B930=""),"",IFERROR(LOOKUP(2,1/(单次交易!$A$2:$A$201=A930),单次交易!$H$2:$H$201),0)+SUMIFS($G$2:$G$1001,$A$2:$A$1001,A930,$B$2:$B$1001,"&lt;"&amp;B930))</f>
        <v/>
      </c>
      <c r="J930" s="17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17" t="str">
        <f t="shared" si="113"/>
        <v/>
      </c>
      <c r="L930" s="18" t="str">
        <f t="shared" si="114"/>
        <v/>
      </c>
      <c r="M930" s="18" t="str">
        <f t="shared" si="115"/>
        <v/>
      </c>
      <c r="N930" s="18" t="str">
        <f t="shared" si="116"/>
        <v/>
      </c>
      <c r="O930" s="18" t="str">
        <f t="shared" si="117"/>
        <v/>
      </c>
      <c r="P930" s="17" t="str">
        <f t="shared" si="118"/>
        <v/>
      </c>
      <c r="Q930" s="17" t="str">
        <f t="shared" si="119"/>
        <v/>
      </c>
      <c r="R930" s="19" t="str">
        <f ca="1">IF(A930="","",IF(COUNTIF(_TradeIds,A930)=0,"违规：交易编号不存在",IF(OR(B930="",B930&lt;1,B930&gt;5,B930&lt;&gt;INT(B930)),"违规：加仓序号须为1到5的整数",IF(COUNTIFS($A$2:$A$1001,A930,$B$2:$B$1001,B930)&gt;1,"违规：同一交易的加仓序号重复",IF(OR(D930="",E930="",F930=""),"计划不完整：请填写加仓价、新止损价和风险预算",IF(OR(D930&lt;=0,E930&lt;=0,F930&lt;=0,D930&lt;=E930),"违规：加仓价必须高于新止损价，金额须大于0",IF(AND(B930&gt;1,COUNTIFS($A$2:$A$1001,A930,$B$2:$B$1001,B930-1,$G$2:$G$1001,"&gt;0")=0),"违规：须先完成上一次加仓",IF(AND(B930&gt;1,E930&lt;SUMIFS($E$2:$E$1001,$A$2:$A$1001,A930,$B$2:$B$1001,B930-1)),"违规：新止损价不得低于上一次",IF(AND(B930&gt;1,F930&gt;SUMIFS($F$2:$F$1001,$A$2:$A$1001,A930,$B$2:$B$1001,B930-1)),"违规：风险预算须逐次不增加",IF(OR(_LockStatus="已锁仓",_LockStatus="解锁信息不完整"),"违规：锁仓期间禁止加仓",IF(G930="","计划可执行：建议股数见N列",IF(OR(G930&lt;=0,G930&lt;&gt;INT(G930),MOD(G930,100)&lt;&gt;0),"违规：实际股数须为100股整数倍",IF(G930&gt;N930,"违规：实际股数超过风险或金字塔上限",IF(AND(B930&gt;1,G930&gt;SUMIFS($G$2:$G$1001,$A$2:$A$1001,A930,$B$2:$B$1001,B930-1)),"违规：加仓股数须逐次不增加",IF(Q930&gt;F930,"违规：止损风险超过本次预算","通过")))))))))))))))</f>
        <v/>
      </c>
    </row>
    <row r="931" ht="17" spans="1:18">
      <c r="A931" s="13"/>
      <c r="B931" s="14"/>
      <c r="C931" s="15"/>
      <c r="D931" s="16"/>
      <c r="E931" s="16"/>
      <c r="F931" s="16"/>
      <c r="G931" s="14"/>
      <c r="H931" s="17" t="str">
        <f t="shared" si="112"/>
        <v/>
      </c>
      <c r="I931" s="18" t="str">
        <f>IF(OR(A931="",B931=""),"",IFERROR(LOOKUP(2,1/(单次交易!$A$2:$A$201=A931),单次交易!$H$2:$H$201),0)+SUMIFS($G$2:$G$1001,$A$2:$A$1001,A931,$B$2:$B$1001,"&lt;"&amp;B931))</f>
        <v/>
      </c>
      <c r="J931" s="17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17" t="str">
        <f t="shared" si="113"/>
        <v/>
      </c>
      <c r="L931" s="18" t="str">
        <f t="shared" si="114"/>
        <v/>
      </c>
      <c r="M931" s="18" t="str">
        <f t="shared" si="115"/>
        <v/>
      </c>
      <c r="N931" s="18" t="str">
        <f t="shared" si="116"/>
        <v/>
      </c>
      <c r="O931" s="18" t="str">
        <f t="shared" si="117"/>
        <v/>
      </c>
      <c r="P931" s="17" t="str">
        <f t="shared" si="118"/>
        <v/>
      </c>
      <c r="Q931" s="17" t="str">
        <f t="shared" si="119"/>
        <v/>
      </c>
      <c r="R931" s="19" t="str">
        <f ca="1">IF(A931="","",IF(COUNTIF(_TradeIds,A931)=0,"违规：交易编号不存在",IF(OR(B931="",B931&lt;1,B931&gt;5,B931&lt;&gt;INT(B931)),"违规：加仓序号须为1到5的整数",IF(COUNTIFS($A$2:$A$1001,A931,$B$2:$B$1001,B931)&gt;1,"违规：同一交易的加仓序号重复",IF(OR(D931="",E931="",F931=""),"计划不完整：请填写加仓价、新止损价和风险预算",IF(OR(D931&lt;=0,E931&lt;=0,F931&lt;=0,D931&lt;=E931),"违规：加仓价必须高于新止损价，金额须大于0",IF(AND(B931&gt;1,COUNTIFS($A$2:$A$1001,A931,$B$2:$B$1001,B931-1,$G$2:$G$1001,"&gt;0")=0),"违规：须先完成上一次加仓",IF(AND(B931&gt;1,E931&lt;SUMIFS($E$2:$E$1001,$A$2:$A$1001,A931,$B$2:$B$1001,B931-1)),"违规：新止损价不得低于上一次",IF(AND(B931&gt;1,F931&gt;SUMIFS($F$2:$F$1001,$A$2:$A$1001,A931,$B$2:$B$1001,B931-1)),"违规：风险预算须逐次不增加",IF(OR(_LockStatus="已锁仓",_LockStatus="解锁信息不完整"),"违规：锁仓期间禁止加仓",IF(G931="","计划可执行：建议股数见N列",IF(OR(G931&lt;=0,G931&lt;&gt;INT(G931),MOD(G931,100)&lt;&gt;0),"违规：实际股数须为100股整数倍",IF(G931&gt;N931,"违规：实际股数超过风险或金字塔上限",IF(AND(B931&gt;1,G931&gt;SUMIFS($G$2:$G$1001,$A$2:$A$1001,A931,$B$2:$B$1001,B931-1)),"违规：加仓股数须逐次不增加",IF(Q931&gt;F931,"违规：止损风险超过本次预算","通过")))))))))))))))</f>
        <v/>
      </c>
    </row>
    <row r="932" ht="17" spans="1:18">
      <c r="A932" s="13"/>
      <c r="B932" s="14"/>
      <c r="C932" s="15"/>
      <c r="D932" s="16"/>
      <c r="E932" s="16"/>
      <c r="F932" s="16"/>
      <c r="G932" s="14"/>
      <c r="H932" s="17" t="str">
        <f t="shared" si="112"/>
        <v/>
      </c>
      <c r="I932" s="18" t="str">
        <f>IF(OR(A932="",B932=""),"",IFERROR(LOOKUP(2,1/(单次交易!$A$2:$A$201=A932),单次交易!$H$2:$H$201),0)+SUMIFS($G$2:$G$1001,$A$2:$A$1001,A932,$B$2:$B$1001,"&lt;"&amp;B932))</f>
        <v/>
      </c>
      <c r="J932" s="17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17" t="str">
        <f t="shared" si="113"/>
        <v/>
      </c>
      <c r="L932" s="18" t="str">
        <f t="shared" si="114"/>
        <v/>
      </c>
      <c r="M932" s="18" t="str">
        <f t="shared" si="115"/>
        <v/>
      </c>
      <c r="N932" s="18" t="str">
        <f t="shared" si="116"/>
        <v/>
      </c>
      <c r="O932" s="18" t="str">
        <f t="shared" si="117"/>
        <v/>
      </c>
      <c r="P932" s="17" t="str">
        <f t="shared" si="118"/>
        <v/>
      </c>
      <c r="Q932" s="17" t="str">
        <f t="shared" si="119"/>
        <v/>
      </c>
      <c r="R932" s="19" t="str">
        <f ca="1">IF(A932="","",IF(COUNTIF(_TradeIds,A932)=0,"违规：交易编号不存在",IF(OR(B932="",B932&lt;1,B932&gt;5,B932&lt;&gt;INT(B932)),"违规：加仓序号须为1到5的整数",IF(COUNTIFS($A$2:$A$1001,A932,$B$2:$B$1001,B932)&gt;1,"违规：同一交易的加仓序号重复",IF(OR(D932="",E932="",F932=""),"计划不完整：请填写加仓价、新止损价和风险预算",IF(OR(D932&lt;=0,E932&lt;=0,F932&lt;=0,D932&lt;=E932),"违规：加仓价必须高于新止损价，金额须大于0",IF(AND(B932&gt;1,COUNTIFS($A$2:$A$1001,A932,$B$2:$B$1001,B932-1,$G$2:$G$1001,"&gt;0")=0),"违规：须先完成上一次加仓",IF(AND(B932&gt;1,E932&lt;SUMIFS($E$2:$E$1001,$A$2:$A$1001,A932,$B$2:$B$1001,B932-1)),"违规：新止损价不得低于上一次",IF(AND(B932&gt;1,F932&gt;SUMIFS($F$2:$F$1001,$A$2:$A$1001,A932,$B$2:$B$1001,B932-1)),"违规：风险预算须逐次不增加",IF(OR(_LockStatus="已锁仓",_LockStatus="解锁信息不完整"),"违规：锁仓期间禁止加仓",IF(G932="","计划可执行：建议股数见N列",IF(OR(G932&lt;=0,G932&lt;&gt;INT(G932),MOD(G932,100)&lt;&gt;0),"违规：实际股数须为100股整数倍",IF(G932&gt;N932,"违规：实际股数超过风险或金字塔上限",IF(AND(B932&gt;1,G932&gt;SUMIFS($G$2:$G$1001,$A$2:$A$1001,A932,$B$2:$B$1001,B932-1)),"违规：加仓股数须逐次不增加",IF(Q932&gt;F932,"违规：止损风险超过本次预算","通过")))))))))))))))</f>
        <v/>
      </c>
    </row>
    <row r="933" ht="17" spans="1:18">
      <c r="A933" s="13"/>
      <c r="B933" s="14"/>
      <c r="C933" s="15"/>
      <c r="D933" s="16"/>
      <c r="E933" s="16"/>
      <c r="F933" s="16"/>
      <c r="G933" s="14"/>
      <c r="H933" s="17" t="str">
        <f t="shared" si="112"/>
        <v/>
      </c>
      <c r="I933" s="18" t="str">
        <f>IF(OR(A933="",B933=""),"",IFERROR(LOOKUP(2,1/(单次交易!$A$2:$A$201=A933),单次交易!$H$2:$H$201),0)+SUMIFS($G$2:$G$1001,$A$2:$A$1001,A933,$B$2:$B$1001,"&lt;"&amp;B933))</f>
        <v/>
      </c>
      <c r="J933" s="17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17" t="str">
        <f t="shared" si="113"/>
        <v/>
      </c>
      <c r="L933" s="18" t="str">
        <f t="shared" si="114"/>
        <v/>
      </c>
      <c r="M933" s="18" t="str">
        <f t="shared" si="115"/>
        <v/>
      </c>
      <c r="N933" s="18" t="str">
        <f t="shared" si="116"/>
        <v/>
      </c>
      <c r="O933" s="18" t="str">
        <f t="shared" si="117"/>
        <v/>
      </c>
      <c r="P933" s="17" t="str">
        <f t="shared" si="118"/>
        <v/>
      </c>
      <c r="Q933" s="17" t="str">
        <f t="shared" si="119"/>
        <v/>
      </c>
      <c r="R933" s="19" t="str">
        <f ca="1">IF(A933="","",IF(COUNTIF(_TradeIds,A933)=0,"违规：交易编号不存在",IF(OR(B933="",B933&lt;1,B933&gt;5,B933&lt;&gt;INT(B933)),"违规：加仓序号须为1到5的整数",IF(COUNTIFS($A$2:$A$1001,A933,$B$2:$B$1001,B933)&gt;1,"违规：同一交易的加仓序号重复",IF(OR(D933="",E933="",F933=""),"计划不完整：请填写加仓价、新止损价和风险预算",IF(OR(D933&lt;=0,E933&lt;=0,F933&lt;=0,D933&lt;=E933),"违规：加仓价必须高于新止损价，金额须大于0",IF(AND(B933&gt;1,COUNTIFS($A$2:$A$1001,A933,$B$2:$B$1001,B933-1,$G$2:$G$1001,"&gt;0")=0),"违规：须先完成上一次加仓",IF(AND(B933&gt;1,E933&lt;SUMIFS($E$2:$E$1001,$A$2:$A$1001,A933,$B$2:$B$1001,B933-1)),"违规：新止损价不得低于上一次",IF(AND(B933&gt;1,F933&gt;SUMIFS($F$2:$F$1001,$A$2:$A$1001,A933,$B$2:$B$1001,B933-1)),"违规：风险预算须逐次不增加",IF(OR(_LockStatus="已锁仓",_LockStatus="解锁信息不完整"),"违规：锁仓期间禁止加仓",IF(G933="","计划可执行：建议股数见N列",IF(OR(G933&lt;=0,G933&lt;&gt;INT(G933),MOD(G933,100)&lt;&gt;0),"违规：实际股数须为100股整数倍",IF(G933&gt;N933,"违规：实际股数超过风险或金字塔上限",IF(AND(B933&gt;1,G933&gt;SUMIFS($G$2:$G$1001,$A$2:$A$1001,A933,$B$2:$B$1001,B933-1)),"违规：加仓股数须逐次不增加",IF(Q933&gt;F933,"违规：止损风险超过本次预算","通过")))))))))))))))</f>
        <v/>
      </c>
    </row>
    <row r="934" ht="17" spans="1:18">
      <c r="A934" s="13"/>
      <c r="B934" s="14"/>
      <c r="C934" s="15"/>
      <c r="D934" s="16"/>
      <c r="E934" s="16"/>
      <c r="F934" s="16"/>
      <c r="G934" s="14"/>
      <c r="H934" s="17" t="str">
        <f t="shared" si="112"/>
        <v/>
      </c>
      <c r="I934" s="18" t="str">
        <f>IF(OR(A934="",B934=""),"",IFERROR(LOOKUP(2,1/(单次交易!$A$2:$A$201=A934),单次交易!$H$2:$H$201),0)+SUMIFS($G$2:$G$1001,$A$2:$A$1001,A934,$B$2:$B$1001,"&lt;"&amp;B934))</f>
        <v/>
      </c>
      <c r="J934" s="17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17" t="str">
        <f t="shared" si="113"/>
        <v/>
      </c>
      <c r="L934" s="18" t="str">
        <f t="shared" si="114"/>
        <v/>
      </c>
      <c r="M934" s="18" t="str">
        <f t="shared" si="115"/>
        <v/>
      </c>
      <c r="N934" s="18" t="str">
        <f t="shared" si="116"/>
        <v/>
      </c>
      <c r="O934" s="18" t="str">
        <f t="shared" si="117"/>
        <v/>
      </c>
      <c r="P934" s="17" t="str">
        <f t="shared" si="118"/>
        <v/>
      </c>
      <c r="Q934" s="17" t="str">
        <f t="shared" si="119"/>
        <v/>
      </c>
      <c r="R934" s="19" t="str">
        <f ca="1">IF(A934="","",IF(COUNTIF(_TradeIds,A934)=0,"违规：交易编号不存在",IF(OR(B934="",B934&lt;1,B934&gt;5,B934&lt;&gt;INT(B934)),"违规：加仓序号须为1到5的整数",IF(COUNTIFS($A$2:$A$1001,A934,$B$2:$B$1001,B934)&gt;1,"违规：同一交易的加仓序号重复",IF(OR(D934="",E934="",F934=""),"计划不完整：请填写加仓价、新止损价和风险预算",IF(OR(D934&lt;=0,E934&lt;=0,F934&lt;=0,D934&lt;=E934),"违规：加仓价必须高于新止损价，金额须大于0",IF(AND(B934&gt;1,COUNTIFS($A$2:$A$1001,A934,$B$2:$B$1001,B934-1,$G$2:$G$1001,"&gt;0")=0),"违规：须先完成上一次加仓",IF(AND(B934&gt;1,E934&lt;SUMIFS($E$2:$E$1001,$A$2:$A$1001,A934,$B$2:$B$1001,B934-1)),"违规：新止损价不得低于上一次",IF(AND(B934&gt;1,F934&gt;SUMIFS($F$2:$F$1001,$A$2:$A$1001,A934,$B$2:$B$1001,B934-1)),"违规：风险预算须逐次不增加",IF(OR(_LockStatus="已锁仓",_LockStatus="解锁信息不完整"),"违规：锁仓期间禁止加仓",IF(G934="","计划可执行：建议股数见N列",IF(OR(G934&lt;=0,G934&lt;&gt;INT(G934),MOD(G934,100)&lt;&gt;0),"违规：实际股数须为100股整数倍",IF(G934&gt;N934,"违规：实际股数超过风险或金字塔上限",IF(AND(B934&gt;1,G934&gt;SUMIFS($G$2:$G$1001,$A$2:$A$1001,A934,$B$2:$B$1001,B934-1)),"违规：加仓股数须逐次不增加",IF(Q934&gt;F934,"违规：止损风险超过本次预算","通过")))))))))))))))</f>
        <v/>
      </c>
    </row>
    <row r="935" ht="17" spans="1:18">
      <c r="A935" s="13"/>
      <c r="B935" s="14"/>
      <c r="C935" s="15"/>
      <c r="D935" s="16"/>
      <c r="E935" s="16"/>
      <c r="F935" s="16"/>
      <c r="G935" s="14"/>
      <c r="H935" s="17" t="str">
        <f t="shared" si="112"/>
        <v/>
      </c>
      <c r="I935" s="18" t="str">
        <f>IF(OR(A935="",B935=""),"",IFERROR(LOOKUP(2,1/(单次交易!$A$2:$A$201=A935),单次交易!$H$2:$H$201),0)+SUMIFS($G$2:$G$1001,$A$2:$A$1001,A935,$B$2:$B$1001,"&lt;"&amp;B935))</f>
        <v/>
      </c>
      <c r="J935" s="17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17" t="str">
        <f t="shared" si="113"/>
        <v/>
      </c>
      <c r="L935" s="18" t="str">
        <f t="shared" si="114"/>
        <v/>
      </c>
      <c r="M935" s="18" t="str">
        <f t="shared" si="115"/>
        <v/>
      </c>
      <c r="N935" s="18" t="str">
        <f t="shared" si="116"/>
        <v/>
      </c>
      <c r="O935" s="18" t="str">
        <f t="shared" si="117"/>
        <v/>
      </c>
      <c r="P935" s="17" t="str">
        <f t="shared" si="118"/>
        <v/>
      </c>
      <c r="Q935" s="17" t="str">
        <f t="shared" si="119"/>
        <v/>
      </c>
      <c r="R935" s="19" t="str">
        <f ca="1">IF(A935="","",IF(COUNTIF(_TradeIds,A935)=0,"违规：交易编号不存在",IF(OR(B935="",B935&lt;1,B935&gt;5,B935&lt;&gt;INT(B935)),"违规：加仓序号须为1到5的整数",IF(COUNTIFS($A$2:$A$1001,A935,$B$2:$B$1001,B935)&gt;1,"违规：同一交易的加仓序号重复",IF(OR(D935="",E935="",F935=""),"计划不完整：请填写加仓价、新止损价和风险预算",IF(OR(D935&lt;=0,E935&lt;=0,F935&lt;=0,D935&lt;=E935),"违规：加仓价必须高于新止损价，金额须大于0",IF(AND(B935&gt;1,COUNTIFS($A$2:$A$1001,A935,$B$2:$B$1001,B935-1,$G$2:$G$1001,"&gt;0")=0),"违规：须先完成上一次加仓",IF(AND(B935&gt;1,E935&lt;SUMIFS($E$2:$E$1001,$A$2:$A$1001,A935,$B$2:$B$1001,B935-1)),"违规：新止损价不得低于上一次",IF(AND(B935&gt;1,F935&gt;SUMIFS($F$2:$F$1001,$A$2:$A$1001,A935,$B$2:$B$1001,B935-1)),"违规：风险预算须逐次不增加",IF(OR(_LockStatus="已锁仓",_LockStatus="解锁信息不完整"),"违规：锁仓期间禁止加仓",IF(G935="","计划可执行：建议股数见N列",IF(OR(G935&lt;=0,G935&lt;&gt;INT(G935),MOD(G935,100)&lt;&gt;0),"违规：实际股数须为100股整数倍",IF(G935&gt;N935,"违规：实际股数超过风险或金字塔上限",IF(AND(B935&gt;1,G935&gt;SUMIFS($G$2:$G$1001,$A$2:$A$1001,A935,$B$2:$B$1001,B935-1)),"违规：加仓股数须逐次不增加",IF(Q935&gt;F935,"违规：止损风险超过本次预算","通过")))))))))))))))</f>
        <v/>
      </c>
    </row>
    <row r="936" ht="17" spans="1:18">
      <c r="A936" s="13"/>
      <c r="B936" s="14"/>
      <c r="C936" s="15"/>
      <c r="D936" s="16"/>
      <c r="E936" s="16"/>
      <c r="F936" s="16"/>
      <c r="G936" s="14"/>
      <c r="H936" s="17" t="str">
        <f t="shared" si="112"/>
        <v/>
      </c>
      <c r="I936" s="18" t="str">
        <f>IF(OR(A936="",B936=""),"",IFERROR(LOOKUP(2,1/(单次交易!$A$2:$A$201=A936),单次交易!$H$2:$H$201),0)+SUMIFS($G$2:$G$1001,$A$2:$A$1001,A936,$B$2:$B$1001,"&lt;"&amp;B936))</f>
        <v/>
      </c>
      <c r="J936" s="17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17" t="str">
        <f t="shared" si="113"/>
        <v/>
      </c>
      <c r="L936" s="18" t="str">
        <f t="shared" si="114"/>
        <v/>
      </c>
      <c r="M936" s="18" t="str">
        <f t="shared" si="115"/>
        <v/>
      </c>
      <c r="N936" s="18" t="str">
        <f t="shared" si="116"/>
        <v/>
      </c>
      <c r="O936" s="18" t="str">
        <f t="shared" si="117"/>
        <v/>
      </c>
      <c r="P936" s="17" t="str">
        <f t="shared" si="118"/>
        <v/>
      </c>
      <c r="Q936" s="17" t="str">
        <f t="shared" si="119"/>
        <v/>
      </c>
      <c r="R936" s="19" t="str">
        <f ca="1">IF(A936="","",IF(COUNTIF(_TradeIds,A936)=0,"违规：交易编号不存在",IF(OR(B936="",B936&lt;1,B936&gt;5,B936&lt;&gt;INT(B936)),"违规：加仓序号须为1到5的整数",IF(COUNTIFS($A$2:$A$1001,A936,$B$2:$B$1001,B936)&gt;1,"违规：同一交易的加仓序号重复",IF(OR(D936="",E936="",F936=""),"计划不完整：请填写加仓价、新止损价和风险预算",IF(OR(D936&lt;=0,E936&lt;=0,F936&lt;=0,D936&lt;=E936),"违规：加仓价必须高于新止损价，金额须大于0",IF(AND(B936&gt;1,COUNTIFS($A$2:$A$1001,A936,$B$2:$B$1001,B936-1,$G$2:$G$1001,"&gt;0")=0),"违规：须先完成上一次加仓",IF(AND(B936&gt;1,E936&lt;SUMIFS($E$2:$E$1001,$A$2:$A$1001,A936,$B$2:$B$1001,B936-1)),"违规：新止损价不得低于上一次",IF(AND(B936&gt;1,F936&gt;SUMIFS($F$2:$F$1001,$A$2:$A$1001,A936,$B$2:$B$1001,B936-1)),"违规：风险预算须逐次不增加",IF(OR(_LockStatus="已锁仓",_LockStatus="解锁信息不完整"),"违规：锁仓期间禁止加仓",IF(G936="","计划可执行：建议股数见N列",IF(OR(G936&lt;=0,G936&lt;&gt;INT(G936),MOD(G936,100)&lt;&gt;0),"违规：实际股数须为100股整数倍",IF(G936&gt;N936,"违规：实际股数超过风险或金字塔上限",IF(AND(B936&gt;1,G936&gt;SUMIFS($G$2:$G$1001,$A$2:$A$1001,A936,$B$2:$B$1001,B936-1)),"违规：加仓股数须逐次不增加",IF(Q936&gt;F936,"违规：止损风险超过本次预算","通过")))))))))))))))</f>
        <v/>
      </c>
    </row>
    <row r="937" ht="17" spans="1:18">
      <c r="A937" s="13"/>
      <c r="B937" s="14"/>
      <c r="C937" s="15"/>
      <c r="D937" s="16"/>
      <c r="E937" s="16"/>
      <c r="F937" s="16"/>
      <c r="G937" s="14"/>
      <c r="H937" s="17" t="str">
        <f t="shared" si="112"/>
        <v/>
      </c>
      <c r="I937" s="18" t="str">
        <f>IF(OR(A937="",B937=""),"",IFERROR(LOOKUP(2,1/(单次交易!$A$2:$A$201=A937),单次交易!$H$2:$H$201),0)+SUMIFS($G$2:$G$1001,$A$2:$A$1001,A937,$B$2:$B$1001,"&lt;"&amp;B937))</f>
        <v/>
      </c>
      <c r="J937" s="17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17" t="str">
        <f t="shared" si="113"/>
        <v/>
      </c>
      <c r="L937" s="18" t="str">
        <f t="shared" si="114"/>
        <v/>
      </c>
      <c r="M937" s="18" t="str">
        <f t="shared" si="115"/>
        <v/>
      </c>
      <c r="N937" s="18" t="str">
        <f t="shared" si="116"/>
        <v/>
      </c>
      <c r="O937" s="18" t="str">
        <f t="shared" si="117"/>
        <v/>
      </c>
      <c r="P937" s="17" t="str">
        <f t="shared" si="118"/>
        <v/>
      </c>
      <c r="Q937" s="17" t="str">
        <f t="shared" si="119"/>
        <v/>
      </c>
      <c r="R937" s="19" t="str">
        <f ca="1">IF(A937="","",IF(COUNTIF(_TradeIds,A937)=0,"违规：交易编号不存在",IF(OR(B937="",B937&lt;1,B937&gt;5,B937&lt;&gt;INT(B937)),"违规：加仓序号须为1到5的整数",IF(COUNTIFS($A$2:$A$1001,A937,$B$2:$B$1001,B937)&gt;1,"违规：同一交易的加仓序号重复",IF(OR(D937="",E937="",F937=""),"计划不完整：请填写加仓价、新止损价和风险预算",IF(OR(D937&lt;=0,E937&lt;=0,F937&lt;=0,D937&lt;=E937),"违规：加仓价必须高于新止损价，金额须大于0",IF(AND(B937&gt;1,COUNTIFS($A$2:$A$1001,A937,$B$2:$B$1001,B937-1,$G$2:$G$1001,"&gt;0")=0),"违规：须先完成上一次加仓",IF(AND(B937&gt;1,E937&lt;SUMIFS($E$2:$E$1001,$A$2:$A$1001,A937,$B$2:$B$1001,B937-1)),"违规：新止损价不得低于上一次",IF(AND(B937&gt;1,F937&gt;SUMIFS($F$2:$F$1001,$A$2:$A$1001,A937,$B$2:$B$1001,B937-1)),"违规：风险预算须逐次不增加",IF(OR(_LockStatus="已锁仓",_LockStatus="解锁信息不完整"),"违规：锁仓期间禁止加仓",IF(G937="","计划可执行：建议股数见N列",IF(OR(G937&lt;=0,G937&lt;&gt;INT(G937),MOD(G937,100)&lt;&gt;0),"违规：实际股数须为100股整数倍",IF(G937&gt;N937,"违规：实际股数超过风险或金字塔上限",IF(AND(B937&gt;1,G937&gt;SUMIFS($G$2:$G$1001,$A$2:$A$1001,A937,$B$2:$B$1001,B937-1)),"违规：加仓股数须逐次不增加",IF(Q937&gt;F937,"违规：止损风险超过本次预算","通过")))))))))))))))</f>
        <v/>
      </c>
    </row>
    <row r="938" ht="17" spans="1:18">
      <c r="A938" s="13"/>
      <c r="B938" s="14"/>
      <c r="C938" s="15"/>
      <c r="D938" s="16"/>
      <c r="E938" s="16"/>
      <c r="F938" s="16"/>
      <c r="G938" s="14"/>
      <c r="H938" s="17" t="str">
        <f t="shared" si="112"/>
        <v/>
      </c>
      <c r="I938" s="18" t="str">
        <f>IF(OR(A938="",B938=""),"",IFERROR(LOOKUP(2,1/(单次交易!$A$2:$A$201=A938),单次交易!$H$2:$H$201),0)+SUMIFS($G$2:$G$1001,$A$2:$A$1001,A938,$B$2:$B$1001,"&lt;"&amp;B938))</f>
        <v/>
      </c>
      <c r="J938" s="17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17" t="str">
        <f t="shared" si="113"/>
        <v/>
      </c>
      <c r="L938" s="18" t="str">
        <f t="shared" si="114"/>
        <v/>
      </c>
      <c r="M938" s="18" t="str">
        <f t="shared" si="115"/>
        <v/>
      </c>
      <c r="N938" s="18" t="str">
        <f t="shared" si="116"/>
        <v/>
      </c>
      <c r="O938" s="18" t="str">
        <f t="shared" si="117"/>
        <v/>
      </c>
      <c r="P938" s="17" t="str">
        <f t="shared" si="118"/>
        <v/>
      </c>
      <c r="Q938" s="17" t="str">
        <f t="shared" si="119"/>
        <v/>
      </c>
      <c r="R938" s="19" t="str">
        <f ca="1">IF(A938="","",IF(COUNTIF(_TradeIds,A938)=0,"违规：交易编号不存在",IF(OR(B938="",B938&lt;1,B938&gt;5,B938&lt;&gt;INT(B938)),"违规：加仓序号须为1到5的整数",IF(COUNTIFS($A$2:$A$1001,A938,$B$2:$B$1001,B938)&gt;1,"违规：同一交易的加仓序号重复",IF(OR(D938="",E938="",F938=""),"计划不完整：请填写加仓价、新止损价和风险预算",IF(OR(D938&lt;=0,E938&lt;=0,F938&lt;=0,D938&lt;=E938),"违规：加仓价必须高于新止损价，金额须大于0",IF(AND(B938&gt;1,COUNTIFS($A$2:$A$1001,A938,$B$2:$B$1001,B938-1,$G$2:$G$1001,"&gt;0")=0),"违规：须先完成上一次加仓",IF(AND(B938&gt;1,E938&lt;SUMIFS($E$2:$E$1001,$A$2:$A$1001,A938,$B$2:$B$1001,B938-1)),"违规：新止损价不得低于上一次",IF(AND(B938&gt;1,F938&gt;SUMIFS($F$2:$F$1001,$A$2:$A$1001,A938,$B$2:$B$1001,B938-1)),"违规：风险预算须逐次不增加",IF(OR(_LockStatus="已锁仓",_LockStatus="解锁信息不完整"),"违规：锁仓期间禁止加仓",IF(G938="","计划可执行：建议股数见N列",IF(OR(G938&lt;=0,G938&lt;&gt;INT(G938),MOD(G938,100)&lt;&gt;0),"违规：实际股数须为100股整数倍",IF(G938&gt;N938,"违规：实际股数超过风险或金字塔上限",IF(AND(B938&gt;1,G938&gt;SUMIFS($G$2:$G$1001,$A$2:$A$1001,A938,$B$2:$B$1001,B938-1)),"违规：加仓股数须逐次不增加",IF(Q938&gt;F938,"违规：止损风险超过本次预算","通过")))))))))))))))</f>
        <v/>
      </c>
    </row>
    <row r="939" ht="17" spans="1:18">
      <c r="A939" s="13"/>
      <c r="B939" s="14"/>
      <c r="C939" s="15"/>
      <c r="D939" s="16"/>
      <c r="E939" s="16"/>
      <c r="F939" s="16"/>
      <c r="G939" s="14"/>
      <c r="H939" s="17" t="str">
        <f t="shared" si="112"/>
        <v/>
      </c>
      <c r="I939" s="18" t="str">
        <f>IF(OR(A939="",B939=""),"",IFERROR(LOOKUP(2,1/(单次交易!$A$2:$A$201=A939),单次交易!$H$2:$H$201),0)+SUMIFS($G$2:$G$1001,$A$2:$A$1001,A939,$B$2:$B$1001,"&lt;"&amp;B939))</f>
        <v/>
      </c>
      <c r="J939" s="17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17" t="str">
        <f t="shared" si="113"/>
        <v/>
      </c>
      <c r="L939" s="18" t="str">
        <f t="shared" si="114"/>
        <v/>
      </c>
      <c r="M939" s="18" t="str">
        <f t="shared" si="115"/>
        <v/>
      </c>
      <c r="N939" s="18" t="str">
        <f t="shared" si="116"/>
        <v/>
      </c>
      <c r="O939" s="18" t="str">
        <f t="shared" si="117"/>
        <v/>
      </c>
      <c r="P939" s="17" t="str">
        <f t="shared" si="118"/>
        <v/>
      </c>
      <c r="Q939" s="17" t="str">
        <f t="shared" si="119"/>
        <v/>
      </c>
      <c r="R939" s="19" t="str">
        <f ca="1">IF(A939="","",IF(COUNTIF(_TradeIds,A939)=0,"违规：交易编号不存在",IF(OR(B939="",B939&lt;1,B939&gt;5,B939&lt;&gt;INT(B939)),"违规：加仓序号须为1到5的整数",IF(COUNTIFS($A$2:$A$1001,A939,$B$2:$B$1001,B939)&gt;1,"违规：同一交易的加仓序号重复",IF(OR(D939="",E939="",F939=""),"计划不完整：请填写加仓价、新止损价和风险预算",IF(OR(D939&lt;=0,E939&lt;=0,F939&lt;=0,D939&lt;=E939),"违规：加仓价必须高于新止损价，金额须大于0",IF(AND(B939&gt;1,COUNTIFS($A$2:$A$1001,A939,$B$2:$B$1001,B939-1,$G$2:$G$1001,"&gt;0")=0),"违规：须先完成上一次加仓",IF(AND(B939&gt;1,E939&lt;SUMIFS($E$2:$E$1001,$A$2:$A$1001,A939,$B$2:$B$1001,B939-1)),"违规：新止损价不得低于上一次",IF(AND(B939&gt;1,F939&gt;SUMIFS($F$2:$F$1001,$A$2:$A$1001,A939,$B$2:$B$1001,B939-1)),"违规：风险预算须逐次不增加",IF(OR(_LockStatus="已锁仓",_LockStatus="解锁信息不完整"),"违规：锁仓期间禁止加仓",IF(G939="","计划可执行：建议股数见N列",IF(OR(G939&lt;=0,G939&lt;&gt;INT(G939),MOD(G939,100)&lt;&gt;0),"违规：实际股数须为100股整数倍",IF(G939&gt;N939,"违规：实际股数超过风险或金字塔上限",IF(AND(B939&gt;1,G939&gt;SUMIFS($G$2:$G$1001,$A$2:$A$1001,A939,$B$2:$B$1001,B939-1)),"违规：加仓股数须逐次不增加",IF(Q939&gt;F939,"违规：止损风险超过本次预算","通过")))))))))))))))</f>
        <v/>
      </c>
    </row>
    <row r="940" ht="17" spans="1:18">
      <c r="A940" s="13"/>
      <c r="B940" s="14"/>
      <c r="C940" s="15"/>
      <c r="D940" s="16"/>
      <c r="E940" s="16"/>
      <c r="F940" s="16"/>
      <c r="G940" s="14"/>
      <c r="H940" s="17" t="str">
        <f t="shared" si="112"/>
        <v/>
      </c>
      <c r="I940" s="18" t="str">
        <f>IF(OR(A940="",B940=""),"",IFERROR(LOOKUP(2,1/(单次交易!$A$2:$A$201=A940),单次交易!$H$2:$H$201),0)+SUMIFS($G$2:$G$1001,$A$2:$A$1001,A940,$B$2:$B$1001,"&lt;"&amp;B940))</f>
        <v/>
      </c>
      <c r="J940" s="17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17" t="str">
        <f t="shared" si="113"/>
        <v/>
      </c>
      <c r="L940" s="18" t="str">
        <f t="shared" si="114"/>
        <v/>
      </c>
      <c r="M940" s="18" t="str">
        <f t="shared" si="115"/>
        <v/>
      </c>
      <c r="N940" s="18" t="str">
        <f t="shared" si="116"/>
        <v/>
      </c>
      <c r="O940" s="18" t="str">
        <f t="shared" si="117"/>
        <v/>
      </c>
      <c r="P940" s="17" t="str">
        <f t="shared" si="118"/>
        <v/>
      </c>
      <c r="Q940" s="17" t="str">
        <f t="shared" si="119"/>
        <v/>
      </c>
      <c r="R940" s="19" t="str">
        <f ca="1">IF(A940="","",IF(COUNTIF(_TradeIds,A940)=0,"违规：交易编号不存在",IF(OR(B940="",B940&lt;1,B940&gt;5,B940&lt;&gt;INT(B940)),"违规：加仓序号须为1到5的整数",IF(COUNTIFS($A$2:$A$1001,A940,$B$2:$B$1001,B940)&gt;1,"违规：同一交易的加仓序号重复",IF(OR(D940="",E940="",F940=""),"计划不完整：请填写加仓价、新止损价和风险预算",IF(OR(D940&lt;=0,E940&lt;=0,F940&lt;=0,D940&lt;=E940),"违规：加仓价必须高于新止损价，金额须大于0",IF(AND(B940&gt;1,COUNTIFS($A$2:$A$1001,A940,$B$2:$B$1001,B940-1,$G$2:$G$1001,"&gt;0")=0),"违规：须先完成上一次加仓",IF(AND(B940&gt;1,E940&lt;SUMIFS($E$2:$E$1001,$A$2:$A$1001,A940,$B$2:$B$1001,B940-1)),"违规：新止损价不得低于上一次",IF(AND(B940&gt;1,F940&gt;SUMIFS($F$2:$F$1001,$A$2:$A$1001,A940,$B$2:$B$1001,B940-1)),"违规：风险预算须逐次不增加",IF(OR(_LockStatus="已锁仓",_LockStatus="解锁信息不完整"),"违规：锁仓期间禁止加仓",IF(G940="","计划可执行：建议股数见N列",IF(OR(G940&lt;=0,G940&lt;&gt;INT(G940),MOD(G940,100)&lt;&gt;0),"违规：实际股数须为100股整数倍",IF(G940&gt;N940,"违规：实际股数超过风险或金字塔上限",IF(AND(B940&gt;1,G940&gt;SUMIFS($G$2:$G$1001,$A$2:$A$1001,A940,$B$2:$B$1001,B940-1)),"违规：加仓股数须逐次不增加",IF(Q940&gt;F940,"违规：止损风险超过本次预算","通过")))))))))))))))</f>
        <v/>
      </c>
    </row>
    <row r="941" ht="17" spans="1:18">
      <c r="A941" s="13"/>
      <c r="B941" s="14"/>
      <c r="C941" s="15"/>
      <c r="D941" s="16"/>
      <c r="E941" s="16"/>
      <c r="F941" s="16"/>
      <c r="G941" s="14"/>
      <c r="H941" s="17" t="str">
        <f t="shared" si="112"/>
        <v/>
      </c>
      <c r="I941" s="18" t="str">
        <f>IF(OR(A941="",B941=""),"",IFERROR(LOOKUP(2,1/(单次交易!$A$2:$A$201=A941),单次交易!$H$2:$H$201),0)+SUMIFS($G$2:$G$1001,$A$2:$A$1001,A941,$B$2:$B$1001,"&lt;"&amp;B941))</f>
        <v/>
      </c>
      <c r="J941" s="17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17" t="str">
        <f t="shared" si="113"/>
        <v/>
      </c>
      <c r="L941" s="18" t="str">
        <f t="shared" si="114"/>
        <v/>
      </c>
      <c r="M941" s="18" t="str">
        <f t="shared" si="115"/>
        <v/>
      </c>
      <c r="N941" s="18" t="str">
        <f t="shared" si="116"/>
        <v/>
      </c>
      <c r="O941" s="18" t="str">
        <f t="shared" si="117"/>
        <v/>
      </c>
      <c r="P941" s="17" t="str">
        <f t="shared" si="118"/>
        <v/>
      </c>
      <c r="Q941" s="17" t="str">
        <f t="shared" si="119"/>
        <v/>
      </c>
      <c r="R941" s="19" t="str">
        <f ca="1">IF(A941="","",IF(COUNTIF(_TradeIds,A941)=0,"违规：交易编号不存在",IF(OR(B941="",B941&lt;1,B941&gt;5,B941&lt;&gt;INT(B941)),"违规：加仓序号须为1到5的整数",IF(COUNTIFS($A$2:$A$1001,A941,$B$2:$B$1001,B941)&gt;1,"违规：同一交易的加仓序号重复",IF(OR(D941="",E941="",F941=""),"计划不完整：请填写加仓价、新止损价和风险预算",IF(OR(D941&lt;=0,E941&lt;=0,F941&lt;=0,D941&lt;=E941),"违规：加仓价必须高于新止损价，金额须大于0",IF(AND(B941&gt;1,COUNTIFS($A$2:$A$1001,A941,$B$2:$B$1001,B941-1,$G$2:$G$1001,"&gt;0")=0),"违规：须先完成上一次加仓",IF(AND(B941&gt;1,E941&lt;SUMIFS($E$2:$E$1001,$A$2:$A$1001,A941,$B$2:$B$1001,B941-1)),"违规：新止损价不得低于上一次",IF(AND(B941&gt;1,F941&gt;SUMIFS($F$2:$F$1001,$A$2:$A$1001,A941,$B$2:$B$1001,B941-1)),"违规：风险预算须逐次不增加",IF(OR(_LockStatus="已锁仓",_LockStatus="解锁信息不完整"),"违规：锁仓期间禁止加仓",IF(G941="","计划可执行：建议股数见N列",IF(OR(G941&lt;=0,G941&lt;&gt;INT(G941),MOD(G941,100)&lt;&gt;0),"违规：实际股数须为100股整数倍",IF(G941&gt;N941,"违规：实际股数超过风险或金字塔上限",IF(AND(B941&gt;1,G941&gt;SUMIFS($G$2:$G$1001,$A$2:$A$1001,A941,$B$2:$B$1001,B941-1)),"违规：加仓股数须逐次不增加",IF(Q941&gt;F941,"违规：止损风险超过本次预算","通过")))))))))))))))</f>
        <v/>
      </c>
    </row>
    <row r="942" ht="17" spans="1:18">
      <c r="A942" s="13"/>
      <c r="B942" s="14"/>
      <c r="C942" s="15"/>
      <c r="D942" s="16"/>
      <c r="E942" s="16"/>
      <c r="F942" s="16"/>
      <c r="G942" s="14"/>
      <c r="H942" s="17" t="str">
        <f t="shared" si="112"/>
        <v/>
      </c>
      <c r="I942" s="18" t="str">
        <f>IF(OR(A942="",B942=""),"",IFERROR(LOOKUP(2,1/(单次交易!$A$2:$A$201=A942),单次交易!$H$2:$H$201),0)+SUMIFS($G$2:$G$1001,$A$2:$A$1001,A942,$B$2:$B$1001,"&lt;"&amp;B942))</f>
        <v/>
      </c>
      <c r="J942" s="17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17" t="str">
        <f t="shared" si="113"/>
        <v/>
      </c>
      <c r="L942" s="18" t="str">
        <f t="shared" si="114"/>
        <v/>
      </c>
      <c r="M942" s="18" t="str">
        <f t="shared" si="115"/>
        <v/>
      </c>
      <c r="N942" s="18" t="str">
        <f t="shared" si="116"/>
        <v/>
      </c>
      <c r="O942" s="18" t="str">
        <f t="shared" si="117"/>
        <v/>
      </c>
      <c r="P942" s="17" t="str">
        <f t="shared" si="118"/>
        <v/>
      </c>
      <c r="Q942" s="17" t="str">
        <f t="shared" si="119"/>
        <v/>
      </c>
      <c r="R942" s="19" t="str">
        <f ca="1">IF(A942="","",IF(COUNTIF(_TradeIds,A942)=0,"违规：交易编号不存在",IF(OR(B942="",B942&lt;1,B942&gt;5,B942&lt;&gt;INT(B942)),"违规：加仓序号须为1到5的整数",IF(COUNTIFS($A$2:$A$1001,A942,$B$2:$B$1001,B942)&gt;1,"违规：同一交易的加仓序号重复",IF(OR(D942="",E942="",F942=""),"计划不完整：请填写加仓价、新止损价和风险预算",IF(OR(D942&lt;=0,E942&lt;=0,F942&lt;=0,D942&lt;=E942),"违规：加仓价必须高于新止损价，金额须大于0",IF(AND(B942&gt;1,COUNTIFS($A$2:$A$1001,A942,$B$2:$B$1001,B942-1,$G$2:$G$1001,"&gt;0")=0),"违规：须先完成上一次加仓",IF(AND(B942&gt;1,E942&lt;SUMIFS($E$2:$E$1001,$A$2:$A$1001,A942,$B$2:$B$1001,B942-1)),"违规：新止损价不得低于上一次",IF(AND(B942&gt;1,F942&gt;SUMIFS($F$2:$F$1001,$A$2:$A$1001,A942,$B$2:$B$1001,B942-1)),"违规：风险预算须逐次不增加",IF(OR(_LockStatus="已锁仓",_LockStatus="解锁信息不完整"),"违规：锁仓期间禁止加仓",IF(G942="","计划可执行：建议股数见N列",IF(OR(G942&lt;=0,G942&lt;&gt;INT(G942),MOD(G942,100)&lt;&gt;0),"违规：实际股数须为100股整数倍",IF(G942&gt;N942,"违规：实际股数超过风险或金字塔上限",IF(AND(B942&gt;1,G942&gt;SUMIFS($G$2:$G$1001,$A$2:$A$1001,A942,$B$2:$B$1001,B942-1)),"违规：加仓股数须逐次不增加",IF(Q942&gt;F942,"违规：止损风险超过本次预算","通过")))))))))))))))</f>
        <v/>
      </c>
    </row>
    <row r="943" ht="17" spans="1:18">
      <c r="A943" s="13"/>
      <c r="B943" s="14"/>
      <c r="C943" s="15"/>
      <c r="D943" s="16"/>
      <c r="E943" s="16"/>
      <c r="F943" s="16"/>
      <c r="G943" s="14"/>
      <c r="H943" s="17" t="str">
        <f t="shared" si="112"/>
        <v/>
      </c>
      <c r="I943" s="18" t="str">
        <f>IF(OR(A943="",B943=""),"",IFERROR(LOOKUP(2,1/(单次交易!$A$2:$A$201=A943),单次交易!$H$2:$H$201),0)+SUMIFS($G$2:$G$1001,$A$2:$A$1001,A943,$B$2:$B$1001,"&lt;"&amp;B943))</f>
        <v/>
      </c>
      <c r="J943" s="17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17" t="str">
        <f t="shared" si="113"/>
        <v/>
      </c>
      <c r="L943" s="18" t="str">
        <f t="shared" si="114"/>
        <v/>
      </c>
      <c r="M943" s="18" t="str">
        <f t="shared" si="115"/>
        <v/>
      </c>
      <c r="N943" s="18" t="str">
        <f t="shared" si="116"/>
        <v/>
      </c>
      <c r="O943" s="18" t="str">
        <f t="shared" si="117"/>
        <v/>
      </c>
      <c r="P943" s="17" t="str">
        <f t="shared" si="118"/>
        <v/>
      </c>
      <c r="Q943" s="17" t="str">
        <f t="shared" si="119"/>
        <v/>
      </c>
      <c r="R943" s="19" t="str">
        <f ca="1">IF(A943="","",IF(COUNTIF(_TradeIds,A943)=0,"违规：交易编号不存在",IF(OR(B943="",B943&lt;1,B943&gt;5,B943&lt;&gt;INT(B943)),"违规：加仓序号须为1到5的整数",IF(COUNTIFS($A$2:$A$1001,A943,$B$2:$B$1001,B943)&gt;1,"违规：同一交易的加仓序号重复",IF(OR(D943="",E943="",F943=""),"计划不完整：请填写加仓价、新止损价和风险预算",IF(OR(D943&lt;=0,E943&lt;=0,F943&lt;=0,D943&lt;=E943),"违规：加仓价必须高于新止损价，金额须大于0",IF(AND(B943&gt;1,COUNTIFS($A$2:$A$1001,A943,$B$2:$B$1001,B943-1,$G$2:$G$1001,"&gt;0")=0),"违规：须先完成上一次加仓",IF(AND(B943&gt;1,E943&lt;SUMIFS($E$2:$E$1001,$A$2:$A$1001,A943,$B$2:$B$1001,B943-1)),"违规：新止损价不得低于上一次",IF(AND(B943&gt;1,F943&gt;SUMIFS($F$2:$F$1001,$A$2:$A$1001,A943,$B$2:$B$1001,B943-1)),"违规：风险预算须逐次不增加",IF(OR(_LockStatus="已锁仓",_LockStatus="解锁信息不完整"),"违规：锁仓期间禁止加仓",IF(G943="","计划可执行：建议股数见N列",IF(OR(G943&lt;=0,G943&lt;&gt;INT(G943),MOD(G943,100)&lt;&gt;0),"违规：实际股数须为100股整数倍",IF(G943&gt;N943,"违规：实际股数超过风险或金字塔上限",IF(AND(B943&gt;1,G943&gt;SUMIFS($G$2:$G$1001,$A$2:$A$1001,A943,$B$2:$B$1001,B943-1)),"违规：加仓股数须逐次不增加",IF(Q943&gt;F943,"违规：止损风险超过本次预算","通过")))))))))))))))</f>
        <v/>
      </c>
    </row>
    <row r="944" ht="17" spans="1:18">
      <c r="A944" s="13"/>
      <c r="B944" s="14"/>
      <c r="C944" s="15"/>
      <c r="D944" s="16"/>
      <c r="E944" s="16"/>
      <c r="F944" s="16"/>
      <c r="G944" s="14"/>
      <c r="H944" s="17" t="str">
        <f t="shared" si="112"/>
        <v/>
      </c>
      <c r="I944" s="18" t="str">
        <f>IF(OR(A944="",B944=""),"",IFERROR(LOOKUP(2,1/(单次交易!$A$2:$A$201=A944),单次交易!$H$2:$H$201),0)+SUMIFS($G$2:$G$1001,$A$2:$A$1001,A944,$B$2:$B$1001,"&lt;"&amp;B944))</f>
        <v/>
      </c>
      <c r="J944" s="17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17" t="str">
        <f t="shared" si="113"/>
        <v/>
      </c>
      <c r="L944" s="18" t="str">
        <f t="shared" si="114"/>
        <v/>
      </c>
      <c r="M944" s="18" t="str">
        <f t="shared" si="115"/>
        <v/>
      </c>
      <c r="N944" s="18" t="str">
        <f t="shared" si="116"/>
        <v/>
      </c>
      <c r="O944" s="18" t="str">
        <f t="shared" si="117"/>
        <v/>
      </c>
      <c r="P944" s="17" t="str">
        <f t="shared" si="118"/>
        <v/>
      </c>
      <c r="Q944" s="17" t="str">
        <f t="shared" si="119"/>
        <v/>
      </c>
      <c r="R944" s="19" t="str">
        <f ca="1">IF(A944="","",IF(COUNTIF(_TradeIds,A944)=0,"违规：交易编号不存在",IF(OR(B944="",B944&lt;1,B944&gt;5,B944&lt;&gt;INT(B944)),"违规：加仓序号须为1到5的整数",IF(COUNTIFS($A$2:$A$1001,A944,$B$2:$B$1001,B944)&gt;1,"违规：同一交易的加仓序号重复",IF(OR(D944="",E944="",F944=""),"计划不完整：请填写加仓价、新止损价和风险预算",IF(OR(D944&lt;=0,E944&lt;=0,F944&lt;=0,D944&lt;=E944),"违规：加仓价必须高于新止损价，金额须大于0",IF(AND(B944&gt;1,COUNTIFS($A$2:$A$1001,A944,$B$2:$B$1001,B944-1,$G$2:$G$1001,"&gt;0")=0),"违规：须先完成上一次加仓",IF(AND(B944&gt;1,E944&lt;SUMIFS($E$2:$E$1001,$A$2:$A$1001,A944,$B$2:$B$1001,B944-1)),"违规：新止损价不得低于上一次",IF(AND(B944&gt;1,F944&gt;SUMIFS($F$2:$F$1001,$A$2:$A$1001,A944,$B$2:$B$1001,B944-1)),"违规：风险预算须逐次不增加",IF(OR(_LockStatus="已锁仓",_LockStatus="解锁信息不完整"),"违规：锁仓期间禁止加仓",IF(G944="","计划可执行：建议股数见N列",IF(OR(G944&lt;=0,G944&lt;&gt;INT(G944),MOD(G944,100)&lt;&gt;0),"违规：实际股数须为100股整数倍",IF(G944&gt;N944,"违规：实际股数超过风险或金字塔上限",IF(AND(B944&gt;1,G944&gt;SUMIFS($G$2:$G$1001,$A$2:$A$1001,A944,$B$2:$B$1001,B944-1)),"违规：加仓股数须逐次不增加",IF(Q944&gt;F944,"违规：止损风险超过本次预算","通过")))))))))))))))</f>
        <v/>
      </c>
    </row>
    <row r="945" ht="17" spans="1:18">
      <c r="A945" s="13"/>
      <c r="B945" s="14"/>
      <c r="C945" s="15"/>
      <c r="D945" s="16"/>
      <c r="E945" s="16"/>
      <c r="F945" s="16"/>
      <c r="G945" s="14"/>
      <c r="H945" s="17" t="str">
        <f t="shared" si="112"/>
        <v/>
      </c>
      <c r="I945" s="18" t="str">
        <f>IF(OR(A945="",B945=""),"",IFERROR(LOOKUP(2,1/(单次交易!$A$2:$A$201=A945),单次交易!$H$2:$H$201),0)+SUMIFS($G$2:$G$1001,$A$2:$A$1001,A945,$B$2:$B$1001,"&lt;"&amp;B945))</f>
        <v/>
      </c>
      <c r="J945" s="17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17" t="str">
        <f t="shared" si="113"/>
        <v/>
      </c>
      <c r="L945" s="18" t="str">
        <f t="shared" si="114"/>
        <v/>
      </c>
      <c r="M945" s="18" t="str">
        <f t="shared" si="115"/>
        <v/>
      </c>
      <c r="N945" s="18" t="str">
        <f t="shared" si="116"/>
        <v/>
      </c>
      <c r="O945" s="18" t="str">
        <f t="shared" si="117"/>
        <v/>
      </c>
      <c r="P945" s="17" t="str">
        <f t="shared" si="118"/>
        <v/>
      </c>
      <c r="Q945" s="17" t="str">
        <f t="shared" si="119"/>
        <v/>
      </c>
      <c r="R945" s="19" t="str">
        <f ca="1">IF(A945="","",IF(COUNTIF(_TradeIds,A945)=0,"违规：交易编号不存在",IF(OR(B945="",B945&lt;1,B945&gt;5,B945&lt;&gt;INT(B945)),"违规：加仓序号须为1到5的整数",IF(COUNTIFS($A$2:$A$1001,A945,$B$2:$B$1001,B945)&gt;1,"违规：同一交易的加仓序号重复",IF(OR(D945="",E945="",F945=""),"计划不完整：请填写加仓价、新止损价和风险预算",IF(OR(D945&lt;=0,E945&lt;=0,F945&lt;=0,D945&lt;=E945),"违规：加仓价必须高于新止损价，金额须大于0",IF(AND(B945&gt;1,COUNTIFS($A$2:$A$1001,A945,$B$2:$B$1001,B945-1,$G$2:$G$1001,"&gt;0")=0),"违规：须先完成上一次加仓",IF(AND(B945&gt;1,E945&lt;SUMIFS($E$2:$E$1001,$A$2:$A$1001,A945,$B$2:$B$1001,B945-1)),"违规：新止损价不得低于上一次",IF(AND(B945&gt;1,F945&gt;SUMIFS($F$2:$F$1001,$A$2:$A$1001,A945,$B$2:$B$1001,B945-1)),"违规：风险预算须逐次不增加",IF(OR(_LockStatus="已锁仓",_LockStatus="解锁信息不完整"),"违规：锁仓期间禁止加仓",IF(G945="","计划可执行：建议股数见N列",IF(OR(G945&lt;=0,G945&lt;&gt;INT(G945),MOD(G945,100)&lt;&gt;0),"违规：实际股数须为100股整数倍",IF(G945&gt;N945,"违规：实际股数超过风险或金字塔上限",IF(AND(B945&gt;1,G945&gt;SUMIFS($G$2:$G$1001,$A$2:$A$1001,A945,$B$2:$B$1001,B945-1)),"违规：加仓股数须逐次不增加",IF(Q945&gt;F945,"违规：止损风险超过本次预算","通过")))))))))))))))</f>
        <v/>
      </c>
    </row>
    <row r="946" ht="17" spans="1:18">
      <c r="A946" s="13"/>
      <c r="B946" s="14"/>
      <c r="C946" s="15"/>
      <c r="D946" s="16"/>
      <c r="E946" s="16"/>
      <c r="F946" s="16"/>
      <c r="G946" s="14"/>
      <c r="H946" s="17" t="str">
        <f t="shared" si="112"/>
        <v/>
      </c>
      <c r="I946" s="18" t="str">
        <f>IF(OR(A946="",B946=""),"",IFERROR(LOOKUP(2,1/(单次交易!$A$2:$A$201=A946),单次交易!$H$2:$H$201),0)+SUMIFS($G$2:$G$1001,$A$2:$A$1001,A946,$B$2:$B$1001,"&lt;"&amp;B946))</f>
        <v/>
      </c>
      <c r="J946" s="17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17" t="str">
        <f t="shared" si="113"/>
        <v/>
      </c>
      <c r="L946" s="18" t="str">
        <f t="shared" si="114"/>
        <v/>
      </c>
      <c r="M946" s="18" t="str">
        <f t="shared" si="115"/>
        <v/>
      </c>
      <c r="N946" s="18" t="str">
        <f t="shared" si="116"/>
        <v/>
      </c>
      <c r="O946" s="18" t="str">
        <f t="shared" si="117"/>
        <v/>
      </c>
      <c r="P946" s="17" t="str">
        <f t="shared" si="118"/>
        <v/>
      </c>
      <c r="Q946" s="17" t="str">
        <f t="shared" si="119"/>
        <v/>
      </c>
      <c r="R946" s="19" t="str">
        <f ca="1">IF(A946="","",IF(COUNTIF(_TradeIds,A946)=0,"违规：交易编号不存在",IF(OR(B946="",B946&lt;1,B946&gt;5,B946&lt;&gt;INT(B946)),"违规：加仓序号须为1到5的整数",IF(COUNTIFS($A$2:$A$1001,A946,$B$2:$B$1001,B946)&gt;1,"违规：同一交易的加仓序号重复",IF(OR(D946="",E946="",F946=""),"计划不完整：请填写加仓价、新止损价和风险预算",IF(OR(D946&lt;=0,E946&lt;=0,F946&lt;=0,D946&lt;=E946),"违规：加仓价必须高于新止损价，金额须大于0",IF(AND(B946&gt;1,COUNTIFS($A$2:$A$1001,A946,$B$2:$B$1001,B946-1,$G$2:$G$1001,"&gt;0")=0),"违规：须先完成上一次加仓",IF(AND(B946&gt;1,E946&lt;SUMIFS($E$2:$E$1001,$A$2:$A$1001,A946,$B$2:$B$1001,B946-1)),"违规：新止损价不得低于上一次",IF(AND(B946&gt;1,F946&gt;SUMIFS($F$2:$F$1001,$A$2:$A$1001,A946,$B$2:$B$1001,B946-1)),"违规：风险预算须逐次不增加",IF(OR(_LockStatus="已锁仓",_LockStatus="解锁信息不完整"),"违规：锁仓期间禁止加仓",IF(G946="","计划可执行：建议股数见N列",IF(OR(G946&lt;=0,G946&lt;&gt;INT(G946),MOD(G946,100)&lt;&gt;0),"违规：实际股数须为100股整数倍",IF(G946&gt;N946,"违规：实际股数超过风险或金字塔上限",IF(AND(B946&gt;1,G946&gt;SUMIFS($G$2:$G$1001,$A$2:$A$1001,A946,$B$2:$B$1001,B946-1)),"违规：加仓股数须逐次不增加",IF(Q946&gt;F946,"违规：止损风险超过本次预算","通过")))))))))))))))</f>
        <v/>
      </c>
    </row>
    <row r="947" ht="17" spans="1:18">
      <c r="A947" s="13"/>
      <c r="B947" s="14"/>
      <c r="C947" s="15"/>
      <c r="D947" s="16"/>
      <c r="E947" s="16"/>
      <c r="F947" s="16"/>
      <c r="G947" s="14"/>
      <c r="H947" s="17" t="str">
        <f t="shared" si="112"/>
        <v/>
      </c>
      <c r="I947" s="18" t="str">
        <f>IF(OR(A947="",B947=""),"",IFERROR(LOOKUP(2,1/(单次交易!$A$2:$A$201=A947),单次交易!$H$2:$H$201),0)+SUMIFS($G$2:$G$1001,$A$2:$A$1001,A947,$B$2:$B$1001,"&lt;"&amp;B947))</f>
        <v/>
      </c>
      <c r="J947" s="17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17" t="str">
        <f t="shared" si="113"/>
        <v/>
      </c>
      <c r="L947" s="18" t="str">
        <f t="shared" si="114"/>
        <v/>
      </c>
      <c r="M947" s="18" t="str">
        <f t="shared" si="115"/>
        <v/>
      </c>
      <c r="N947" s="18" t="str">
        <f t="shared" si="116"/>
        <v/>
      </c>
      <c r="O947" s="18" t="str">
        <f t="shared" si="117"/>
        <v/>
      </c>
      <c r="P947" s="17" t="str">
        <f t="shared" si="118"/>
        <v/>
      </c>
      <c r="Q947" s="17" t="str">
        <f t="shared" si="119"/>
        <v/>
      </c>
      <c r="R947" s="19" t="str">
        <f ca="1">IF(A947="","",IF(COUNTIF(_TradeIds,A947)=0,"违规：交易编号不存在",IF(OR(B947="",B947&lt;1,B947&gt;5,B947&lt;&gt;INT(B947)),"违规：加仓序号须为1到5的整数",IF(COUNTIFS($A$2:$A$1001,A947,$B$2:$B$1001,B947)&gt;1,"违规：同一交易的加仓序号重复",IF(OR(D947="",E947="",F947=""),"计划不完整：请填写加仓价、新止损价和风险预算",IF(OR(D947&lt;=0,E947&lt;=0,F947&lt;=0,D947&lt;=E947),"违规：加仓价必须高于新止损价，金额须大于0",IF(AND(B947&gt;1,COUNTIFS($A$2:$A$1001,A947,$B$2:$B$1001,B947-1,$G$2:$G$1001,"&gt;0")=0),"违规：须先完成上一次加仓",IF(AND(B947&gt;1,E947&lt;SUMIFS($E$2:$E$1001,$A$2:$A$1001,A947,$B$2:$B$1001,B947-1)),"违规：新止损价不得低于上一次",IF(AND(B947&gt;1,F947&gt;SUMIFS($F$2:$F$1001,$A$2:$A$1001,A947,$B$2:$B$1001,B947-1)),"违规：风险预算须逐次不增加",IF(OR(_LockStatus="已锁仓",_LockStatus="解锁信息不完整"),"违规：锁仓期间禁止加仓",IF(G947="","计划可执行：建议股数见N列",IF(OR(G947&lt;=0,G947&lt;&gt;INT(G947),MOD(G947,100)&lt;&gt;0),"违规：实际股数须为100股整数倍",IF(G947&gt;N947,"违规：实际股数超过风险或金字塔上限",IF(AND(B947&gt;1,G947&gt;SUMIFS($G$2:$G$1001,$A$2:$A$1001,A947,$B$2:$B$1001,B947-1)),"违规：加仓股数须逐次不增加",IF(Q947&gt;F947,"违规：止损风险超过本次预算","通过")))))))))))))))</f>
        <v/>
      </c>
    </row>
    <row r="948" ht="17" spans="1:18">
      <c r="A948" s="13"/>
      <c r="B948" s="14"/>
      <c r="C948" s="15"/>
      <c r="D948" s="16"/>
      <c r="E948" s="16"/>
      <c r="F948" s="16"/>
      <c r="G948" s="14"/>
      <c r="H948" s="17" t="str">
        <f t="shared" si="112"/>
        <v/>
      </c>
      <c r="I948" s="18" t="str">
        <f>IF(OR(A948="",B948=""),"",IFERROR(LOOKUP(2,1/(单次交易!$A$2:$A$201=A948),单次交易!$H$2:$H$201),0)+SUMIFS($G$2:$G$1001,$A$2:$A$1001,A948,$B$2:$B$1001,"&lt;"&amp;B948))</f>
        <v/>
      </c>
      <c r="J948" s="17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17" t="str">
        <f t="shared" si="113"/>
        <v/>
      </c>
      <c r="L948" s="18" t="str">
        <f t="shared" si="114"/>
        <v/>
      </c>
      <c r="M948" s="18" t="str">
        <f t="shared" si="115"/>
        <v/>
      </c>
      <c r="N948" s="18" t="str">
        <f t="shared" si="116"/>
        <v/>
      </c>
      <c r="O948" s="18" t="str">
        <f t="shared" si="117"/>
        <v/>
      </c>
      <c r="P948" s="17" t="str">
        <f t="shared" si="118"/>
        <v/>
      </c>
      <c r="Q948" s="17" t="str">
        <f t="shared" si="119"/>
        <v/>
      </c>
      <c r="R948" s="19" t="str">
        <f ca="1">IF(A948="","",IF(COUNTIF(_TradeIds,A948)=0,"违规：交易编号不存在",IF(OR(B948="",B948&lt;1,B948&gt;5,B948&lt;&gt;INT(B948)),"违规：加仓序号须为1到5的整数",IF(COUNTIFS($A$2:$A$1001,A948,$B$2:$B$1001,B948)&gt;1,"违规：同一交易的加仓序号重复",IF(OR(D948="",E948="",F948=""),"计划不完整：请填写加仓价、新止损价和风险预算",IF(OR(D948&lt;=0,E948&lt;=0,F948&lt;=0,D948&lt;=E948),"违规：加仓价必须高于新止损价，金额须大于0",IF(AND(B948&gt;1,COUNTIFS($A$2:$A$1001,A948,$B$2:$B$1001,B948-1,$G$2:$G$1001,"&gt;0")=0),"违规：须先完成上一次加仓",IF(AND(B948&gt;1,E948&lt;SUMIFS($E$2:$E$1001,$A$2:$A$1001,A948,$B$2:$B$1001,B948-1)),"违规：新止损价不得低于上一次",IF(AND(B948&gt;1,F948&gt;SUMIFS($F$2:$F$1001,$A$2:$A$1001,A948,$B$2:$B$1001,B948-1)),"违规：风险预算须逐次不增加",IF(OR(_LockStatus="已锁仓",_LockStatus="解锁信息不完整"),"违规：锁仓期间禁止加仓",IF(G948="","计划可执行：建议股数见N列",IF(OR(G948&lt;=0,G948&lt;&gt;INT(G948),MOD(G948,100)&lt;&gt;0),"违规：实际股数须为100股整数倍",IF(G948&gt;N948,"违规：实际股数超过风险或金字塔上限",IF(AND(B948&gt;1,G948&gt;SUMIFS($G$2:$G$1001,$A$2:$A$1001,A948,$B$2:$B$1001,B948-1)),"违规：加仓股数须逐次不增加",IF(Q948&gt;F948,"违规：止损风险超过本次预算","通过")))))))))))))))</f>
        <v/>
      </c>
    </row>
    <row r="949" ht="17" spans="1:18">
      <c r="A949" s="13"/>
      <c r="B949" s="14"/>
      <c r="C949" s="15"/>
      <c r="D949" s="16"/>
      <c r="E949" s="16"/>
      <c r="F949" s="16"/>
      <c r="G949" s="14"/>
      <c r="H949" s="17" t="str">
        <f t="shared" si="112"/>
        <v/>
      </c>
      <c r="I949" s="18" t="str">
        <f>IF(OR(A949="",B949=""),"",IFERROR(LOOKUP(2,1/(单次交易!$A$2:$A$201=A949),单次交易!$H$2:$H$201),0)+SUMIFS($G$2:$G$1001,$A$2:$A$1001,A949,$B$2:$B$1001,"&lt;"&amp;B949))</f>
        <v/>
      </c>
      <c r="J949" s="17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17" t="str">
        <f t="shared" si="113"/>
        <v/>
      </c>
      <c r="L949" s="18" t="str">
        <f t="shared" si="114"/>
        <v/>
      </c>
      <c r="M949" s="18" t="str">
        <f t="shared" si="115"/>
        <v/>
      </c>
      <c r="N949" s="18" t="str">
        <f t="shared" si="116"/>
        <v/>
      </c>
      <c r="O949" s="18" t="str">
        <f t="shared" si="117"/>
        <v/>
      </c>
      <c r="P949" s="17" t="str">
        <f t="shared" si="118"/>
        <v/>
      </c>
      <c r="Q949" s="17" t="str">
        <f t="shared" si="119"/>
        <v/>
      </c>
      <c r="R949" s="19" t="str">
        <f ca="1">IF(A949="","",IF(COUNTIF(_TradeIds,A949)=0,"违规：交易编号不存在",IF(OR(B949="",B949&lt;1,B949&gt;5,B949&lt;&gt;INT(B949)),"违规：加仓序号须为1到5的整数",IF(COUNTIFS($A$2:$A$1001,A949,$B$2:$B$1001,B949)&gt;1,"违规：同一交易的加仓序号重复",IF(OR(D949="",E949="",F949=""),"计划不完整：请填写加仓价、新止损价和风险预算",IF(OR(D949&lt;=0,E949&lt;=0,F949&lt;=0,D949&lt;=E949),"违规：加仓价必须高于新止损价，金额须大于0",IF(AND(B949&gt;1,COUNTIFS($A$2:$A$1001,A949,$B$2:$B$1001,B949-1,$G$2:$G$1001,"&gt;0")=0),"违规：须先完成上一次加仓",IF(AND(B949&gt;1,E949&lt;SUMIFS($E$2:$E$1001,$A$2:$A$1001,A949,$B$2:$B$1001,B949-1)),"违规：新止损价不得低于上一次",IF(AND(B949&gt;1,F949&gt;SUMIFS($F$2:$F$1001,$A$2:$A$1001,A949,$B$2:$B$1001,B949-1)),"违规：风险预算须逐次不增加",IF(OR(_LockStatus="已锁仓",_LockStatus="解锁信息不完整"),"违规：锁仓期间禁止加仓",IF(G949="","计划可执行：建议股数见N列",IF(OR(G949&lt;=0,G949&lt;&gt;INT(G949),MOD(G949,100)&lt;&gt;0),"违规：实际股数须为100股整数倍",IF(G949&gt;N949,"违规：实际股数超过风险或金字塔上限",IF(AND(B949&gt;1,G949&gt;SUMIFS($G$2:$G$1001,$A$2:$A$1001,A949,$B$2:$B$1001,B949-1)),"违规：加仓股数须逐次不增加",IF(Q949&gt;F949,"违规：止损风险超过本次预算","通过")))))))))))))))</f>
        <v/>
      </c>
    </row>
    <row r="950" ht="17" spans="1:18">
      <c r="A950" s="13"/>
      <c r="B950" s="14"/>
      <c r="C950" s="15"/>
      <c r="D950" s="16"/>
      <c r="E950" s="16"/>
      <c r="F950" s="16"/>
      <c r="G950" s="14"/>
      <c r="H950" s="17" t="str">
        <f t="shared" si="112"/>
        <v/>
      </c>
      <c r="I950" s="18" t="str">
        <f>IF(OR(A950="",B950=""),"",IFERROR(LOOKUP(2,1/(单次交易!$A$2:$A$201=A950),单次交易!$H$2:$H$201),0)+SUMIFS($G$2:$G$1001,$A$2:$A$1001,A950,$B$2:$B$1001,"&lt;"&amp;B950))</f>
        <v/>
      </c>
      <c r="J950" s="17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17" t="str">
        <f t="shared" si="113"/>
        <v/>
      </c>
      <c r="L950" s="18" t="str">
        <f t="shared" si="114"/>
        <v/>
      </c>
      <c r="M950" s="18" t="str">
        <f t="shared" si="115"/>
        <v/>
      </c>
      <c r="N950" s="18" t="str">
        <f t="shared" si="116"/>
        <v/>
      </c>
      <c r="O950" s="18" t="str">
        <f t="shared" si="117"/>
        <v/>
      </c>
      <c r="P950" s="17" t="str">
        <f t="shared" si="118"/>
        <v/>
      </c>
      <c r="Q950" s="17" t="str">
        <f t="shared" si="119"/>
        <v/>
      </c>
      <c r="R950" s="19" t="str">
        <f ca="1">IF(A950="","",IF(COUNTIF(_TradeIds,A950)=0,"违规：交易编号不存在",IF(OR(B950="",B950&lt;1,B950&gt;5,B950&lt;&gt;INT(B950)),"违规：加仓序号须为1到5的整数",IF(COUNTIFS($A$2:$A$1001,A950,$B$2:$B$1001,B950)&gt;1,"违规：同一交易的加仓序号重复",IF(OR(D950="",E950="",F950=""),"计划不完整：请填写加仓价、新止损价和风险预算",IF(OR(D950&lt;=0,E950&lt;=0,F950&lt;=0,D950&lt;=E950),"违规：加仓价必须高于新止损价，金额须大于0",IF(AND(B950&gt;1,COUNTIFS($A$2:$A$1001,A950,$B$2:$B$1001,B950-1,$G$2:$G$1001,"&gt;0")=0),"违规：须先完成上一次加仓",IF(AND(B950&gt;1,E950&lt;SUMIFS($E$2:$E$1001,$A$2:$A$1001,A950,$B$2:$B$1001,B950-1)),"违规：新止损价不得低于上一次",IF(AND(B950&gt;1,F950&gt;SUMIFS($F$2:$F$1001,$A$2:$A$1001,A950,$B$2:$B$1001,B950-1)),"违规：风险预算须逐次不增加",IF(OR(_LockStatus="已锁仓",_LockStatus="解锁信息不完整"),"违规：锁仓期间禁止加仓",IF(G950="","计划可执行：建议股数见N列",IF(OR(G950&lt;=0,G950&lt;&gt;INT(G950),MOD(G950,100)&lt;&gt;0),"违规：实际股数须为100股整数倍",IF(G950&gt;N950,"违规：实际股数超过风险或金字塔上限",IF(AND(B950&gt;1,G950&gt;SUMIFS($G$2:$G$1001,$A$2:$A$1001,A950,$B$2:$B$1001,B950-1)),"违规：加仓股数须逐次不增加",IF(Q950&gt;F950,"违规：止损风险超过本次预算","通过")))))))))))))))</f>
        <v/>
      </c>
    </row>
    <row r="951" ht="17" spans="1:18">
      <c r="A951" s="13"/>
      <c r="B951" s="14"/>
      <c r="C951" s="15"/>
      <c r="D951" s="16"/>
      <c r="E951" s="16"/>
      <c r="F951" s="16"/>
      <c r="G951" s="14"/>
      <c r="H951" s="17" t="str">
        <f t="shared" si="112"/>
        <v/>
      </c>
      <c r="I951" s="18" t="str">
        <f>IF(OR(A951="",B951=""),"",IFERROR(LOOKUP(2,1/(单次交易!$A$2:$A$201=A951),单次交易!$H$2:$H$201),0)+SUMIFS($G$2:$G$1001,$A$2:$A$1001,A951,$B$2:$B$1001,"&lt;"&amp;B951))</f>
        <v/>
      </c>
      <c r="J951" s="17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17" t="str">
        <f t="shared" si="113"/>
        <v/>
      </c>
      <c r="L951" s="18" t="str">
        <f t="shared" si="114"/>
        <v/>
      </c>
      <c r="M951" s="18" t="str">
        <f t="shared" si="115"/>
        <v/>
      </c>
      <c r="N951" s="18" t="str">
        <f t="shared" si="116"/>
        <v/>
      </c>
      <c r="O951" s="18" t="str">
        <f t="shared" si="117"/>
        <v/>
      </c>
      <c r="P951" s="17" t="str">
        <f t="shared" si="118"/>
        <v/>
      </c>
      <c r="Q951" s="17" t="str">
        <f t="shared" si="119"/>
        <v/>
      </c>
      <c r="R951" s="19" t="str">
        <f ca="1">IF(A951="","",IF(COUNTIF(_TradeIds,A951)=0,"违规：交易编号不存在",IF(OR(B951="",B951&lt;1,B951&gt;5,B951&lt;&gt;INT(B951)),"违规：加仓序号须为1到5的整数",IF(COUNTIFS($A$2:$A$1001,A951,$B$2:$B$1001,B951)&gt;1,"违规：同一交易的加仓序号重复",IF(OR(D951="",E951="",F951=""),"计划不完整：请填写加仓价、新止损价和风险预算",IF(OR(D951&lt;=0,E951&lt;=0,F951&lt;=0,D951&lt;=E951),"违规：加仓价必须高于新止损价，金额须大于0",IF(AND(B951&gt;1,COUNTIFS($A$2:$A$1001,A951,$B$2:$B$1001,B951-1,$G$2:$G$1001,"&gt;0")=0),"违规：须先完成上一次加仓",IF(AND(B951&gt;1,E951&lt;SUMIFS($E$2:$E$1001,$A$2:$A$1001,A951,$B$2:$B$1001,B951-1)),"违规：新止损价不得低于上一次",IF(AND(B951&gt;1,F951&gt;SUMIFS($F$2:$F$1001,$A$2:$A$1001,A951,$B$2:$B$1001,B951-1)),"违规：风险预算须逐次不增加",IF(OR(_LockStatus="已锁仓",_LockStatus="解锁信息不完整"),"违规：锁仓期间禁止加仓",IF(G951="","计划可执行：建议股数见N列",IF(OR(G951&lt;=0,G951&lt;&gt;INT(G951),MOD(G951,100)&lt;&gt;0),"违规：实际股数须为100股整数倍",IF(G951&gt;N951,"违规：实际股数超过风险或金字塔上限",IF(AND(B951&gt;1,G951&gt;SUMIFS($G$2:$G$1001,$A$2:$A$1001,A951,$B$2:$B$1001,B951-1)),"违规：加仓股数须逐次不增加",IF(Q951&gt;F951,"违规：止损风险超过本次预算","通过")))))))))))))))</f>
        <v/>
      </c>
    </row>
    <row r="952" ht="17" spans="1:18">
      <c r="A952" s="13"/>
      <c r="B952" s="14"/>
      <c r="C952" s="15"/>
      <c r="D952" s="16"/>
      <c r="E952" s="16"/>
      <c r="F952" s="16"/>
      <c r="G952" s="14"/>
      <c r="H952" s="17" t="str">
        <f t="shared" si="112"/>
        <v/>
      </c>
      <c r="I952" s="18" t="str">
        <f>IF(OR(A952="",B952=""),"",IFERROR(LOOKUP(2,1/(单次交易!$A$2:$A$201=A952),单次交易!$H$2:$H$201),0)+SUMIFS($G$2:$G$1001,$A$2:$A$1001,A952,$B$2:$B$1001,"&lt;"&amp;B952))</f>
        <v/>
      </c>
      <c r="J952" s="17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17" t="str">
        <f t="shared" si="113"/>
        <v/>
      </c>
      <c r="L952" s="18" t="str">
        <f t="shared" si="114"/>
        <v/>
      </c>
      <c r="M952" s="18" t="str">
        <f t="shared" si="115"/>
        <v/>
      </c>
      <c r="N952" s="18" t="str">
        <f t="shared" si="116"/>
        <v/>
      </c>
      <c r="O952" s="18" t="str">
        <f t="shared" si="117"/>
        <v/>
      </c>
      <c r="P952" s="17" t="str">
        <f t="shared" si="118"/>
        <v/>
      </c>
      <c r="Q952" s="17" t="str">
        <f t="shared" si="119"/>
        <v/>
      </c>
      <c r="R952" s="19" t="str">
        <f ca="1">IF(A952="","",IF(COUNTIF(_TradeIds,A952)=0,"违规：交易编号不存在",IF(OR(B952="",B952&lt;1,B952&gt;5,B952&lt;&gt;INT(B952)),"违规：加仓序号须为1到5的整数",IF(COUNTIFS($A$2:$A$1001,A952,$B$2:$B$1001,B952)&gt;1,"违规：同一交易的加仓序号重复",IF(OR(D952="",E952="",F952=""),"计划不完整：请填写加仓价、新止损价和风险预算",IF(OR(D952&lt;=0,E952&lt;=0,F952&lt;=0,D952&lt;=E952),"违规：加仓价必须高于新止损价，金额须大于0",IF(AND(B952&gt;1,COUNTIFS($A$2:$A$1001,A952,$B$2:$B$1001,B952-1,$G$2:$G$1001,"&gt;0")=0),"违规：须先完成上一次加仓",IF(AND(B952&gt;1,E952&lt;SUMIFS($E$2:$E$1001,$A$2:$A$1001,A952,$B$2:$B$1001,B952-1)),"违规：新止损价不得低于上一次",IF(AND(B952&gt;1,F952&gt;SUMIFS($F$2:$F$1001,$A$2:$A$1001,A952,$B$2:$B$1001,B952-1)),"违规：风险预算须逐次不增加",IF(OR(_LockStatus="已锁仓",_LockStatus="解锁信息不完整"),"违规：锁仓期间禁止加仓",IF(G952="","计划可执行：建议股数见N列",IF(OR(G952&lt;=0,G952&lt;&gt;INT(G952),MOD(G952,100)&lt;&gt;0),"违规：实际股数须为100股整数倍",IF(G952&gt;N952,"违规：实际股数超过风险或金字塔上限",IF(AND(B952&gt;1,G952&gt;SUMIFS($G$2:$G$1001,$A$2:$A$1001,A952,$B$2:$B$1001,B952-1)),"违规：加仓股数须逐次不增加",IF(Q952&gt;F952,"违规：止损风险超过本次预算","通过")))))))))))))))</f>
        <v/>
      </c>
    </row>
    <row r="953" ht="17" spans="1:18">
      <c r="A953" s="13"/>
      <c r="B953" s="14"/>
      <c r="C953" s="15"/>
      <c r="D953" s="16"/>
      <c r="E953" s="16"/>
      <c r="F953" s="16"/>
      <c r="G953" s="14"/>
      <c r="H953" s="17" t="str">
        <f t="shared" si="112"/>
        <v/>
      </c>
      <c r="I953" s="18" t="str">
        <f>IF(OR(A953="",B953=""),"",IFERROR(LOOKUP(2,1/(单次交易!$A$2:$A$201=A953),单次交易!$H$2:$H$201),0)+SUMIFS($G$2:$G$1001,$A$2:$A$1001,A953,$B$2:$B$1001,"&lt;"&amp;B953))</f>
        <v/>
      </c>
      <c r="J953" s="17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17" t="str">
        <f t="shared" si="113"/>
        <v/>
      </c>
      <c r="L953" s="18" t="str">
        <f t="shared" si="114"/>
        <v/>
      </c>
      <c r="M953" s="18" t="str">
        <f t="shared" si="115"/>
        <v/>
      </c>
      <c r="N953" s="18" t="str">
        <f t="shared" si="116"/>
        <v/>
      </c>
      <c r="O953" s="18" t="str">
        <f t="shared" si="117"/>
        <v/>
      </c>
      <c r="P953" s="17" t="str">
        <f t="shared" si="118"/>
        <v/>
      </c>
      <c r="Q953" s="17" t="str">
        <f t="shared" si="119"/>
        <v/>
      </c>
      <c r="R953" s="19" t="str">
        <f ca="1">IF(A953="","",IF(COUNTIF(_TradeIds,A953)=0,"违规：交易编号不存在",IF(OR(B953="",B953&lt;1,B953&gt;5,B953&lt;&gt;INT(B953)),"违规：加仓序号须为1到5的整数",IF(COUNTIFS($A$2:$A$1001,A953,$B$2:$B$1001,B953)&gt;1,"违规：同一交易的加仓序号重复",IF(OR(D953="",E953="",F953=""),"计划不完整：请填写加仓价、新止损价和风险预算",IF(OR(D953&lt;=0,E953&lt;=0,F953&lt;=0,D953&lt;=E953),"违规：加仓价必须高于新止损价，金额须大于0",IF(AND(B953&gt;1,COUNTIFS($A$2:$A$1001,A953,$B$2:$B$1001,B953-1,$G$2:$G$1001,"&gt;0")=0),"违规：须先完成上一次加仓",IF(AND(B953&gt;1,E953&lt;SUMIFS($E$2:$E$1001,$A$2:$A$1001,A953,$B$2:$B$1001,B953-1)),"违规：新止损价不得低于上一次",IF(AND(B953&gt;1,F953&gt;SUMIFS($F$2:$F$1001,$A$2:$A$1001,A953,$B$2:$B$1001,B953-1)),"违规：风险预算须逐次不增加",IF(OR(_LockStatus="已锁仓",_LockStatus="解锁信息不完整"),"违规：锁仓期间禁止加仓",IF(G953="","计划可执行：建议股数见N列",IF(OR(G953&lt;=0,G953&lt;&gt;INT(G953),MOD(G953,100)&lt;&gt;0),"违规：实际股数须为100股整数倍",IF(G953&gt;N953,"违规：实际股数超过风险或金字塔上限",IF(AND(B953&gt;1,G953&gt;SUMIFS($G$2:$G$1001,$A$2:$A$1001,A953,$B$2:$B$1001,B953-1)),"违规：加仓股数须逐次不增加",IF(Q953&gt;F953,"违规：止损风险超过本次预算","通过")))))))))))))))</f>
        <v/>
      </c>
    </row>
    <row r="954" ht="17" spans="1:18">
      <c r="A954" s="13"/>
      <c r="B954" s="14"/>
      <c r="C954" s="15"/>
      <c r="D954" s="16"/>
      <c r="E954" s="16"/>
      <c r="F954" s="16"/>
      <c r="G954" s="14"/>
      <c r="H954" s="17" t="str">
        <f t="shared" si="112"/>
        <v/>
      </c>
      <c r="I954" s="18" t="str">
        <f>IF(OR(A954="",B954=""),"",IFERROR(LOOKUP(2,1/(单次交易!$A$2:$A$201=A954),单次交易!$H$2:$H$201),0)+SUMIFS($G$2:$G$1001,$A$2:$A$1001,A954,$B$2:$B$1001,"&lt;"&amp;B954))</f>
        <v/>
      </c>
      <c r="J954" s="17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17" t="str">
        <f t="shared" si="113"/>
        <v/>
      </c>
      <c r="L954" s="18" t="str">
        <f t="shared" si="114"/>
        <v/>
      </c>
      <c r="M954" s="18" t="str">
        <f t="shared" si="115"/>
        <v/>
      </c>
      <c r="N954" s="18" t="str">
        <f t="shared" si="116"/>
        <v/>
      </c>
      <c r="O954" s="18" t="str">
        <f t="shared" si="117"/>
        <v/>
      </c>
      <c r="P954" s="17" t="str">
        <f t="shared" si="118"/>
        <v/>
      </c>
      <c r="Q954" s="17" t="str">
        <f t="shared" si="119"/>
        <v/>
      </c>
      <c r="R954" s="19" t="str">
        <f ca="1">IF(A954="","",IF(COUNTIF(_TradeIds,A954)=0,"违规：交易编号不存在",IF(OR(B954="",B954&lt;1,B954&gt;5,B954&lt;&gt;INT(B954)),"违规：加仓序号须为1到5的整数",IF(COUNTIFS($A$2:$A$1001,A954,$B$2:$B$1001,B954)&gt;1,"违规：同一交易的加仓序号重复",IF(OR(D954="",E954="",F954=""),"计划不完整：请填写加仓价、新止损价和风险预算",IF(OR(D954&lt;=0,E954&lt;=0,F954&lt;=0,D954&lt;=E954),"违规：加仓价必须高于新止损价，金额须大于0",IF(AND(B954&gt;1,COUNTIFS($A$2:$A$1001,A954,$B$2:$B$1001,B954-1,$G$2:$G$1001,"&gt;0")=0),"违规：须先完成上一次加仓",IF(AND(B954&gt;1,E954&lt;SUMIFS($E$2:$E$1001,$A$2:$A$1001,A954,$B$2:$B$1001,B954-1)),"违规：新止损价不得低于上一次",IF(AND(B954&gt;1,F954&gt;SUMIFS($F$2:$F$1001,$A$2:$A$1001,A954,$B$2:$B$1001,B954-1)),"违规：风险预算须逐次不增加",IF(OR(_LockStatus="已锁仓",_LockStatus="解锁信息不完整"),"违规：锁仓期间禁止加仓",IF(G954="","计划可执行：建议股数见N列",IF(OR(G954&lt;=0,G954&lt;&gt;INT(G954),MOD(G954,100)&lt;&gt;0),"违规：实际股数须为100股整数倍",IF(G954&gt;N954,"违规：实际股数超过风险或金字塔上限",IF(AND(B954&gt;1,G954&gt;SUMIFS($G$2:$G$1001,$A$2:$A$1001,A954,$B$2:$B$1001,B954-1)),"违规：加仓股数须逐次不增加",IF(Q954&gt;F954,"违规：止损风险超过本次预算","通过")))))))))))))))</f>
        <v/>
      </c>
    </row>
    <row r="955" ht="17" spans="1:18">
      <c r="A955" s="13"/>
      <c r="B955" s="14"/>
      <c r="C955" s="15"/>
      <c r="D955" s="16"/>
      <c r="E955" s="16"/>
      <c r="F955" s="16"/>
      <c r="G955" s="14"/>
      <c r="H955" s="17" t="str">
        <f t="shared" si="112"/>
        <v/>
      </c>
      <c r="I955" s="18" t="str">
        <f>IF(OR(A955="",B955=""),"",IFERROR(LOOKUP(2,1/(单次交易!$A$2:$A$201=A955),单次交易!$H$2:$H$201),0)+SUMIFS($G$2:$G$1001,$A$2:$A$1001,A955,$B$2:$B$1001,"&lt;"&amp;B955))</f>
        <v/>
      </c>
      <c r="J955" s="17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17" t="str">
        <f t="shared" si="113"/>
        <v/>
      </c>
      <c r="L955" s="18" t="str">
        <f t="shared" si="114"/>
        <v/>
      </c>
      <c r="M955" s="18" t="str">
        <f t="shared" si="115"/>
        <v/>
      </c>
      <c r="N955" s="18" t="str">
        <f t="shared" si="116"/>
        <v/>
      </c>
      <c r="O955" s="18" t="str">
        <f t="shared" si="117"/>
        <v/>
      </c>
      <c r="P955" s="17" t="str">
        <f t="shared" si="118"/>
        <v/>
      </c>
      <c r="Q955" s="17" t="str">
        <f t="shared" si="119"/>
        <v/>
      </c>
      <c r="R955" s="19" t="str">
        <f ca="1">IF(A955="","",IF(COUNTIF(_TradeIds,A955)=0,"违规：交易编号不存在",IF(OR(B955="",B955&lt;1,B955&gt;5,B955&lt;&gt;INT(B955)),"违规：加仓序号须为1到5的整数",IF(COUNTIFS($A$2:$A$1001,A955,$B$2:$B$1001,B955)&gt;1,"违规：同一交易的加仓序号重复",IF(OR(D955="",E955="",F955=""),"计划不完整：请填写加仓价、新止损价和风险预算",IF(OR(D955&lt;=0,E955&lt;=0,F955&lt;=0,D955&lt;=E955),"违规：加仓价必须高于新止损价，金额须大于0",IF(AND(B955&gt;1,COUNTIFS($A$2:$A$1001,A955,$B$2:$B$1001,B955-1,$G$2:$G$1001,"&gt;0")=0),"违规：须先完成上一次加仓",IF(AND(B955&gt;1,E955&lt;SUMIFS($E$2:$E$1001,$A$2:$A$1001,A955,$B$2:$B$1001,B955-1)),"违规：新止损价不得低于上一次",IF(AND(B955&gt;1,F955&gt;SUMIFS($F$2:$F$1001,$A$2:$A$1001,A955,$B$2:$B$1001,B955-1)),"违规：风险预算须逐次不增加",IF(OR(_LockStatus="已锁仓",_LockStatus="解锁信息不完整"),"违规：锁仓期间禁止加仓",IF(G955="","计划可执行：建议股数见N列",IF(OR(G955&lt;=0,G955&lt;&gt;INT(G955),MOD(G955,100)&lt;&gt;0),"违规：实际股数须为100股整数倍",IF(G955&gt;N955,"违规：实际股数超过风险或金字塔上限",IF(AND(B955&gt;1,G955&gt;SUMIFS($G$2:$G$1001,$A$2:$A$1001,A955,$B$2:$B$1001,B955-1)),"违规：加仓股数须逐次不增加",IF(Q955&gt;F955,"违规：止损风险超过本次预算","通过")))))))))))))))</f>
        <v/>
      </c>
    </row>
    <row r="956" ht="17" spans="1:18">
      <c r="A956" s="13"/>
      <c r="B956" s="14"/>
      <c r="C956" s="15"/>
      <c r="D956" s="16"/>
      <c r="E956" s="16"/>
      <c r="F956" s="16"/>
      <c r="G956" s="14"/>
      <c r="H956" s="17" t="str">
        <f t="shared" si="112"/>
        <v/>
      </c>
      <c r="I956" s="18" t="str">
        <f>IF(OR(A956="",B956=""),"",IFERROR(LOOKUP(2,1/(单次交易!$A$2:$A$201=A956),单次交易!$H$2:$H$201),0)+SUMIFS($G$2:$G$1001,$A$2:$A$1001,A956,$B$2:$B$1001,"&lt;"&amp;B956))</f>
        <v/>
      </c>
      <c r="J956" s="17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17" t="str">
        <f t="shared" si="113"/>
        <v/>
      </c>
      <c r="L956" s="18" t="str">
        <f t="shared" si="114"/>
        <v/>
      </c>
      <c r="M956" s="18" t="str">
        <f t="shared" si="115"/>
        <v/>
      </c>
      <c r="N956" s="18" t="str">
        <f t="shared" si="116"/>
        <v/>
      </c>
      <c r="O956" s="18" t="str">
        <f t="shared" si="117"/>
        <v/>
      </c>
      <c r="P956" s="17" t="str">
        <f t="shared" si="118"/>
        <v/>
      </c>
      <c r="Q956" s="17" t="str">
        <f t="shared" si="119"/>
        <v/>
      </c>
      <c r="R956" s="19" t="str">
        <f ca="1">IF(A956="","",IF(COUNTIF(_TradeIds,A956)=0,"违规：交易编号不存在",IF(OR(B956="",B956&lt;1,B956&gt;5,B956&lt;&gt;INT(B956)),"违规：加仓序号须为1到5的整数",IF(COUNTIFS($A$2:$A$1001,A956,$B$2:$B$1001,B956)&gt;1,"违规：同一交易的加仓序号重复",IF(OR(D956="",E956="",F956=""),"计划不完整：请填写加仓价、新止损价和风险预算",IF(OR(D956&lt;=0,E956&lt;=0,F956&lt;=0,D956&lt;=E956),"违规：加仓价必须高于新止损价，金额须大于0",IF(AND(B956&gt;1,COUNTIFS($A$2:$A$1001,A956,$B$2:$B$1001,B956-1,$G$2:$G$1001,"&gt;0")=0),"违规：须先完成上一次加仓",IF(AND(B956&gt;1,E956&lt;SUMIFS($E$2:$E$1001,$A$2:$A$1001,A956,$B$2:$B$1001,B956-1)),"违规：新止损价不得低于上一次",IF(AND(B956&gt;1,F956&gt;SUMIFS($F$2:$F$1001,$A$2:$A$1001,A956,$B$2:$B$1001,B956-1)),"违规：风险预算须逐次不增加",IF(OR(_LockStatus="已锁仓",_LockStatus="解锁信息不完整"),"违规：锁仓期间禁止加仓",IF(G956="","计划可执行：建议股数见N列",IF(OR(G956&lt;=0,G956&lt;&gt;INT(G956),MOD(G956,100)&lt;&gt;0),"违规：实际股数须为100股整数倍",IF(G956&gt;N956,"违规：实际股数超过风险或金字塔上限",IF(AND(B956&gt;1,G956&gt;SUMIFS($G$2:$G$1001,$A$2:$A$1001,A956,$B$2:$B$1001,B956-1)),"违规：加仓股数须逐次不增加",IF(Q956&gt;F956,"违规：止损风险超过本次预算","通过")))))))))))))))</f>
        <v/>
      </c>
    </row>
    <row r="957" ht="17" spans="1:18">
      <c r="A957" s="13"/>
      <c r="B957" s="14"/>
      <c r="C957" s="15"/>
      <c r="D957" s="16"/>
      <c r="E957" s="16"/>
      <c r="F957" s="16"/>
      <c r="G957" s="14"/>
      <c r="H957" s="17" t="str">
        <f t="shared" si="112"/>
        <v/>
      </c>
      <c r="I957" s="18" t="str">
        <f>IF(OR(A957="",B957=""),"",IFERROR(LOOKUP(2,1/(单次交易!$A$2:$A$201=A957),单次交易!$H$2:$H$201),0)+SUMIFS($G$2:$G$1001,$A$2:$A$1001,A957,$B$2:$B$1001,"&lt;"&amp;B957))</f>
        <v/>
      </c>
      <c r="J957" s="17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17" t="str">
        <f t="shared" si="113"/>
        <v/>
      </c>
      <c r="L957" s="18" t="str">
        <f t="shared" si="114"/>
        <v/>
      </c>
      <c r="M957" s="18" t="str">
        <f t="shared" si="115"/>
        <v/>
      </c>
      <c r="N957" s="18" t="str">
        <f t="shared" si="116"/>
        <v/>
      </c>
      <c r="O957" s="18" t="str">
        <f t="shared" si="117"/>
        <v/>
      </c>
      <c r="P957" s="17" t="str">
        <f t="shared" si="118"/>
        <v/>
      </c>
      <c r="Q957" s="17" t="str">
        <f t="shared" si="119"/>
        <v/>
      </c>
      <c r="R957" s="19" t="str">
        <f ca="1">IF(A957="","",IF(COUNTIF(_TradeIds,A957)=0,"违规：交易编号不存在",IF(OR(B957="",B957&lt;1,B957&gt;5,B957&lt;&gt;INT(B957)),"违规：加仓序号须为1到5的整数",IF(COUNTIFS($A$2:$A$1001,A957,$B$2:$B$1001,B957)&gt;1,"违规：同一交易的加仓序号重复",IF(OR(D957="",E957="",F957=""),"计划不完整：请填写加仓价、新止损价和风险预算",IF(OR(D957&lt;=0,E957&lt;=0,F957&lt;=0,D957&lt;=E957),"违规：加仓价必须高于新止损价，金额须大于0",IF(AND(B957&gt;1,COUNTIFS($A$2:$A$1001,A957,$B$2:$B$1001,B957-1,$G$2:$G$1001,"&gt;0")=0),"违规：须先完成上一次加仓",IF(AND(B957&gt;1,E957&lt;SUMIFS($E$2:$E$1001,$A$2:$A$1001,A957,$B$2:$B$1001,B957-1)),"违规：新止损价不得低于上一次",IF(AND(B957&gt;1,F957&gt;SUMIFS($F$2:$F$1001,$A$2:$A$1001,A957,$B$2:$B$1001,B957-1)),"违规：风险预算须逐次不增加",IF(OR(_LockStatus="已锁仓",_LockStatus="解锁信息不完整"),"违规：锁仓期间禁止加仓",IF(G957="","计划可执行：建议股数见N列",IF(OR(G957&lt;=0,G957&lt;&gt;INT(G957),MOD(G957,100)&lt;&gt;0),"违规：实际股数须为100股整数倍",IF(G957&gt;N957,"违规：实际股数超过风险或金字塔上限",IF(AND(B957&gt;1,G957&gt;SUMIFS($G$2:$G$1001,$A$2:$A$1001,A957,$B$2:$B$1001,B957-1)),"违规：加仓股数须逐次不增加",IF(Q957&gt;F957,"违规：止损风险超过本次预算","通过")))))))))))))))</f>
        <v/>
      </c>
    </row>
    <row r="958" ht="17" spans="1:18">
      <c r="A958" s="13"/>
      <c r="B958" s="14"/>
      <c r="C958" s="15"/>
      <c r="D958" s="16"/>
      <c r="E958" s="16"/>
      <c r="F958" s="16"/>
      <c r="G958" s="14"/>
      <c r="H958" s="17" t="str">
        <f t="shared" si="112"/>
        <v/>
      </c>
      <c r="I958" s="18" t="str">
        <f>IF(OR(A958="",B958=""),"",IFERROR(LOOKUP(2,1/(单次交易!$A$2:$A$201=A958),单次交易!$H$2:$H$201),0)+SUMIFS($G$2:$G$1001,$A$2:$A$1001,A958,$B$2:$B$1001,"&lt;"&amp;B958))</f>
        <v/>
      </c>
      <c r="J958" s="17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17" t="str">
        <f t="shared" si="113"/>
        <v/>
      </c>
      <c r="L958" s="18" t="str">
        <f t="shared" si="114"/>
        <v/>
      </c>
      <c r="M958" s="18" t="str">
        <f t="shared" si="115"/>
        <v/>
      </c>
      <c r="N958" s="18" t="str">
        <f t="shared" si="116"/>
        <v/>
      </c>
      <c r="O958" s="18" t="str">
        <f t="shared" si="117"/>
        <v/>
      </c>
      <c r="P958" s="17" t="str">
        <f t="shared" si="118"/>
        <v/>
      </c>
      <c r="Q958" s="17" t="str">
        <f t="shared" si="119"/>
        <v/>
      </c>
      <c r="R958" s="19" t="str">
        <f ca="1">IF(A958="","",IF(COUNTIF(_TradeIds,A958)=0,"违规：交易编号不存在",IF(OR(B958="",B958&lt;1,B958&gt;5,B958&lt;&gt;INT(B958)),"违规：加仓序号须为1到5的整数",IF(COUNTIFS($A$2:$A$1001,A958,$B$2:$B$1001,B958)&gt;1,"违规：同一交易的加仓序号重复",IF(OR(D958="",E958="",F958=""),"计划不完整：请填写加仓价、新止损价和风险预算",IF(OR(D958&lt;=0,E958&lt;=0,F958&lt;=0,D958&lt;=E958),"违规：加仓价必须高于新止损价，金额须大于0",IF(AND(B958&gt;1,COUNTIFS($A$2:$A$1001,A958,$B$2:$B$1001,B958-1,$G$2:$G$1001,"&gt;0")=0),"违规：须先完成上一次加仓",IF(AND(B958&gt;1,E958&lt;SUMIFS($E$2:$E$1001,$A$2:$A$1001,A958,$B$2:$B$1001,B958-1)),"违规：新止损价不得低于上一次",IF(AND(B958&gt;1,F958&gt;SUMIFS($F$2:$F$1001,$A$2:$A$1001,A958,$B$2:$B$1001,B958-1)),"违规：风险预算须逐次不增加",IF(OR(_LockStatus="已锁仓",_LockStatus="解锁信息不完整"),"违规：锁仓期间禁止加仓",IF(G958="","计划可执行：建议股数见N列",IF(OR(G958&lt;=0,G958&lt;&gt;INT(G958),MOD(G958,100)&lt;&gt;0),"违规：实际股数须为100股整数倍",IF(G958&gt;N958,"违规：实际股数超过风险或金字塔上限",IF(AND(B958&gt;1,G958&gt;SUMIFS($G$2:$G$1001,$A$2:$A$1001,A958,$B$2:$B$1001,B958-1)),"违规：加仓股数须逐次不增加",IF(Q958&gt;F958,"违规：止损风险超过本次预算","通过")))))))))))))))</f>
        <v/>
      </c>
    </row>
    <row r="959" ht="17" spans="1:18">
      <c r="A959" s="13"/>
      <c r="B959" s="14"/>
      <c r="C959" s="15"/>
      <c r="D959" s="16"/>
      <c r="E959" s="16"/>
      <c r="F959" s="16"/>
      <c r="G959" s="14"/>
      <c r="H959" s="17" t="str">
        <f t="shared" si="112"/>
        <v/>
      </c>
      <c r="I959" s="18" t="str">
        <f>IF(OR(A959="",B959=""),"",IFERROR(LOOKUP(2,1/(单次交易!$A$2:$A$201=A959),单次交易!$H$2:$H$201),0)+SUMIFS($G$2:$G$1001,$A$2:$A$1001,A959,$B$2:$B$1001,"&lt;"&amp;B959))</f>
        <v/>
      </c>
      <c r="J959" s="17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17" t="str">
        <f t="shared" si="113"/>
        <v/>
      </c>
      <c r="L959" s="18" t="str">
        <f t="shared" si="114"/>
        <v/>
      </c>
      <c r="M959" s="18" t="str">
        <f t="shared" si="115"/>
        <v/>
      </c>
      <c r="N959" s="18" t="str">
        <f t="shared" si="116"/>
        <v/>
      </c>
      <c r="O959" s="18" t="str">
        <f t="shared" si="117"/>
        <v/>
      </c>
      <c r="P959" s="17" t="str">
        <f t="shared" si="118"/>
        <v/>
      </c>
      <c r="Q959" s="17" t="str">
        <f t="shared" si="119"/>
        <v/>
      </c>
      <c r="R959" s="19" t="str">
        <f ca="1">IF(A959="","",IF(COUNTIF(_TradeIds,A959)=0,"违规：交易编号不存在",IF(OR(B959="",B959&lt;1,B959&gt;5,B959&lt;&gt;INT(B959)),"违规：加仓序号须为1到5的整数",IF(COUNTIFS($A$2:$A$1001,A959,$B$2:$B$1001,B959)&gt;1,"违规：同一交易的加仓序号重复",IF(OR(D959="",E959="",F959=""),"计划不完整：请填写加仓价、新止损价和风险预算",IF(OR(D959&lt;=0,E959&lt;=0,F959&lt;=0,D959&lt;=E959),"违规：加仓价必须高于新止损价，金额须大于0",IF(AND(B959&gt;1,COUNTIFS($A$2:$A$1001,A959,$B$2:$B$1001,B959-1,$G$2:$G$1001,"&gt;0")=0),"违规：须先完成上一次加仓",IF(AND(B959&gt;1,E959&lt;SUMIFS($E$2:$E$1001,$A$2:$A$1001,A959,$B$2:$B$1001,B959-1)),"违规：新止损价不得低于上一次",IF(AND(B959&gt;1,F959&gt;SUMIFS($F$2:$F$1001,$A$2:$A$1001,A959,$B$2:$B$1001,B959-1)),"违规：风险预算须逐次不增加",IF(OR(_LockStatus="已锁仓",_LockStatus="解锁信息不完整"),"违规：锁仓期间禁止加仓",IF(G959="","计划可执行：建议股数见N列",IF(OR(G959&lt;=0,G959&lt;&gt;INT(G959),MOD(G959,100)&lt;&gt;0),"违规：实际股数须为100股整数倍",IF(G959&gt;N959,"违规：实际股数超过风险或金字塔上限",IF(AND(B959&gt;1,G959&gt;SUMIFS($G$2:$G$1001,$A$2:$A$1001,A959,$B$2:$B$1001,B959-1)),"违规：加仓股数须逐次不增加",IF(Q959&gt;F959,"违规：止损风险超过本次预算","通过")))))))))))))))</f>
        <v/>
      </c>
    </row>
    <row r="960" ht="17" spans="1:18">
      <c r="A960" s="13"/>
      <c r="B960" s="14"/>
      <c r="C960" s="15"/>
      <c r="D960" s="16"/>
      <c r="E960" s="16"/>
      <c r="F960" s="16"/>
      <c r="G960" s="14"/>
      <c r="H960" s="17" t="str">
        <f t="shared" si="112"/>
        <v/>
      </c>
      <c r="I960" s="18" t="str">
        <f>IF(OR(A960="",B960=""),"",IFERROR(LOOKUP(2,1/(单次交易!$A$2:$A$201=A960),单次交易!$H$2:$H$201),0)+SUMIFS($G$2:$G$1001,$A$2:$A$1001,A960,$B$2:$B$1001,"&lt;"&amp;B960))</f>
        <v/>
      </c>
      <c r="J960" s="17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17" t="str">
        <f t="shared" si="113"/>
        <v/>
      </c>
      <c r="L960" s="18" t="str">
        <f t="shared" si="114"/>
        <v/>
      </c>
      <c r="M960" s="18" t="str">
        <f t="shared" si="115"/>
        <v/>
      </c>
      <c r="N960" s="18" t="str">
        <f t="shared" si="116"/>
        <v/>
      </c>
      <c r="O960" s="18" t="str">
        <f t="shared" si="117"/>
        <v/>
      </c>
      <c r="P960" s="17" t="str">
        <f t="shared" si="118"/>
        <v/>
      </c>
      <c r="Q960" s="17" t="str">
        <f t="shared" si="119"/>
        <v/>
      </c>
      <c r="R960" s="19" t="str">
        <f ca="1">IF(A960="","",IF(COUNTIF(_TradeIds,A960)=0,"违规：交易编号不存在",IF(OR(B960="",B960&lt;1,B960&gt;5,B960&lt;&gt;INT(B960)),"违规：加仓序号须为1到5的整数",IF(COUNTIFS($A$2:$A$1001,A960,$B$2:$B$1001,B960)&gt;1,"违规：同一交易的加仓序号重复",IF(OR(D960="",E960="",F960=""),"计划不完整：请填写加仓价、新止损价和风险预算",IF(OR(D960&lt;=0,E960&lt;=0,F960&lt;=0,D960&lt;=E960),"违规：加仓价必须高于新止损价，金额须大于0",IF(AND(B960&gt;1,COUNTIFS($A$2:$A$1001,A960,$B$2:$B$1001,B960-1,$G$2:$G$1001,"&gt;0")=0),"违规：须先完成上一次加仓",IF(AND(B960&gt;1,E960&lt;SUMIFS($E$2:$E$1001,$A$2:$A$1001,A960,$B$2:$B$1001,B960-1)),"违规：新止损价不得低于上一次",IF(AND(B960&gt;1,F960&gt;SUMIFS($F$2:$F$1001,$A$2:$A$1001,A960,$B$2:$B$1001,B960-1)),"违规：风险预算须逐次不增加",IF(OR(_LockStatus="已锁仓",_LockStatus="解锁信息不完整"),"违规：锁仓期间禁止加仓",IF(G960="","计划可执行：建议股数见N列",IF(OR(G960&lt;=0,G960&lt;&gt;INT(G960),MOD(G960,100)&lt;&gt;0),"违规：实际股数须为100股整数倍",IF(G960&gt;N960,"违规：实际股数超过风险或金字塔上限",IF(AND(B960&gt;1,G960&gt;SUMIFS($G$2:$G$1001,$A$2:$A$1001,A960,$B$2:$B$1001,B960-1)),"违规：加仓股数须逐次不增加",IF(Q960&gt;F960,"违规：止损风险超过本次预算","通过")))))))))))))))</f>
        <v/>
      </c>
    </row>
    <row r="961" ht="17" spans="1:18">
      <c r="A961" s="13"/>
      <c r="B961" s="14"/>
      <c r="C961" s="15"/>
      <c r="D961" s="16"/>
      <c r="E961" s="16"/>
      <c r="F961" s="16"/>
      <c r="G961" s="14"/>
      <c r="H961" s="17" t="str">
        <f t="shared" si="112"/>
        <v/>
      </c>
      <c r="I961" s="18" t="str">
        <f>IF(OR(A961="",B961=""),"",IFERROR(LOOKUP(2,1/(单次交易!$A$2:$A$201=A961),单次交易!$H$2:$H$201),0)+SUMIFS($G$2:$G$1001,$A$2:$A$1001,A961,$B$2:$B$1001,"&lt;"&amp;B961))</f>
        <v/>
      </c>
      <c r="J961" s="17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17" t="str">
        <f t="shared" si="113"/>
        <v/>
      </c>
      <c r="L961" s="18" t="str">
        <f t="shared" si="114"/>
        <v/>
      </c>
      <c r="M961" s="18" t="str">
        <f t="shared" si="115"/>
        <v/>
      </c>
      <c r="N961" s="18" t="str">
        <f t="shared" si="116"/>
        <v/>
      </c>
      <c r="O961" s="18" t="str">
        <f t="shared" si="117"/>
        <v/>
      </c>
      <c r="P961" s="17" t="str">
        <f t="shared" si="118"/>
        <v/>
      </c>
      <c r="Q961" s="17" t="str">
        <f t="shared" si="119"/>
        <v/>
      </c>
      <c r="R961" s="19" t="str">
        <f ca="1">IF(A961="","",IF(COUNTIF(_TradeIds,A961)=0,"违规：交易编号不存在",IF(OR(B961="",B961&lt;1,B961&gt;5,B961&lt;&gt;INT(B961)),"违规：加仓序号须为1到5的整数",IF(COUNTIFS($A$2:$A$1001,A961,$B$2:$B$1001,B961)&gt;1,"违规：同一交易的加仓序号重复",IF(OR(D961="",E961="",F961=""),"计划不完整：请填写加仓价、新止损价和风险预算",IF(OR(D961&lt;=0,E961&lt;=0,F961&lt;=0,D961&lt;=E961),"违规：加仓价必须高于新止损价，金额须大于0",IF(AND(B961&gt;1,COUNTIFS($A$2:$A$1001,A961,$B$2:$B$1001,B961-1,$G$2:$G$1001,"&gt;0")=0),"违规：须先完成上一次加仓",IF(AND(B961&gt;1,E961&lt;SUMIFS($E$2:$E$1001,$A$2:$A$1001,A961,$B$2:$B$1001,B961-1)),"违规：新止损价不得低于上一次",IF(AND(B961&gt;1,F961&gt;SUMIFS($F$2:$F$1001,$A$2:$A$1001,A961,$B$2:$B$1001,B961-1)),"违规：风险预算须逐次不增加",IF(OR(_LockStatus="已锁仓",_LockStatus="解锁信息不完整"),"违规：锁仓期间禁止加仓",IF(G961="","计划可执行：建议股数见N列",IF(OR(G961&lt;=0,G961&lt;&gt;INT(G961),MOD(G961,100)&lt;&gt;0),"违规：实际股数须为100股整数倍",IF(G961&gt;N961,"违规：实际股数超过风险或金字塔上限",IF(AND(B961&gt;1,G961&gt;SUMIFS($G$2:$G$1001,$A$2:$A$1001,A961,$B$2:$B$1001,B961-1)),"违规：加仓股数须逐次不增加",IF(Q961&gt;F961,"违规：止损风险超过本次预算","通过")))))))))))))))</f>
        <v/>
      </c>
    </row>
    <row r="962" ht="17" spans="1:18">
      <c r="A962" s="13"/>
      <c r="B962" s="14"/>
      <c r="C962" s="15"/>
      <c r="D962" s="16"/>
      <c r="E962" s="16"/>
      <c r="F962" s="16"/>
      <c r="G962" s="14"/>
      <c r="H962" s="17" t="str">
        <f t="shared" ref="H962:H1001" si="120">IF(OR(A962="",D962="",G962=""),"",D962*G962)</f>
        <v/>
      </c>
      <c r="I962" s="18" t="str">
        <f>IF(OR(A962="",B962=""),"",IFERROR(LOOKUP(2,1/(单次交易!$A$2:$A$201=A962),单次交易!$H$2:$H$201),0)+SUMIFS($G$2:$G$1001,$A$2:$A$1001,A962,$B$2:$B$1001,"&lt;"&amp;B962))</f>
        <v/>
      </c>
      <c r="J962" s="17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17" t="str">
        <f t="shared" ref="K962:K1001" si="121">IF(OR(E962="",I962="",J962=""),"",MAX(E962*I962-J962,0))</f>
        <v/>
      </c>
      <c r="L962" s="18" t="str">
        <f t="shared" ref="L962:L1001" si="122">IF(OR(D962="",E962="",F962="",D962&lt;=E962),"",FLOOR((F962+K962)/(D962-E962),100))</f>
        <v/>
      </c>
      <c r="M962" s="18" t="str">
        <f t="shared" ref="M962:M1001" si="123">IF(OR(A962="",B962="",L962=""),"",IF(B962=1,L962,IFERROR(SUMIFS($G$2:$G$1001,$A$2:$A$1001,A962,$B$2:$B$1001,B962-1),0)))</f>
        <v/>
      </c>
      <c r="N962" s="18" t="str">
        <f t="shared" ref="N962:N1001" si="124">IF(OR(L962="",M962=""),"",MIN(L962,M962))</f>
        <v/>
      </c>
      <c r="O962" s="18" t="str">
        <f t="shared" ref="O962:O1001" si="125">IF(OR(I962="",G962=""),"",I962+G962)</f>
        <v/>
      </c>
      <c r="P962" s="17" t="str">
        <f t="shared" ref="P962:P1001" si="126">IF(OR(O962="",O962=0),"",(J962+H962)/O962)</f>
        <v/>
      </c>
      <c r="Q962" s="17" t="str">
        <f t="shared" ref="Q962:Q1001" si="127">IF(OR(O962="",E962=""),"",MAX(J962+H962-E962*O962,0))</f>
        <v/>
      </c>
      <c r="R962" s="19" t="str">
        <f ca="1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ht="17" spans="1:18">
      <c r="A963" s="13"/>
      <c r="B963" s="14"/>
      <c r="C963" s="15"/>
      <c r="D963" s="16"/>
      <c r="E963" s="16"/>
      <c r="F963" s="16"/>
      <c r="G963" s="14"/>
      <c r="H963" s="17" t="str">
        <f t="shared" si="120"/>
        <v/>
      </c>
      <c r="I963" s="18" t="str">
        <f>IF(OR(A963="",B963=""),"",IFERROR(LOOKUP(2,1/(单次交易!$A$2:$A$201=A963),单次交易!$H$2:$H$201),0)+SUMIFS($G$2:$G$1001,$A$2:$A$1001,A963,$B$2:$B$1001,"&lt;"&amp;B963))</f>
        <v/>
      </c>
      <c r="J963" s="17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17" t="str">
        <f t="shared" si="121"/>
        <v/>
      </c>
      <c r="L963" s="18" t="str">
        <f t="shared" si="122"/>
        <v/>
      </c>
      <c r="M963" s="18" t="str">
        <f t="shared" si="123"/>
        <v/>
      </c>
      <c r="N963" s="18" t="str">
        <f t="shared" si="124"/>
        <v/>
      </c>
      <c r="O963" s="18" t="str">
        <f t="shared" si="125"/>
        <v/>
      </c>
      <c r="P963" s="17" t="str">
        <f t="shared" si="126"/>
        <v/>
      </c>
      <c r="Q963" s="17" t="str">
        <f t="shared" si="127"/>
        <v/>
      </c>
      <c r="R963" s="19" t="str">
        <f ca="1">IF(A963="","",IF(COUNTIF(_TradeIds,A963)=0,"违规：交易编号不存在",IF(OR(B963="",B963&lt;1,B963&gt;5,B963&lt;&gt;INT(B963)),"违规：加仓序号须为1到5的整数",IF(COUNTIFS($A$2:$A$1001,A963,$B$2:$B$1001,B963)&gt;1,"违规：同一交易的加仓序号重复",IF(OR(D963="",E963="",F963=""),"计划不完整：请填写加仓价、新止损价和风险预算",IF(OR(D963&lt;=0,E963&lt;=0,F963&lt;=0,D963&lt;=E963),"违规：加仓价必须高于新止损价，金额须大于0",IF(AND(B963&gt;1,COUNTIFS($A$2:$A$1001,A963,$B$2:$B$1001,B963-1,$G$2:$G$1001,"&gt;0")=0),"违规：须先完成上一次加仓",IF(AND(B963&gt;1,E963&lt;SUMIFS($E$2:$E$1001,$A$2:$A$1001,A963,$B$2:$B$1001,B963-1)),"违规：新止损价不得低于上一次",IF(AND(B963&gt;1,F963&gt;SUMIFS($F$2:$F$1001,$A$2:$A$1001,A963,$B$2:$B$1001,B963-1)),"违规：风险预算须逐次不增加",IF(OR(_LockStatus="已锁仓",_LockStatus="解锁信息不完整"),"违规：锁仓期间禁止加仓",IF(G963="","计划可执行：建议股数见N列",IF(OR(G963&lt;=0,G963&lt;&gt;INT(G963),MOD(G963,100)&lt;&gt;0),"违规：实际股数须为100股整数倍",IF(G963&gt;N963,"违规：实际股数超过风险或金字塔上限",IF(AND(B963&gt;1,G963&gt;SUMIFS($G$2:$G$1001,$A$2:$A$1001,A963,$B$2:$B$1001,B963-1)),"违规：加仓股数须逐次不增加",IF(Q963&gt;F963,"违规：止损风险超过本次预算","通过")))))))))))))))</f>
        <v/>
      </c>
    </row>
    <row r="964" ht="17" spans="1:18">
      <c r="A964" s="13"/>
      <c r="B964" s="14"/>
      <c r="C964" s="15"/>
      <c r="D964" s="16"/>
      <c r="E964" s="16"/>
      <c r="F964" s="16"/>
      <c r="G964" s="14"/>
      <c r="H964" s="17" t="str">
        <f t="shared" si="120"/>
        <v/>
      </c>
      <c r="I964" s="18" t="str">
        <f>IF(OR(A964="",B964=""),"",IFERROR(LOOKUP(2,1/(单次交易!$A$2:$A$201=A964),单次交易!$H$2:$H$201),0)+SUMIFS($G$2:$G$1001,$A$2:$A$1001,A964,$B$2:$B$1001,"&lt;"&amp;B964))</f>
        <v/>
      </c>
      <c r="J964" s="17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17" t="str">
        <f t="shared" si="121"/>
        <v/>
      </c>
      <c r="L964" s="18" t="str">
        <f t="shared" si="122"/>
        <v/>
      </c>
      <c r="M964" s="18" t="str">
        <f t="shared" si="123"/>
        <v/>
      </c>
      <c r="N964" s="18" t="str">
        <f t="shared" si="124"/>
        <v/>
      </c>
      <c r="O964" s="18" t="str">
        <f t="shared" si="125"/>
        <v/>
      </c>
      <c r="P964" s="17" t="str">
        <f t="shared" si="126"/>
        <v/>
      </c>
      <c r="Q964" s="17" t="str">
        <f t="shared" si="127"/>
        <v/>
      </c>
      <c r="R964" s="19" t="str">
        <f ca="1">IF(A964="","",IF(COUNTIF(_TradeIds,A964)=0,"违规：交易编号不存在",IF(OR(B964="",B964&lt;1,B964&gt;5,B964&lt;&gt;INT(B964)),"违规：加仓序号须为1到5的整数",IF(COUNTIFS($A$2:$A$1001,A964,$B$2:$B$1001,B964)&gt;1,"违规：同一交易的加仓序号重复",IF(OR(D964="",E964="",F964=""),"计划不完整：请填写加仓价、新止损价和风险预算",IF(OR(D964&lt;=0,E964&lt;=0,F964&lt;=0,D964&lt;=E964),"违规：加仓价必须高于新止损价，金额须大于0",IF(AND(B964&gt;1,COUNTIFS($A$2:$A$1001,A964,$B$2:$B$1001,B964-1,$G$2:$G$1001,"&gt;0")=0),"违规：须先完成上一次加仓",IF(AND(B964&gt;1,E964&lt;SUMIFS($E$2:$E$1001,$A$2:$A$1001,A964,$B$2:$B$1001,B964-1)),"违规：新止损价不得低于上一次",IF(AND(B964&gt;1,F964&gt;SUMIFS($F$2:$F$1001,$A$2:$A$1001,A964,$B$2:$B$1001,B964-1)),"违规：风险预算须逐次不增加",IF(OR(_LockStatus="已锁仓",_LockStatus="解锁信息不完整"),"违规：锁仓期间禁止加仓",IF(G964="","计划可执行：建议股数见N列",IF(OR(G964&lt;=0,G964&lt;&gt;INT(G964),MOD(G964,100)&lt;&gt;0),"违规：实际股数须为100股整数倍",IF(G964&gt;N964,"违规：实际股数超过风险或金字塔上限",IF(AND(B964&gt;1,G964&gt;SUMIFS($G$2:$G$1001,$A$2:$A$1001,A964,$B$2:$B$1001,B964-1)),"违规：加仓股数须逐次不增加",IF(Q964&gt;F964,"违规：止损风险超过本次预算","通过")))))))))))))))</f>
        <v/>
      </c>
    </row>
    <row r="965" ht="17" spans="1:18">
      <c r="A965" s="13"/>
      <c r="B965" s="14"/>
      <c r="C965" s="15"/>
      <c r="D965" s="16"/>
      <c r="E965" s="16"/>
      <c r="F965" s="16"/>
      <c r="G965" s="14"/>
      <c r="H965" s="17" t="str">
        <f t="shared" si="120"/>
        <v/>
      </c>
      <c r="I965" s="18" t="str">
        <f>IF(OR(A965="",B965=""),"",IFERROR(LOOKUP(2,1/(单次交易!$A$2:$A$201=A965),单次交易!$H$2:$H$201),0)+SUMIFS($G$2:$G$1001,$A$2:$A$1001,A965,$B$2:$B$1001,"&lt;"&amp;B965))</f>
        <v/>
      </c>
      <c r="J965" s="17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17" t="str">
        <f t="shared" si="121"/>
        <v/>
      </c>
      <c r="L965" s="18" t="str">
        <f t="shared" si="122"/>
        <v/>
      </c>
      <c r="M965" s="18" t="str">
        <f t="shared" si="123"/>
        <v/>
      </c>
      <c r="N965" s="18" t="str">
        <f t="shared" si="124"/>
        <v/>
      </c>
      <c r="O965" s="18" t="str">
        <f t="shared" si="125"/>
        <v/>
      </c>
      <c r="P965" s="17" t="str">
        <f t="shared" si="126"/>
        <v/>
      </c>
      <c r="Q965" s="17" t="str">
        <f t="shared" si="127"/>
        <v/>
      </c>
      <c r="R965" s="19" t="str">
        <f ca="1">IF(A965="","",IF(COUNTIF(_TradeIds,A965)=0,"违规：交易编号不存在",IF(OR(B965="",B965&lt;1,B965&gt;5,B965&lt;&gt;INT(B965)),"违规：加仓序号须为1到5的整数",IF(COUNTIFS($A$2:$A$1001,A965,$B$2:$B$1001,B965)&gt;1,"违规：同一交易的加仓序号重复",IF(OR(D965="",E965="",F965=""),"计划不完整：请填写加仓价、新止损价和风险预算",IF(OR(D965&lt;=0,E965&lt;=0,F965&lt;=0,D965&lt;=E965),"违规：加仓价必须高于新止损价，金额须大于0",IF(AND(B965&gt;1,COUNTIFS($A$2:$A$1001,A965,$B$2:$B$1001,B965-1,$G$2:$G$1001,"&gt;0")=0),"违规：须先完成上一次加仓",IF(AND(B965&gt;1,E965&lt;SUMIFS($E$2:$E$1001,$A$2:$A$1001,A965,$B$2:$B$1001,B965-1)),"违规：新止损价不得低于上一次",IF(AND(B965&gt;1,F965&gt;SUMIFS($F$2:$F$1001,$A$2:$A$1001,A965,$B$2:$B$1001,B965-1)),"违规：风险预算须逐次不增加",IF(OR(_LockStatus="已锁仓",_LockStatus="解锁信息不完整"),"违规：锁仓期间禁止加仓",IF(G965="","计划可执行：建议股数见N列",IF(OR(G965&lt;=0,G965&lt;&gt;INT(G965),MOD(G965,100)&lt;&gt;0),"违规：实际股数须为100股整数倍",IF(G965&gt;N965,"违规：实际股数超过风险或金字塔上限",IF(AND(B965&gt;1,G965&gt;SUMIFS($G$2:$G$1001,$A$2:$A$1001,A965,$B$2:$B$1001,B965-1)),"违规：加仓股数须逐次不增加",IF(Q965&gt;F965,"违规：止损风险超过本次预算","通过")))))))))))))))</f>
        <v/>
      </c>
    </row>
    <row r="966" ht="17" spans="1:18">
      <c r="A966" s="13"/>
      <c r="B966" s="14"/>
      <c r="C966" s="15"/>
      <c r="D966" s="16"/>
      <c r="E966" s="16"/>
      <c r="F966" s="16"/>
      <c r="G966" s="14"/>
      <c r="H966" s="17" t="str">
        <f t="shared" si="120"/>
        <v/>
      </c>
      <c r="I966" s="18" t="str">
        <f>IF(OR(A966="",B966=""),"",IFERROR(LOOKUP(2,1/(单次交易!$A$2:$A$201=A966),单次交易!$H$2:$H$201),0)+SUMIFS($G$2:$G$1001,$A$2:$A$1001,A966,$B$2:$B$1001,"&lt;"&amp;B966))</f>
        <v/>
      </c>
      <c r="J966" s="17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17" t="str">
        <f t="shared" si="121"/>
        <v/>
      </c>
      <c r="L966" s="18" t="str">
        <f t="shared" si="122"/>
        <v/>
      </c>
      <c r="M966" s="18" t="str">
        <f t="shared" si="123"/>
        <v/>
      </c>
      <c r="N966" s="18" t="str">
        <f t="shared" si="124"/>
        <v/>
      </c>
      <c r="O966" s="18" t="str">
        <f t="shared" si="125"/>
        <v/>
      </c>
      <c r="P966" s="17" t="str">
        <f t="shared" si="126"/>
        <v/>
      </c>
      <c r="Q966" s="17" t="str">
        <f t="shared" si="127"/>
        <v/>
      </c>
      <c r="R966" s="19" t="str">
        <f ca="1">IF(A966="","",IF(COUNTIF(_TradeIds,A966)=0,"违规：交易编号不存在",IF(OR(B966="",B966&lt;1,B966&gt;5,B966&lt;&gt;INT(B966)),"违规：加仓序号须为1到5的整数",IF(COUNTIFS($A$2:$A$1001,A966,$B$2:$B$1001,B966)&gt;1,"违规：同一交易的加仓序号重复",IF(OR(D966="",E966="",F966=""),"计划不完整：请填写加仓价、新止损价和风险预算",IF(OR(D966&lt;=0,E966&lt;=0,F966&lt;=0,D966&lt;=E966),"违规：加仓价必须高于新止损价，金额须大于0",IF(AND(B966&gt;1,COUNTIFS($A$2:$A$1001,A966,$B$2:$B$1001,B966-1,$G$2:$G$1001,"&gt;0")=0),"违规：须先完成上一次加仓",IF(AND(B966&gt;1,E966&lt;SUMIFS($E$2:$E$1001,$A$2:$A$1001,A966,$B$2:$B$1001,B966-1)),"违规：新止损价不得低于上一次",IF(AND(B966&gt;1,F966&gt;SUMIFS($F$2:$F$1001,$A$2:$A$1001,A966,$B$2:$B$1001,B966-1)),"违规：风险预算须逐次不增加",IF(OR(_LockStatus="已锁仓",_LockStatus="解锁信息不完整"),"违规：锁仓期间禁止加仓",IF(G966="","计划可执行：建议股数见N列",IF(OR(G966&lt;=0,G966&lt;&gt;INT(G966),MOD(G966,100)&lt;&gt;0),"违规：实际股数须为100股整数倍",IF(G966&gt;N966,"违规：实际股数超过风险或金字塔上限",IF(AND(B966&gt;1,G966&gt;SUMIFS($G$2:$G$1001,$A$2:$A$1001,A966,$B$2:$B$1001,B966-1)),"违规：加仓股数须逐次不增加",IF(Q966&gt;F966,"违规：止损风险超过本次预算","通过")))))))))))))))</f>
        <v/>
      </c>
    </row>
    <row r="967" ht="17" spans="1:18">
      <c r="A967" s="13"/>
      <c r="B967" s="14"/>
      <c r="C967" s="15"/>
      <c r="D967" s="16"/>
      <c r="E967" s="16"/>
      <c r="F967" s="16"/>
      <c r="G967" s="14"/>
      <c r="H967" s="17" t="str">
        <f t="shared" si="120"/>
        <v/>
      </c>
      <c r="I967" s="18" t="str">
        <f>IF(OR(A967="",B967=""),"",IFERROR(LOOKUP(2,1/(单次交易!$A$2:$A$201=A967),单次交易!$H$2:$H$201),0)+SUMIFS($G$2:$G$1001,$A$2:$A$1001,A967,$B$2:$B$1001,"&lt;"&amp;B967))</f>
        <v/>
      </c>
      <c r="J967" s="17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17" t="str">
        <f t="shared" si="121"/>
        <v/>
      </c>
      <c r="L967" s="18" t="str">
        <f t="shared" si="122"/>
        <v/>
      </c>
      <c r="M967" s="18" t="str">
        <f t="shared" si="123"/>
        <v/>
      </c>
      <c r="N967" s="18" t="str">
        <f t="shared" si="124"/>
        <v/>
      </c>
      <c r="O967" s="18" t="str">
        <f t="shared" si="125"/>
        <v/>
      </c>
      <c r="P967" s="17" t="str">
        <f t="shared" si="126"/>
        <v/>
      </c>
      <c r="Q967" s="17" t="str">
        <f t="shared" si="127"/>
        <v/>
      </c>
      <c r="R967" s="19" t="str">
        <f ca="1">IF(A967="","",IF(COUNTIF(_TradeIds,A967)=0,"违规：交易编号不存在",IF(OR(B967="",B967&lt;1,B967&gt;5,B967&lt;&gt;INT(B967)),"违规：加仓序号须为1到5的整数",IF(COUNTIFS($A$2:$A$1001,A967,$B$2:$B$1001,B967)&gt;1,"违规：同一交易的加仓序号重复",IF(OR(D967="",E967="",F967=""),"计划不完整：请填写加仓价、新止损价和风险预算",IF(OR(D967&lt;=0,E967&lt;=0,F967&lt;=0,D967&lt;=E967),"违规：加仓价必须高于新止损价，金额须大于0",IF(AND(B967&gt;1,COUNTIFS($A$2:$A$1001,A967,$B$2:$B$1001,B967-1,$G$2:$G$1001,"&gt;0")=0),"违规：须先完成上一次加仓",IF(AND(B967&gt;1,E967&lt;SUMIFS($E$2:$E$1001,$A$2:$A$1001,A967,$B$2:$B$1001,B967-1)),"违规：新止损价不得低于上一次",IF(AND(B967&gt;1,F967&gt;SUMIFS($F$2:$F$1001,$A$2:$A$1001,A967,$B$2:$B$1001,B967-1)),"违规：风险预算须逐次不增加",IF(OR(_LockStatus="已锁仓",_LockStatus="解锁信息不完整"),"违规：锁仓期间禁止加仓",IF(G967="","计划可执行：建议股数见N列",IF(OR(G967&lt;=0,G967&lt;&gt;INT(G967),MOD(G967,100)&lt;&gt;0),"违规：实际股数须为100股整数倍",IF(G967&gt;N967,"违规：实际股数超过风险或金字塔上限",IF(AND(B967&gt;1,G967&gt;SUMIFS($G$2:$G$1001,$A$2:$A$1001,A967,$B$2:$B$1001,B967-1)),"违规：加仓股数须逐次不增加",IF(Q967&gt;F967,"违规：止损风险超过本次预算","通过")))))))))))))))</f>
        <v/>
      </c>
    </row>
    <row r="968" ht="17" spans="1:18">
      <c r="A968" s="13"/>
      <c r="B968" s="14"/>
      <c r="C968" s="15"/>
      <c r="D968" s="16"/>
      <c r="E968" s="16"/>
      <c r="F968" s="16"/>
      <c r="G968" s="14"/>
      <c r="H968" s="17" t="str">
        <f t="shared" si="120"/>
        <v/>
      </c>
      <c r="I968" s="18" t="str">
        <f>IF(OR(A968="",B968=""),"",IFERROR(LOOKUP(2,1/(单次交易!$A$2:$A$201=A968),单次交易!$H$2:$H$201),0)+SUMIFS($G$2:$G$1001,$A$2:$A$1001,A968,$B$2:$B$1001,"&lt;"&amp;B968))</f>
        <v/>
      </c>
      <c r="J968" s="17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17" t="str">
        <f t="shared" si="121"/>
        <v/>
      </c>
      <c r="L968" s="18" t="str">
        <f t="shared" si="122"/>
        <v/>
      </c>
      <c r="M968" s="18" t="str">
        <f t="shared" si="123"/>
        <v/>
      </c>
      <c r="N968" s="18" t="str">
        <f t="shared" si="124"/>
        <v/>
      </c>
      <c r="O968" s="18" t="str">
        <f t="shared" si="125"/>
        <v/>
      </c>
      <c r="P968" s="17" t="str">
        <f t="shared" si="126"/>
        <v/>
      </c>
      <c r="Q968" s="17" t="str">
        <f t="shared" si="127"/>
        <v/>
      </c>
      <c r="R968" s="19" t="str">
        <f ca="1">IF(A968="","",IF(COUNTIF(_TradeIds,A968)=0,"违规：交易编号不存在",IF(OR(B968="",B968&lt;1,B968&gt;5,B968&lt;&gt;INT(B968)),"违规：加仓序号须为1到5的整数",IF(COUNTIFS($A$2:$A$1001,A968,$B$2:$B$1001,B968)&gt;1,"违规：同一交易的加仓序号重复",IF(OR(D968="",E968="",F968=""),"计划不完整：请填写加仓价、新止损价和风险预算",IF(OR(D968&lt;=0,E968&lt;=0,F968&lt;=0,D968&lt;=E968),"违规：加仓价必须高于新止损价，金额须大于0",IF(AND(B968&gt;1,COUNTIFS($A$2:$A$1001,A968,$B$2:$B$1001,B968-1,$G$2:$G$1001,"&gt;0")=0),"违规：须先完成上一次加仓",IF(AND(B968&gt;1,E968&lt;SUMIFS($E$2:$E$1001,$A$2:$A$1001,A968,$B$2:$B$1001,B968-1)),"违规：新止损价不得低于上一次",IF(AND(B968&gt;1,F968&gt;SUMIFS($F$2:$F$1001,$A$2:$A$1001,A968,$B$2:$B$1001,B968-1)),"违规：风险预算须逐次不增加",IF(OR(_LockStatus="已锁仓",_LockStatus="解锁信息不完整"),"违规：锁仓期间禁止加仓",IF(G968="","计划可执行：建议股数见N列",IF(OR(G968&lt;=0,G968&lt;&gt;INT(G968),MOD(G968,100)&lt;&gt;0),"违规：实际股数须为100股整数倍",IF(G968&gt;N968,"违规：实际股数超过风险或金字塔上限",IF(AND(B968&gt;1,G968&gt;SUMIFS($G$2:$G$1001,$A$2:$A$1001,A968,$B$2:$B$1001,B968-1)),"违规：加仓股数须逐次不增加",IF(Q968&gt;F968,"违规：止损风险超过本次预算","通过")))))))))))))))</f>
        <v/>
      </c>
    </row>
    <row r="969" ht="17" spans="1:18">
      <c r="A969" s="13"/>
      <c r="B969" s="14"/>
      <c r="C969" s="15"/>
      <c r="D969" s="16"/>
      <c r="E969" s="16"/>
      <c r="F969" s="16"/>
      <c r="G969" s="14"/>
      <c r="H969" s="17" t="str">
        <f t="shared" si="120"/>
        <v/>
      </c>
      <c r="I969" s="18" t="str">
        <f>IF(OR(A969="",B969=""),"",IFERROR(LOOKUP(2,1/(单次交易!$A$2:$A$201=A969),单次交易!$H$2:$H$201),0)+SUMIFS($G$2:$G$1001,$A$2:$A$1001,A969,$B$2:$B$1001,"&lt;"&amp;B969))</f>
        <v/>
      </c>
      <c r="J969" s="17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17" t="str">
        <f t="shared" si="121"/>
        <v/>
      </c>
      <c r="L969" s="18" t="str">
        <f t="shared" si="122"/>
        <v/>
      </c>
      <c r="M969" s="18" t="str">
        <f t="shared" si="123"/>
        <v/>
      </c>
      <c r="N969" s="18" t="str">
        <f t="shared" si="124"/>
        <v/>
      </c>
      <c r="O969" s="18" t="str">
        <f t="shared" si="125"/>
        <v/>
      </c>
      <c r="P969" s="17" t="str">
        <f t="shared" si="126"/>
        <v/>
      </c>
      <c r="Q969" s="17" t="str">
        <f t="shared" si="127"/>
        <v/>
      </c>
      <c r="R969" s="19" t="str">
        <f ca="1">IF(A969="","",IF(COUNTIF(_TradeIds,A969)=0,"违规：交易编号不存在",IF(OR(B969="",B969&lt;1,B969&gt;5,B969&lt;&gt;INT(B969)),"违规：加仓序号须为1到5的整数",IF(COUNTIFS($A$2:$A$1001,A969,$B$2:$B$1001,B969)&gt;1,"违规：同一交易的加仓序号重复",IF(OR(D969="",E969="",F969=""),"计划不完整：请填写加仓价、新止损价和风险预算",IF(OR(D969&lt;=0,E969&lt;=0,F969&lt;=0,D969&lt;=E969),"违规：加仓价必须高于新止损价，金额须大于0",IF(AND(B969&gt;1,COUNTIFS($A$2:$A$1001,A969,$B$2:$B$1001,B969-1,$G$2:$G$1001,"&gt;0")=0),"违规：须先完成上一次加仓",IF(AND(B969&gt;1,E969&lt;SUMIFS($E$2:$E$1001,$A$2:$A$1001,A969,$B$2:$B$1001,B969-1)),"违规：新止损价不得低于上一次",IF(AND(B969&gt;1,F969&gt;SUMIFS($F$2:$F$1001,$A$2:$A$1001,A969,$B$2:$B$1001,B969-1)),"违规：风险预算须逐次不增加",IF(OR(_LockStatus="已锁仓",_LockStatus="解锁信息不完整"),"违规：锁仓期间禁止加仓",IF(G969="","计划可执行：建议股数见N列",IF(OR(G969&lt;=0,G969&lt;&gt;INT(G969),MOD(G969,100)&lt;&gt;0),"违规：实际股数须为100股整数倍",IF(G969&gt;N969,"违规：实际股数超过风险或金字塔上限",IF(AND(B969&gt;1,G969&gt;SUMIFS($G$2:$G$1001,$A$2:$A$1001,A969,$B$2:$B$1001,B969-1)),"违规：加仓股数须逐次不增加",IF(Q969&gt;F969,"违规：止损风险超过本次预算","通过")))))))))))))))</f>
        <v/>
      </c>
    </row>
    <row r="970" ht="17" spans="1:18">
      <c r="A970" s="13"/>
      <c r="B970" s="14"/>
      <c r="C970" s="15"/>
      <c r="D970" s="16"/>
      <c r="E970" s="16"/>
      <c r="F970" s="16"/>
      <c r="G970" s="14"/>
      <c r="H970" s="17" t="str">
        <f t="shared" si="120"/>
        <v/>
      </c>
      <c r="I970" s="18" t="str">
        <f>IF(OR(A970="",B970=""),"",IFERROR(LOOKUP(2,1/(单次交易!$A$2:$A$201=A970),单次交易!$H$2:$H$201),0)+SUMIFS($G$2:$G$1001,$A$2:$A$1001,A970,$B$2:$B$1001,"&lt;"&amp;B970))</f>
        <v/>
      </c>
      <c r="J970" s="17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17" t="str">
        <f t="shared" si="121"/>
        <v/>
      </c>
      <c r="L970" s="18" t="str">
        <f t="shared" si="122"/>
        <v/>
      </c>
      <c r="M970" s="18" t="str">
        <f t="shared" si="123"/>
        <v/>
      </c>
      <c r="N970" s="18" t="str">
        <f t="shared" si="124"/>
        <v/>
      </c>
      <c r="O970" s="18" t="str">
        <f t="shared" si="125"/>
        <v/>
      </c>
      <c r="P970" s="17" t="str">
        <f t="shared" si="126"/>
        <v/>
      </c>
      <c r="Q970" s="17" t="str">
        <f t="shared" si="127"/>
        <v/>
      </c>
      <c r="R970" s="19" t="str">
        <f ca="1">IF(A970="","",IF(COUNTIF(_TradeIds,A970)=0,"违规：交易编号不存在",IF(OR(B970="",B970&lt;1,B970&gt;5,B970&lt;&gt;INT(B970)),"违规：加仓序号须为1到5的整数",IF(COUNTIFS($A$2:$A$1001,A970,$B$2:$B$1001,B970)&gt;1,"违规：同一交易的加仓序号重复",IF(OR(D970="",E970="",F970=""),"计划不完整：请填写加仓价、新止损价和风险预算",IF(OR(D970&lt;=0,E970&lt;=0,F970&lt;=0,D970&lt;=E970),"违规：加仓价必须高于新止损价，金额须大于0",IF(AND(B970&gt;1,COUNTIFS($A$2:$A$1001,A970,$B$2:$B$1001,B970-1,$G$2:$G$1001,"&gt;0")=0),"违规：须先完成上一次加仓",IF(AND(B970&gt;1,E970&lt;SUMIFS($E$2:$E$1001,$A$2:$A$1001,A970,$B$2:$B$1001,B970-1)),"违规：新止损价不得低于上一次",IF(AND(B970&gt;1,F970&gt;SUMIFS($F$2:$F$1001,$A$2:$A$1001,A970,$B$2:$B$1001,B970-1)),"违规：风险预算须逐次不增加",IF(OR(_LockStatus="已锁仓",_LockStatus="解锁信息不完整"),"违规：锁仓期间禁止加仓",IF(G970="","计划可执行：建议股数见N列",IF(OR(G970&lt;=0,G970&lt;&gt;INT(G970),MOD(G970,100)&lt;&gt;0),"违规：实际股数须为100股整数倍",IF(G970&gt;N970,"违规：实际股数超过风险或金字塔上限",IF(AND(B970&gt;1,G970&gt;SUMIFS($G$2:$G$1001,$A$2:$A$1001,A970,$B$2:$B$1001,B970-1)),"违规：加仓股数须逐次不增加",IF(Q970&gt;F970,"违规：止损风险超过本次预算","通过")))))))))))))))</f>
        <v/>
      </c>
    </row>
    <row r="971" ht="17" spans="1:18">
      <c r="A971" s="13"/>
      <c r="B971" s="14"/>
      <c r="C971" s="15"/>
      <c r="D971" s="16"/>
      <c r="E971" s="16"/>
      <c r="F971" s="16"/>
      <c r="G971" s="14"/>
      <c r="H971" s="17" t="str">
        <f t="shared" si="120"/>
        <v/>
      </c>
      <c r="I971" s="18" t="str">
        <f>IF(OR(A971="",B971=""),"",IFERROR(LOOKUP(2,1/(单次交易!$A$2:$A$201=A971),单次交易!$H$2:$H$201),0)+SUMIFS($G$2:$G$1001,$A$2:$A$1001,A971,$B$2:$B$1001,"&lt;"&amp;B971))</f>
        <v/>
      </c>
      <c r="J971" s="17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17" t="str">
        <f t="shared" si="121"/>
        <v/>
      </c>
      <c r="L971" s="18" t="str">
        <f t="shared" si="122"/>
        <v/>
      </c>
      <c r="M971" s="18" t="str">
        <f t="shared" si="123"/>
        <v/>
      </c>
      <c r="N971" s="18" t="str">
        <f t="shared" si="124"/>
        <v/>
      </c>
      <c r="O971" s="18" t="str">
        <f t="shared" si="125"/>
        <v/>
      </c>
      <c r="P971" s="17" t="str">
        <f t="shared" si="126"/>
        <v/>
      </c>
      <c r="Q971" s="17" t="str">
        <f t="shared" si="127"/>
        <v/>
      </c>
      <c r="R971" s="19" t="str">
        <f ca="1">IF(A971="","",IF(COUNTIF(_TradeIds,A971)=0,"违规：交易编号不存在",IF(OR(B971="",B971&lt;1,B971&gt;5,B971&lt;&gt;INT(B971)),"违规：加仓序号须为1到5的整数",IF(COUNTIFS($A$2:$A$1001,A971,$B$2:$B$1001,B971)&gt;1,"违规：同一交易的加仓序号重复",IF(OR(D971="",E971="",F971=""),"计划不完整：请填写加仓价、新止损价和风险预算",IF(OR(D971&lt;=0,E971&lt;=0,F971&lt;=0,D971&lt;=E971),"违规：加仓价必须高于新止损价，金额须大于0",IF(AND(B971&gt;1,COUNTIFS($A$2:$A$1001,A971,$B$2:$B$1001,B971-1,$G$2:$G$1001,"&gt;0")=0),"违规：须先完成上一次加仓",IF(AND(B971&gt;1,E971&lt;SUMIFS($E$2:$E$1001,$A$2:$A$1001,A971,$B$2:$B$1001,B971-1)),"违规：新止损价不得低于上一次",IF(AND(B971&gt;1,F971&gt;SUMIFS($F$2:$F$1001,$A$2:$A$1001,A971,$B$2:$B$1001,B971-1)),"违规：风险预算须逐次不增加",IF(OR(_LockStatus="已锁仓",_LockStatus="解锁信息不完整"),"违规：锁仓期间禁止加仓",IF(G971="","计划可执行：建议股数见N列",IF(OR(G971&lt;=0,G971&lt;&gt;INT(G971),MOD(G971,100)&lt;&gt;0),"违规：实际股数须为100股整数倍",IF(G971&gt;N971,"违规：实际股数超过风险或金字塔上限",IF(AND(B971&gt;1,G971&gt;SUMIFS($G$2:$G$1001,$A$2:$A$1001,A971,$B$2:$B$1001,B971-1)),"违规：加仓股数须逐次不增加",IF(Q971&gt;F971,"违规：止损风险超过本次预算","通过")))))))))))))))</f>
        <v/>
      </c>
    </row>
    <row r="972" ht="17" spans="1:18">
      <c r="A972" s="13"/>
      <c r="B972" s="14"/>
      <c r="C972" s="15"/>
      <c r="D972" s="16"/>
      <c r="E972" s="16"/>
      <c r="F972" s="16"/>
      <c r="G972" s="14"/>
      <c r="H972" s="17" t="str">
        <f t="shared" si="120"/>
        <v/>
      </c>
      <c r="I972" s="18" t="str">
        <f>IF(OR(A972="",B972=""),"",IFERROR(LOOKUP(2,1/(单次交易!$A$2:$A$201=A972),单次交易!$H$2:$H$201),0)+SUMIFS($G$2:$G$1001,$A$2:$A$1001,A972,$B$2:$B$1001,"&lt;"&amp;B972))</f>
        <v/>
      </c>
      <c r="J972" s="17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17" t="str">
        <f t="shared" si="121"/>
        <v/>
      </c>
      <c r="L972" s="18" t="str">
        <f t="shared" si="122"/>
        <v/>
      </c>
      <c r="M972" s="18" t="str">
        <f t="shared" si="123"/>
        <v/>
      </c>
      <c r="N972" s="18" t="str">
        <f t="shared" si="124"/>
        <v/>
      </c>
      <c r="O972" s="18" t="str">
        <f t="shared" si="125"/>
        <v/>
      </c>
      <c r="P972" s="17" t="str">
        <f t="shared" si="126"/>
        <v/>
      </c>
      <c r="Q972" s="17" t="str">
        <f t="shared" si="127"/>
        <v/>
      </c>
      <c r="R972" s="19" t="str">
        <f ca="1">IF(A972="","",IF(COUNTIF(_TradeIds,A972)=0,"违规：交易编号不存在",IF(OR(B972="",B972&lt;1,B972&gt;5,B972&lt;&gt;INT(B972)),"违规：加仓序号须为1到5的整数",IF(COUNTIFS($A$2:$A$1001,A972,$B$2:$B$1001,B972)&gt;1,"违规：同一交易的加仓序号重复",IF(OR(D972="",E972="",F972=""),"计划不完整：请填写加仓价、新止损价和风险预算",IF(OR(D972&lt;=0,E972&lt;=0,F972&lt;=0,D972&lt;=E972),"违规：加仓价必须高于新止损价，金额须大于0",IF(AND(B972&gt;1,COUNTIFS($A$2:$A$1001,A972,$B$2:$B$1001,B972-1,$G$2:$G$1001,"&gt;0")=0),"违规：须先完成上一次加仓",IF(AND(B972&gt;1,E972&lt;SUMIFS($E$2:$E$1001,$A$2:$A$1001,A972,$B$2:$B$1001,B972-1)),"违规：新止损价不得低于上一次",IF(AND(B972&gt;1,F972&gt;SUMIFS($F$2:$F$1001,$A$2:$A$1001,A972,$B$2:$B$1001,B972-1)),"违规：风险预算须逐次不增加",IF(OR(_LockStatus="已锁仓",_LockStatus="解锁信息不完整"),"违规：锁仓期间禁止加仓",IF(G972="","计划可执行：建议股数见N列",IF(OR(G972&lt;=0,G972&lt;&gt;INT(G972),MOD(G972,100)&lt;&gt;0),"违规：实际股数须为100股整数倍",IF(G972&gt;N972,"违规：实际股数超过风险或金字塔上限",IF(AND(B972&gt;1,G972&gt;SUMIFS($G$2:$G$1001,$A$2:$A$1001,A972,$B$2:$B$1001,B972-1)),"违规：加仓股数须逐次不增加",IF(Q972&gt;F972,"违规：止损风险超过本次预算","通过")))))))))))))))</f>
        <v/>
      </c>
    </row>
    <row r="973" ht="17" spans="1:18">
      <c r="A973" s="13"/>
      <c r="B973" s="14"/>
      <c r="C973" s="15"/>
      <c r="D973" s="16"/>
      <c r="E973" s="16"/>
      <c r="F973" s="16"/>
      <c r="G973" s="14"/>
      <c r="H973" s="17" t="str">
        <f t="shared" si="120"/>
        <v/>
      </c>
      <c r="I973" s="18" t="str">
        <f>IF(OR(A973="",B973=""),"",IFERROR(LOOKUP(2,1/(单次交易!$A$2:$A$201=A973),单次交易!$H$2:$H$201),0)+SUMIFS($G$2:$G$1001,$A$2:$A$1001,A973,$B$2:$B$1001,"&lt;"&amp;B973))</f>
        <v/>
      </c>
      <c r="J973" s="17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17" t="str">
        <f t="shared" si="121"/>
        <v/>
      </c>
      <c r="L973" s="18" t="str">
        <f t="shared" si="122"/>
        <v/>
      </c>
      <c r="M973" s="18" t="str">
        <f t="shared" si="123"/>
        <v/>
      </c>
      <c r="N973" s="18" t="str">
        <f t="shared" si="124"/>
        <v/>
      </c>
      <c r="O973" s="18" t="str">
        <f t="shared" si="125"/>
        <v/>
      </c>
      <c r="P973" s="17" t="str">
        <f t="shared" si="126"/>
        <v/>
      </c>
      <c r="Q973" s="17" t="str">
        <f t="shared" si="127"/>
        <v/>
      </c>
      <c r="R973" s="19" t="str">
        <f ca="1">IF(A973="","",IF(COUNTIF(_TradeIds,A973)=0,"违规：交易编号不存在",IF(OR(B973="",B973&lt;1,B973&gt;5,B973&lt;&gt;INT(B973)),"违规：加仓序号须为1到5的整数",IF(COUNTIFS($A$2:$A$1001,A973,$B$2:$B$1001,B973)&gt;1,"违规：同一交易的加仓序号重复",IF(OR(D973="",E973="",F973=""),"计划不完整：请填写加仓价、新止损价和风险预算",IF(OR(D973&lt;=0,E973&lt;=0,F973&lt;=0,D973&lt;=E973),"违规：加仓价必须高于新止损价，金额须大于0",IF(AND(B973&gt;1,COUNTIFS($A$2:$A$1001,A973,$B$2:$B$1001,B973-1,$G$2:$G$1001,"&gt;0")=0),"违规：须先完成上一次加仓",IF(AND(B973&gt;1,E973&lt;SUMIFS($E$2:$E$1001,$A$2:$A$1001,A973,$B$2:$B$1001,B973-1)),"违规：新止损价不得低于上一次",IF(AND(B973&gt;1,F973&gt;SUMIFS($F$2:$F$1001,$A$2:$A$1001,A973,$B$2:$B$1001,B973-1)),"违规：风险预算须逐次不增加",IF(OR(_LockStatus="已锁仓",_LockStatus="解锁信息不完整"),"违规：锁仓期间禁止加仓",IF(G973="","计划可执行：建议股数见N列",IF(OR(G973&lt;=0,G973&lt;&gt;INT(G973),MOD(G973,100)&lt;&gt;0),"违规：实际股数须为100股整数倍",IF(G973&gt;N973,"违规：实际股数超过风险或金字塔上限",IF(AND(B973&gt;1,G973&gt;SUMIFS($G$2:$G$1001,$A$2:$A$1001,A973,$B$2:$B$1001,B973-1)),"违规：加仓股数须逐次不增加",IF(Q973&gt;F973,"违规：止损风险超过本次预算","通过")))))))))))))))</f>
        <v/>
      </c>
    </row>
    <row r="974" ht="17" spans="1:18">
      <c r="A974" s="13"/>
      <c r="B974" s="14"/>
      <c r="C974" s="15"/>
      <c r="D974" s="16"/>
      <c r="E974" s="16"/>
      <c r="F974" s="16"/>
      <c r="G974" s="14"/>
      <c r="H974" s="17" t="str">
        <f t="shared" si="120"/>
        <v/>
      </c>
      <c r="I974" s="18" t="str">
        <f>IF(OR(A974="",B974=""),"",IFERROR(LOOKUP(2,1/(单次交易!$A$2:$A$201=A974),单次交易!$H$2:$H$201),0)+SUMIFS($G$2:$G$1001,$A$2:$A$1001,A974,$B$2:$B$1001,"&lt;"&amp;B974))</f>
        <v/>
      </c>
      <c r="J974" s="17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17" t="str">
        <f t="shared" si="121"/>
        <v/>
      </c>
      <c r="L974" s="18" t="str">
        <f t="shared" si="122"/>
        <v/>
      </c>
      <c r="M974" s="18" t="str">
        <f t="shared" si="123"/>
        <v/>
      </c>
      <c r="N974" s="18" t="str">
        <f t="shared" si="124"/>
        <v/>
      </c>
      <c r="O974" s="18" t="str">
        <f t="shared" si="125"/>
        <v/>
      </c>
      <c r="P974" s="17" t="str">
        <f t="shared" si="126"/>
        <v/>
      </c>
      <c r="Q974" s="17" t="str">
        <f t="shared" si="127"/>
        <v/>
      </c>
      <c r="R974" s="19" t="str">
        <f ca="1">IF(A974="","",IF(COUNTIF(_TradeIds,A974)=0,"违规：交易编号不存在",IF(OR(B974="",B974&lt;1,B974&gt;5,B974&lt;&gt;INT(B974)),"违规：加仓序号须为1到5的整数",IF(COUNTIFS($A$2:$A$1001,A974,$B$2:$B$1001,B974)&gt;1,"违规：同一交易的加仓序号重复",IF(OR(D974="",E974="",F974=""),"计划不完整：请填写加仓价、新止损价和风险预算",IF(OR(D974&lt;=0,E974&lt;=0,F974&lt;=0,D974&lt;=E974),"违规：加仓价必须高于新止损价，金额须大于0",IF(AND(B974&gt;1,COUNTIFS($A$2:$A$1001,A974,$B$2:$B$1001,B974-1,$G$2:$G$1001,"&gt;0")=0),"违规：须先完成上一次加仓",IF(AND(B974&gt;1,E974&lt;SUMIFS($E$2:$E$1001,$A$2:$A$1001,A974,$B$2:$B$1001,B974-1)),"违规：新止损价不得低于上一次",IF(AND(B974&gt;1,F974&gt;SUMIFS($F$2:$F$1001,$A$2:$A$1001,A974,$B$2:$B$1001,B974-1)),"违规：风险预算须逐次不增加",IF(OR(_LockStatus="已锁仓",_LockStatus="解锁信息不完整"),"违规：锁仓期间禁止加仓",IF(G974="","计划可执行：建议股数见N列",IF(OR(G974&lt;=0,G974&lt;&gt;INT(G974),MOD(G974,100)&lt;&gt;0),"违规：实际股数须为100股整数倍",IF(G974&gt;N974,"违规：实际股数超过风险或金字塔上限",IF(AND(B974&gt;1,G974&gt;SUMIFS($G$2:$G$1001,$A$2:$A$1001,A974,$B$2:$B$1001,B974-1)),"违规：加仓股数须逐次不增加",IF(Q974&gt;F974,"违规：止损风险超过本次预算","通过")))))))))))))))</f>
        <v/>
      </c>
    </row>
    <row r="975" ht="17" spans="1:18">
      <c r="A975" s="13"/>
      <c r="B975" s="14"/>
      <c r="C975" s="15"/>
      <c r="D975" s="16"/>
      <c r="E975" s="16"/>
      <c r="F975" s="16"/>
      <c r="G975" s="14"/>
      <c r="H975" s="17" t="str">
        <f t="shared" si="120"/>
        <v/>
      </c>
      <c r="I975" s="18" t="str">
        <f>IF(OR(A975="",B975=""),"",IFERROR(LOOKUP(2,1/(单次交易!$A$2:$A$201=A975),单次交易!$H$2:$H$201),0)+SUMIFS($G$2:$G$1001,$A$2:$A$1001,A975,$B$2:$B$1001,"&lt;"&amp;B975))</f>
        <v/>
      </c>
      <c r="J975" s="17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17" t="str">
        <f t="shared" si="121"/>
        <v/>
      </c>
      <c r="L975" s="18" t="str">
        <f t="shared" si="122"/>
        <v/>
      </c>
      <c r="M975" s="18" t="str">
        <f t="shared" si="123"/>
        <v/>
      </c>
      <c r="N975" s="18" t="str">
        <f t="shared" si="124"/>
        <v/>
      </c>
      <c r="O975" s="18" t="str">
        <f t="shared" si="125"/>
        <v/>
      </c>
      <c r="P975" s="17" t="str">
        <f t="shared" si="126"/>
        <v/>
      </c>
      <c r="Q975" s="17" t="str">
        <f t="shared" si="127"/>
        <v/>
      </c>
      <c r="R975" s="19" t="str">
        <f ca="1">IF(A975="","",IF(COUNTIF(_TradeIds,A975)=0,"违规：交易编号不存在",IF(OR(B975="",B975&lt;1,B975&gt;5,B975&lt;&gt;INT(B975)),"违规：加仓序号须为1到5的整数",IF(COUNTIFS($A$2:$A$1001,A975,$B$2:$B$1001,B975)&gt;1,"违规：同一交易的加仓序号重复",IF(OR(D975="",E975="",F975=""),"计划不完整：请填写加仓价、新止损价和风险预算",IF(OR(D975&lt;=0,E975&lt;=0,F975&lt;=0,D975&lt;=E975),"违规：加仓价必须高于新止损价，金额须大于0",IF(AND(B975&gt;1,COUNTIFS($A$2:$A$1001,A975,$B$2:$B$1001,B975-1,$G$2:$G$1001,"&gt;0")=0),"违规：须先完成上一次加仓",IF(AND(B975&gt;1,E975&lt;SUMIFS($E$2:$E$1001,$A$2:$A$1001,A975,$B$2:$B$1001,B975-1)),"违规：新止损价不得低于上一次",IF(AND(B975&gt;1,F975&gt;SUMIFS($F$2:$F$1001,$A$2:$A$1001,A975,$B$2:$B$1001,B975-1)),"违规：风险预算须逐次不增加",IF(OR(_LockStatus="已锁仓",_LockStatus="解锁信息不完整"),"违规：锁仓期间禁止加仓",IF(G975="","计划可执行：建议股数见N列",IF(OR(G975&lt;=0,G975&lt;&gt;INT(G975),MOD(G975,100)&lt;&gt;0),"违规：实际股数须为100股整数倍",IF(G975&gt;N975,"违规：实际股数超过风险或金字塔上限",IF(AND(B975&gt;1,G975&gt;SUMIFS($G$2:$G$1001,$A$2:$A$1001,A975,$B$2:$B$1001,B975-1)),"违规：加仓股数须逐次不增加",IF(Q975&gt;F975,"违规：止损风险超过本次预算","通过")))))))))))))))</f>
        <v/>
      </c>
    </row>
    <row r="976" ht="17" spans="1:18">
      <c r="A976" s="13"/>
      <c r="B976" s="14"/>
      <c r="C976" s="15"/>
      <c r="D976" s="16"/>
      <c r="E976" s="16"/>
      <c r="F976" s="16"/>
      <c r="G976" s="14"/>
      <c r="H976" s="17" t="str">
        <f t="shared" si="120"/>
        <v/>
      </c>
      <c r="I976" s="18" t="str">
        <f>IF(OR(A976="",B976=""),"",IFERROR(LOOKUP(2,1/(单次交易!$A$2:$A$201=A976),单次交易!$H$2:$H$201),0)+SUMIFS($G$2:$G$1001,$A$2:$A$1001,A976,$B$2:$B$1001,"&lt;"&amp;B976))</f>
        <v/>
      </c>
      <c r="J976" s="17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17" t="str">
        <f t="shared" si="121"/>
        <v/>
      </c>
      <c r="L976" s="18" t="str">
        <f t="shared" si="122"/>
        <v/>
      </c>
      <c r="M976" s="18" t="str">
        <f t="shared" si="123"/>
        <v/>
      </c>
      <c r="N976" s="18" t="str">
        <f t="shared" si="124"/>
        <v/>
      </c>
      <c r="O976" s="18" t="str">
        <f t="shared" si="125"/>
        <v/>
      </c>
      <c r="P976" s="17" t="str">
        <f t="shared" si="126"/>
        <v/>
      </c>
      <c r="Q976" s="17" t="str">
        <f t="shared" si="127"/>
        <v/>
      </c>
      <c r="R976" s="19" t="str">
        <f ca="1">IF(A976="","",IF(COUNTIF(_TradeIds,A976)=0,"违规：交易编号不存在",IF(OR(B976="",B976&lt;1,B976&gt;5,B976&lt;&gt;INT(B976)),"违规：加仓序号须为1到5的整数",IF(COUNTIFS($A$2:$A$1001,A976,$B$2:$B$1001,B976)&gt;1,"违规：同一交易的加仓序号重复",IF(OR(D976="",E976="",F976=""),"计划不完整：请填写加仓价、新止损价和风险预算",IF(OR(D976&lt;=0,E976&lt;=0,F976&lt;=0,D976&lt;=E976),"违规：加仓价必须高于新止损价，金额须大于0",IF(AND(B976&gt;1,COUNTIFS($A$2:$A$1001,A976,$B$2:$B$1001,B976-1,$G$2:$G$1001,"&gt;0")=0),"违规：须先完成上一次加仓",IF(AND(B976&gt;1,E976&lt;SUMIFS($E$2:$E$1001,$A$2:$A$1001,A976,$B$2:$B$1001,B976-1)),"违规：新止损价不得低于上一次",IF(AND(B976&gt;1,F976&gt;SUMIFS($F$2:$F$1001,$A$2:$A$1001,A976,$B$2:$B$1001,B976-1)),"违规：风险预算须逐次不增加",IF(OR(_LockStatus="已锁仓",_LockStatus="解锁信息不完整"),"违规：锁仓期间禁止加仓",IF(G976="","计划可执行：建议股数见N列",IF(OR(G976&lt;=0,G976&lt;&gt;INT(G976),MOD(G976,100)&lt;&gt;0),"违规：实际股数须为100股整数倍",IF(G976&gt;N976,"违规：实际股数超过风险或金字塔上限",IF(AND(B976&gt;1,G976&gt;SUMIFS($G$2:$G$1001,$A$2:$A$1001,A976,$B$2:$B$1001,B976-1)),"违规：加仓股数须逐次不增加",IF(Q976&gt;F976,"违规：止损风险超过本次预算","通过")))))))))))))))</f>
        <v/>
      </c>
    </row>
    <row r="977" ht="17" spans="1:18">
      <c r="A977" s="13"/>
      <c r="B977" s="14"/>
      <c r="C977" s="15"/>
      <c r="D977" s="16"/>
      <c r="E977" s="16"/>
      <c r="F977" s="16"/>
      <c r="G977" s="14"/>
      <c r="H977" s="17" t="str">
        <f t="shared" si="120"/>
        <v/>
      </c>
      <c r="I977" s="18" t="str">
        <f>IF(OR(A977="",B977=""),"",IFERROR(LOOKUP(2,1/(单次交易!$A$2:$A$201=A977),单次交易!$H$2:$H$201),0)+SUMIFS($G$2:$G$1001,$A$2:$A$1001,A977,$B$2:$B$1001,"&lt;"&amp;B977))</f>
        <v/>
      </c>
      <c r="J977" s="17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17" t="str">
        <f t="shared" si="121"/>
        <v/>
      </c>
      <c r="L977" s="18" t="str">
        <f t="shared" si="122"/>
        <v/>
      </c>
      <c r="M977" s="18" t="str">
        <f t="shared" si="123"/>
        <v/>
      </c>
      <c r="N977" s="18" t="str">
        <f t="shared" si="124"/>
        <v/>
      </c>
      <c r="O977" s="18" t="str">
        <f t="shared" si="125"/>
        <v/>
      </c>
      <c r="P977" s="17" t="str">
        <f t="shared" si="126"/>
        <v/>
      </c>
      <c r="Q977" s="17" t="str">
        <f t="shared" si="127"/>
        <v/>
      </c>
      <c r="R977" s="19" t="str">
        <f ca="1">IF(A977="","",IF(COUNTIF(_TradeIds,A977)=0,"违规：交易编号不存在",IF(OR(B977="",B977&lt;1,B977&gt;5,B977&lt;&gt;INT(B977)),"违规：加仓序号须为1到5的整数",IF(COUNTIFS($A$2:$A$1001,A977,$B$2:$B$1001,B977)&gt;1,"违规：同一交易的加仓序号重复",IF(OR(D977="",E977="",F977=""),"计划不完整：请填写加仓价、新止损价和风险预算",IF(OR(D977&lt;=0,E977&lt;=0,F977&lt;=0,D977&lt;=E977),"违规：加仓价必须高于新止损价，金额须大于0",IF(AND(B977&gt;1,COUNTIFS($A$2:$A$1001,A977,$B$2:$B$1001,B977-1,$G$2:$G$1001,"&gt;0")=0),"违规：须先完成上一次加仓",IF(AND(B977&gt;1,E977&lt;SUMIFS($E$2:$E$1001,$A$2:$A$1001,A977,$B$2:$B$1001,B977-1)),"违规：新止损价不得低于上一次",IF(AND(B977&gt;1,F977&gt;SUMIFS($F$2:$F$1001,$A$2:$A$1001,A977,$B$2:$B$1001,B977-1)),"违规：风险预算须逐次不增加",IF(OR(_LockStatus="已锁仓",_LockStatus="解锁信息不完整"),"违规：锁仓期间禁止加仓",IF(G977="","计划可执行：建议股数见N列",IF(OR(G977&lt;=0,G977&lt;&gt;INT(G977),MOD(G977,100)&lt;&gt;0),"违规：实际股数须为100股整数倍",IF(G977&gt;N977,"违规：实际股数超过风险或金字塔上限",IF(AND(B977&gt;1,G977&gt;SUMIFS($G$2:$G$1001,$A$2:$A$1001,A977,$B$2:$B$1001,B977-1)),"违规：加仓股数须逐次不增加",IF(Q977&gt;F977,"违规：止损风险超过本次预算","通过")))))))))))))))</f>
        <v/>
      </c>
    </row>
    <row r="978" ht="17" spans="1:18">
      <c r="A978" s="13"/>
      <c r="B978" s="14"/>
      <c r="C978" s="15"/>
      <c r="D978" s="16"/>
      <c r="E978" s="16"/>
      <c r="F978" s="16"/>
      <c r="G978" s="14"/>
      <c r="H978" s="17" t="str">
        <f t="shared" si="120"/>
        <v/>
      </c>
      <c r="I978" s="18" t="str">
        <f>IF(OR(A978="",B978=""),"",IFERROR(LOOKUP(2,1/(单次交易!$A$2:$A$201=A978),单次交易!$H$2:$H$201),0)+SUMIFS($G$2:$G$1001,$A$2:$A$1001,A978,$B$2:$B$1001,"&lt;"&amp;B978))</f>
        <v/>
      </c>
      <c r="J978" s="17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17" t="str">
        <f t="shared" si="121"/>
        <v/>
      </c>
      <c r="L978" s="18" t="str">
        <f t="shared" si="122"/>
        <v/>
      </c>
      <c r="M978" s="18" t="str">
        <f t="shared" si="123"/>
        <v/>
      </c>
      <c r="N978" s="18" t="str">
        <f t="shared" si="124"/>
        <v/>
      </c>
      <c r="O978" s="18" t="str">
        <f t="shared" si="125"/>
        <v/>
      </c>
      <c r="P978" s="17" t="str">
        <f t="shared" si="126"/>
        <v/>
      </c>
      <c r="Q978" s="17" t="str">
        <f t="shared" si="127"/>
        <v/>
      </c>
      <c r="R978" s="19" t="str">
        <f ca="1">IF(A978="","",IF(COUNTIF(_TradeIds,A978)=0,"违规：交易编号不存在",IF(OR(B978="",B978&lt;1,B978&gt;5,B978&lt;&gt;INT(B978)),"违规：加仓序号须为1到5的整数",IF(COUNTIFS($A$2:$A$1001,A978,$B$2:$B$1001,B978)&gt;1,"违规：同一交易的加仓序号重复",IF(OR(D978="",E978="",F978=""),"计划不完整：请填写加仓价、新止损价和风险预算",IF(OR(D978&lt;=0,E978&lt;=0,F978&lt;=0,D978&lt;=E978),"违规：加仓价必须高于新止损价，金额须大于0",IF(AND(B978&gt;1,COUNTIFS($A$2:$A$1001,A978,$B$2:$B$1001,B978-1,$G$2:$G$1001,"&gt;0")=0),"违规：须先完成上一次加仓",IF(AND(B978&gt;1,E978&lt;SUMIFS($E$2:$E$1001,$A$2:$A$1001,A978,$B$2:$B$1001,B978-1)),"违规：新止损价不得低于上一次",IF(AND(B978&gt;1,F978&gt;SUMIFS($F$2:$F$1001,$A$2:$A$1001,A978,$B$2:$B$1001,B978-1)),"违规：风险预算须逐次不增加",IF(OR(_LockStatus="已锁仓",_LockStatus="解锁信息不完整"),"违规：锁仓期间禁止加仓",IF(G978="","计划可执行：建议股数见N列",IF(OR(G978&lt;=0,G978&lt;&gt;INT(G978),MOD(G978,100)&lt;&gt;0),"违规：实际股数须为100股整数倍",IF(G978&gt;N978,"违规：实际股数超过风险或金字塔上限",IF(AND(B978&gt;1,G978&gt;SUMIFS($G$2:$G$1001,$A$2:$A$1001,A978,$B$2:$B$1001,B978-1)),"违规：加仓股数须逐次不增加",IF(Q978&gt;F978,"违规：止损风险超过本次预算","通过")))))))))))))))</f>
        <v/>
      </c>
    </row>
    <row r="979" ht="17" spans="1:18">
      <c r="A979" s="13"/>
      <c r="B979" s="14"/>
      <c r="C979" s="15"/>
      <c r="D979" s="16"/>
      <c r="E979" s="16"/>
      <c r="F979" s="16"/>
      <c r="G979" s="14"/>
      <c r="H979" s="17" t="str">
        <f t="shared" si="120"/>
        <v/>
      </c>
      <c r="I979" s="18" t="str">
        <f>IF(OR(A979="",B979=""),"",IFERROR(LOOKUP(2,1/(单次交易!$A$2:$A$201=A979),单次交易!$H$2:$H$201),0)+SUMIFS($G$2:$G$1001,$A$2:$A$1001,A979,$B$2:$B$1001,"&lt;"&amp;B979))</f>
        <v/>
      </c>
      <c r="J979" s="17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17" t="str">
        <f t="shared" si="121"/>
        <v/>
      </c>
      <c r="L979" s="18" t="str">
        <f t="shared" si="122"/>
        <v/>
      </c>
      <c r="M979" s="18" t="str">
        <f t="shared" si="123"/>
        <v/>
      </c>
      <c r="N979" s="18" t="str">
        <f t="shared" si="124"/>
        <v/>
      </c>
      <c r="O979" s="18" t="str">
        <f t="shared" si="125"/>
        <v/>
      </c>
      <c r="P979" s="17" t="str">
        <f t="shared" si="126"/>
        <v/>
      </c>
      <c r="Q979" s="17" t="str">
        <f t="shared" si="127"/>
        <v/>
      </c>
      <c r="R979" s="19" t="str">
        <f ca="1">IF(A979="","",IF(COUNTIF(_TradeIds,A979)=0,"违规：交易编号不存在",IF(OR(B979="",B979&lt;1,B979&gt;5,B979&lt;&gt;INT(B979)),"违规：加仓序号须为1到5的整数",IF(COUNTIFS($A$2:$A$1001,A979,$B$2:$B$1001,B979)&gt;1,"违规：同一交易的加仓序号重复",IF(OR(D979="",E979="",F979=""),"计划不完整：请填写加仓价、新止损价和风险预算",IF(OR(D979&lt;=0,E979&lt;=0,F979&lt;=0,D979&lt;=E979),"违规：加仓价必须高于新止损价，金额须大于0",IF(AND(B979&gt;1,COUNTIFS($A$2:$A$1001,A979,$B$2:$B$1001,B979-1,$G$2:$G$1001,"&gt;0")=0),"违规：须先完成上一次加仓",IF(AND(B979&gt;1,E979&lt;SUMIFS($E$2:$E$1001,$A$2:$A$1001,A979,$B$2:$B$1001,B979-1)),"违规：新止损价不得低于上一次",IF(AND(B979&gt;1,F979&gt;SUMIFS($F$2:$F$1001,$A$2:$A$1001,A979,$B$2:$B$1001,B979-1)),"违规：风险预算须逐次不增加",IF(OR(_LockStatus="已锁仓",_LockStatus="解锁信息不完整"),"违规：锁仓期间禁止加仓",IF(G979="","计划可执行：建议股数见N列",IF(OR(G979&lt;=0,G979&lt;&gt;INT(G979),MOD(G979,100)&lt;&gt;0),"违规：实际股数须为100股整数倍",IF(G979&gt;N979,"违规：实际股数超过风险或金字塔上限",IF(AND(B979&gt;1,G979&gt;SUMIFS($G$2:$G$1001,$A$2:$A$1001,A979,$B$2:$B$1001,B979-1)),"违规：加仓股数须逐次不增加",IF(Q979&gt;F979,"违规：止损风险超过本次预算","通过")))))))))))))))</f>
        <v/>
      </c>
    </row>
    <row r="980" ht="17" spans="1:18">
      <c r="A980" s="13"/>
      <c r="B980" s="14"/>
      <c r="C980" s="15"/>
      <c r="D980" s="16"/>
      <c r="E980" s="16"/>
      <c r="F980" s="16"/>
      <c r="G980" s="14"/>
      <c r="H980" s="17" t="str">
        <f t="shared" si="120"/>
        <v/>
      </c>
      <c r="I980" s="18" t="str">
        <f>IF(OR(A980="",B980=""),"",IFERROR(LOOKUP(2,1/(单次交易!$A$2:$A$201=A980),单次交易!$H$2:$H$201),0)+SUMIFS($G$2:$G$1001,$A$2:$A$1001,A980,$B$2:$B$1001,"&lt;"&amp;B980))</f>
        <v/>
      </c>
      <c r="J980" s="17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17" t="str">
        <f t="shared" si="121"/>
        <v/>
      </c>
      <c r="L980" s="18" t="str">
        <f t="shared" si="122"/>
        <v/>
      </c>
      <c r="M980" s="18" t="str">
        <f t="shared" si="123"/>
        <v/>
      </c>
      <c r="N980" s="18" t="str">
        <f t="shared" si="124"/>
        <v/>
      </c>
      <c r="O980" s="18" t="str">
        <f t="shared" si="125"/>
        <v/>
      </c>
      <c r="P980" s="17" t="str">
        <f t="shared" si="126"/>
        <v/>
      </c>
      <c r="Q980" s="17" t="str">
        <f t="shared" si="127"/>
        <v/>
      </c>
      <c r="R980" s="19" t="str">
        <f ca="1">IF(A980="","",IF(COUNTIF(_TradeIds,A980)=0,"违规：交易编号不存在",IF(OR(B980="",B980&lt;1,B980&gt;5,B980&lt;&gt;INT(B980)),"违规：加仓序号须为1到5的整数",IF(COUNTIFS($A$2:$A$1001,A980,$B$2:$B$1001,B980)&gt;1,"违规：同一交易的加仓序号重复",IF(OR(D980="",E980="",F980=""),"计划不完整：请填写加仓价、新止损价和风险预算",IF(OR(D980&lt;=0,E980&lt;=0,F980&lt;=0,D980&lt;=E980),"违规：加仓价必须高于新止损价，金额须大于0",IF(AND(B980&gt;1,COUNTIFS($A$2:$A$1001,A980,$B$2:$B$1001,B980-1,$G$2:$G$1001,"&gt;0")=0),"违规：须先完成上一次加仓",IF(AND(B980&gt;1,E980&lt;SUMIFS($E$2:$E$1001,$A$2:$A$1001,A980,$B$2:$B$1001,B980-1)),"违规：新止损价不得低于上一次",IF(AND(B980&gt;1,F980&gt;SUMIFS($F$2:$F$1001,$A$2:$A$1001,A980,$B$2:$B$1001,B980-1)),"违规：风险预算须逐次不增加",IF(OR(_LockStatus="已锁仓",_LockStatus="解锁信息不完整"),"违规：锁仓期间禁止加仓",IF(G980="","计划可执行：建议股数见N列",IF(OR(G980&lt;=0,G980&lt;&gt;INT(G980),MOD(G980,100)&lt;&gt;0),"违规：实际股数须为100股整数倍",IF(G980&gt;N980,"违规：实际股数超过风险或金字塔上限",IF(AND(B980&gt;1,G980&gt;SUMIFS($G$2:$G$1001,$A$2:$A$1001,A980,$B$2:$B$1001,B980-1)),"违规：加仓股数须逐次不增加",IF(Q980&gt;F980,"违规：止损风险超过本次预算","通过")))))))))))))))</f>
        <v/>
      </c>
    </row>
    <row r="981" ht="17" spans="1:18">
      <c r="A981" s="13"/>
      <c r="B981" s="14"/>
      <c r="C981" s="15"/>
      <c r="D981" s="16"/>
      <c r="E981" s="16"/>
      <c r="F981" s="16"/>
      <c r="G981" s="14"/>
      <c r="H981" s="17" t="str">
        <f t="shared" si="120"/>
        <v/>
      </c>
      <c r="I981" s="18" t="str">
        <f>IF(OR(A981="",B981=""),"",IFERROR(LOOKUP(2,1/(单次交易!$A$2:$A$201=A981),单次交易!$H$2:$H$201),0)+SUMIFS($G$2:$G$1001,$A$2:$A$1001,A981,$B$2:$B$1001,"&lt;"&amp;B981))</f>
        <v/>
      </c>
      <c r="J981" s="17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17" t="str">
        <f t="shared" si="121"/>
        <v/>
      </c>
      <c r="L981" s="18" t="str">
        <f t="shared" si="122"/>
        <v/>
      </c>
      <c r="M981" s="18" t="str">
        <f t="shared" si="123"/>
        <v/>
      </c>
      <c r="N981" s="18" t="str">
        <f t="shared" si="124"/>
        <v/>
      </c>
      <c r="O981" s="18" t="str">
        <f t="shared" si="125"/>
        <v/>
      </c>
      <c r="P981" s="17" t="str">
        <f t="shared" si="126"/>
        <v/>
      </c>
      <c r="Q981" s="17" t="str">
        <f t="shared" si="127"/>
        <v/>
      </c>
      <c r="R981" s="19" t="str">
        <f ca="1">IF(A981="","",IF(COUNTIF(_TradeIds,A981)=0,"违规：交易编号不存在",IF(OR(B981="",B981&lt;1,B981&gt;5,B981&lt;&gt;INT(B981)),"违规：加仓序号须为1到5的整数",IF(COUNTIFS($A$2:$A$1001,A981,$B$2:$B$1001,B981)&gt;1,"违规：同一交易的加仓序号重复",IF(OR(D981="",E981="",F981=""),"计划不完整：请填写加仓价、新止损价和风险预算",IF(OR(D981&lt;=0,E981&lt;=0,F981&lt;=0,D981&lt;=E981),"违规：加仓价必须高于新止损价，金额须大于0",IF(AND(B981&gt;1,COUNTIFS($A$2:$A$1001,A981,$B$2:$B$1001,B981-1,$G$2:$G$1001,"&gt;0")=0),"违规：须先完成上一次加仓",IF(AND(B981&gt;1,E981&lt;SUMIFS($E$2:$E$1001,$A$2:$A$1001,A981,$B$2:$B$1001,B981-1)),"违规：新止损价不得低于上一次",IF(AND(B981&gt;1,F981&gt;SUMIFS($F$2:$F$1001,$A$2:$A$1001,A981,$B$2:$B$1001,B981-1)),"违规：风险预算须逐次不增加",IF(OR(_LockStatus="已锁仓",_LockStatus="解锁信息不完整"),"违规：锁仓期间禁止加仓",IF(G981="","计划可执行：建议股数见N列",IF(OR(G981&lt;=0,G981&lt;&gt;INT(G981),MOD(G981,100)&lt;&gt;0),"违规：实际股数须为100股整数倍",IF(G981&gt;N981,"违规：实际股数超过风险或金字塔上限",IF(AND(B981&gt;1,G981&gt;SUMIFS($G$2:$G$1001,$A$2:$A$1001,A981,$B$2:$B$1001,B981-1)),"违规：加仓股数须逐次不增加",IF(Q981&gt;F981,"违规：止损风险超过本次预算","通过")))))))))))))))</f>
        <v/>
      </c>
    </row>
    <row r="982" ht="17" spans="1:18">
      <c r="A982" s="13"/>
      <c r="B982" s="14"/>
      <c r="C982" s="15"/>
      <c r="D982" s="16"/>
      <c r="E982" s="16"/>
      <c r="F982" s="16"/>
      <c r="G982" s="14"/>
      <c r="H982" s="17" t="str">
        <f t="shared" si="120"/>
        <v/>
      </c>
      <c r="I982" s="18" t="str">
        <f>IF(OR(A982="",B982=""),"",IFERROR(LOOKUP(2,1/(单次交易!$A$2:$A$201=A982),单次交易!$H$2:$H$201),0)+SUMIFS($G$2:$G$1001,$A$2:$A$1001,A982,$B$2:$B$1001,"&lt;"&amp;B982))</f>
        <v/>
      </c>
      <c r="J982" s="17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17" t="str">
        <f t="shared" si="121"/>
        <v/>
      </c>
      <c r="L982" s="18" t="str">
        <f t="shared" si="122"/>
        <v/>
      </c>
      <c r="M982" s="18" t="str">
        <f t="shared" si="123"/>
        <v/>
      </c>
      <c r="N982" s="18" t="str">
        <f t="shared" si="124"/>
        <v/>
      </c>
      <c r="O982" s="18" t="str">
        <f t="shared" si="125"/>
        <v/>
      </c>
      <c r="P982" s="17" t="str">
        <f t="shared" si="126"/>
        <v/>
      </c>
      <c r="Q982" s="17" t="str">
        <f t="shared" si="127"/>
        <v/>
      </c>
      <c r="R982" s="19" t="str">
        <f ca="1">IF(A982="","",IF(COUNTIF(_TradeIds,A982)=0,"违规：交易编号不存在",IF(OR(B982="",B982&lt;1,B982&gt;5,B982&lt;&gt;INT(B982)),"违规：加仓序号须为1到5的整数",IF(COUNTIFS($A$2:$A$1001,A982,$B$2:$B$1001,B982)&gt;1,"违规：同一交易的加仓序号重复",IF(OR(D982="",E982="",F982=""),"计划不完整：请填写加仓价、新止损价和风险预算",IF(OR(D982&lt;=0,E982&lt;=0,F982&lt;=0,D982&lt;=E982),"违规：加仓价必须高于新止损价，金额须大于0",IF(AND(B982&gt;1,COUNTIFS($A$2:$A$1001,A982,$B$2:$B$1001,B982-1,$G$2:$G$1001,"&gt;0")=0),"违规：须先完成上一次加仓",IF(AND(B982&gt;1,E982&lt;SUMIFS($E$2:$E$1001,$A$2:$A$1001,A982,$B$2:$B$1001,B982-1)),"违规：新止损价不得低于上一次",IF(AND(B982&gt;1,F982&gt;SUMIFS($F$2:$F$1001,$A$2:$A$1001,A982,$B$2:$B$1001,B982-1)),"违规：风险预算须逐次不增加",IF(OR(_LockStatus="已锁仓",_LockStatus="解锁信息不完整"),"违规：锁仓期间禁止加仓",IF(G982="","计划可执行：建议股数见N列",IF(OR(G982&lt;=0,G982&lt;&gt;INT(G982),MOD(G982,100)&lt;&gt;0),"违规：实际股数须为100股整数倍",IF(G982&gt;N982,"违规：实际股数超过风险或金字塔上限",IF(AND(B982&gt;1,G982&gt;SUMIFS($G$2:$G$1001,$A$2:$A$1001,A982,$B$2:$B$1001,B982-1)),"违规：加仓股数须逐次不增加",IF(Q982&gt;F982,"违规：止损风险超过本次预算","通过")))))))))))))))</f>
        <v/>
      </c>
    </row>
    <row r="983" ht="17" spans="1:18">
      <c r="A983" s="13"/>
      <c r="B983" s="14"/>
      <c r="C983" s="15"/>
      <c r="D983" s="16"/>
      <c r="E983" s="16"/>
      <c r="F983" s="16"/>
      <c r="G983" s="14"/>
      <c r="H983" s="17" t="str">
        <f t="shared" si="120"/>
        <v/>
      </c>
      <c r="I983" s="18" t="str">
        <f>IF(OR(A983="",B983=""),"",IFERROR(LOOKUP(2,1/(单次交易!$A$2:$A$201=A983),单次交易!$H$2:$H$201),0)+SUMIFS($G$2:$G$1001,$A$2:$A$1001,A983,$B$2:$B$1001,"&lt;"&amp;B983))</f>
        <v/>
      </c>
      <c r="J983" s="17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17" t="str">
        <f t="shared" si="121"/>
        <v/>
      </c>
      <c r="L983" s="18" t="str">
        <f t="shared" si="122"/>
        <v/>
      </c>
      <c r="M983" s="18" t="str">
        <f t="shared" si="123"/>
        <v/>
      </c>
      <c r="N983" s="18" t="str">
        <f t="shared" si="124"/>
        <v/>
      </c>
      <c r="O983" s="18" t="str">
        <f t="shared" si="125"/>
        <v/>
      </c>
      <c r="P983" s="17" t="str">
        <f t="shared" si="126"/>
        <v/>
      </c>
      <c r="Q983" s="17" t="str">
        <f t="shared" si="127"/>
        <v/>
      </c>
      <c r="R983" s="19" t="str">
        <f ca="1">IF(A983="","",IF(COUNTIF(_TradeIds,A983)=0,"违规：交易编号不存在",IF(OR(B983="",B983&lt;1,B983&gt;5,B983&lt;&gt;INT(B983)),"违规：加仓序号须为1到5的整数",IF(COUNTIFS($A$2:$A$1001,A983,$B$2:$B$1001,B983)&gt;1,"违规：同一交易的加仓序号重复",IF(OR(D983="",E983="",F983=""),"计划不完整：请填写加仓价、新止损价和风险预算",IF(OR(D983&lt;=0,E983&lt;=0,F983&lt;=0,D983&lt;=E983),"违规：加仓价必须高于新止损价，金额须大于0",IF(AND(B983&gt;1,COUNTIFS($A$2:$A$1001,A983,$B$2:$B$1001,B983-1,$G$2:$G$1001,"&gt;0")=0),"违规：须先完成上一次加仓",IF(AND(B983&gt;1,E983&lt;SUMIFS($E$2:$E$1001,$A$2:$A$1001,A983,$B$2:$B$1001,B983-1)),"违规：新止损价不得低于上一次",IF(AND(B983&gt;1,F983&gt;SUMIFS($F$2:$F$1001,$A$2:$A$1001,A983,$B$2:$B$1001,B983-1)),"违规：风险预算须逐次不增加",IF(OR(_LockStatus="已锁仓",_LockStatus="解锁信息不完整"),"违规：锁仓期间禁止加仓",IF(G983="","计划可执行：建议股数见N列",IF(OR(G983&lt;=0,G983&lt;&gt;INT(G983),MOD(G983,100)&lt;&gt;0),"违规：实际股数须为100股整数倍",IF(G983&gt;N983,"违规：实际股数超过风险或金字塔上限",IF(AND(B983&gt;1,G983&gt;SUMIFS($G$2:$G$1001,$A$2:$A$1001,A983,$B$2:$B$1001,B983-1)),"违规：加仓股数须逐次不增加",IF(Q983&gt;F983,"违规：止损风险超过本次预算","通过")))))))))))))))</f>
        <v/>
      </c>
    </row>
    <row r="984" ht="17" spans="1:18">
      <c r="A984" s="13"/>
      <c r="B984" s="14"/>
      <c r="C984" s="15"/>
      <c r="D984" s="16"/>
      <c r="E984" s="16"/>
      <c r="F984" s="16"/>
      <c r="G984" s="14"/>
      <c r="H984" s="17" t="str">
        <f t="shared" si="120"/>
        <v/>
      </c>
      <c r="I984" s="18" t="str">
        <f>IF(OR(A984="",B984=""),"",IFERROR(LOOKUP(2,1/(单次交易!$A$2:$A$201=A984),单次交易!$H$2:$H$201),0)+SUMIFS($G$2:$G$1001,$A$2:$A$1001,A984,$B$2:$B$1001,"&lt;"&amp;B984))</f>
        <v/>
      </c>
      <c r="J984" s="17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17" t="str">
        <f t="shared" si="121"/>
        <v/>
      </c>
      <c r="L984" s="18" t="str">
        <f t="shared" si="122"/>
        <v/>
      </c>
      <c r="M984" s="18" t="str">
        <f t="shared" si="123"/>
        <v/>
      </c>
      <c r="N984" s="18" t="str">
        <f t="shared" si="124"/>
        <v/>
      </c>
      <c r="O984" s="18" t="str">
        <f t="shared" si="125"/>
        <v/>
      </c>
      <c r="P984" s="17" t="str">
        <f t="shared" si="126"/>
        <v/>
      </c>
      <c r="Q984" s="17" t="str">
        <f t="shared" si="127"/>
        <v/>
      </c>
      <c r="R984" s="19" t="str">
        <f ca="1">IF(A984="","",IF(COUNTIF(_TradeIds,A984)=0,"违规：交易编号不存在",IF(OR(B984="",B984&lt;1,B984&gt;5,B984&lt;&gt;INT(B984)),"违规：加仓序号须为1到5的整数",IF(COUNTIFS($A$2:$A$1001,A984,$B$2:$B$1001,B984)&gt;1,"违规：同一交易的加仓序号重复",IF(OR(D984="",E984="",F984=""),"计划不完整：请填写加仓价、新止损价和风险预算",IF(OR(D984&lt;=0,E984&lt;=0,F984&lt;=0,D984&lt;=E984),"违规：加仓价必须高于新止损价，金额须大于0",IF(AND(B984&gt;1,COUNTIFS($A$2:$A$1001,A984,$B$2:$B$1001,B984-1,$G$2:$G$1001,"&gt;0")=0),"违规：须先完成上一次加仓",IF(AND(B984&gt;1,E984&lt;SUMIFS($E$2:$E$1001,$A$2:$A$1001,A984,$B$2:$B$1001,B984-1)),"违规：新止损价不得低于上一次",IF(AND(B984&gt;1,F984&gt;SUMIFS($F$2:$F$1001,$A$2:$A$1001,A984,$B$2:$B$1001,B984-1)),"违规：风险预算须逐次不增加",IF(OR(_LockStatus="已锁仓",_LockStatus="解锁信息不完整"),"违规：锁仓期间禁止加仓",IF(G984="","计划可执行：建议股数见N列",IF(OR(G984&lt;=0,G984&lt;&gt;INT(G984),MOD(G984,100)&lt;&gt;0),"违规：实际股数须为100股整数倍",IF(G984&gt;N984,"违规：实际股数超过风险或金字塔上限",IF(AND(B984&gt;1,G984&gt;SUMIFS($G$2:$G$1001,$A$2:$A$1001,A984,$B$2:$B$1001,B984-1)),"违规：加仓股数须逐次不增加",IF(Q984&gt;F984,"违规：止损风险超过本次预算","通过")))))))))))))))</f>
        <v/>
      </c>
    </row>
    <row r="985" ht="17" spans="1:18">
      <c r="A985" s="13"/>
      <c r="B985" s="14"/>
      <c r="C985" s="15"/>
      <c r="D985" s="16"/>
      <c r="E985" s="16"/>
      <c r="F985" s="16"/>
      <c r="G985" s="14"/>
      <c r="H985" s="17" t="str">
        <f t="shared" si="120"/>
        <v/>
      </c>
      <c r="I985" s="18" t="str">
        <f>IF(OR(A985="",B985=""),"",IFERROR(LOOKUP(2,1/(单次交易!$A$2:$A$201=A985),单次交易!$H$2:$H$201),0)+SUMIFS($G$2:$G$1001,$A$2:$A$1001,A985,$B$2:$B$1001,"&lt;"&amp;B985))</f>
        <v/>
      </c>
      <c r="J985" s="17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17" t="str">
        <f t="shared" si="121"/>
        <v/>
      </c>
      <c r="L985" s="18" t="str">
        <f t="shared" si="122"/>
        <v/>
      </c>
      <c r="M985" s="18" t="str">
        <f t="shared" si="123"/>
        <v/>
      </c>
      <c r="N985" s="18" t="str">
        <f t="shared" si="124"/>
        <v/>
      </c>
      <c r="O985" s="18" t="str">
        <f t="shared" si="125"/>
        <v/>
      </c>
      <c r="P985" s="17" t="str">
        <f t="shared" si="126"/>
        <v/>
      </c>
      <c r="Q985" s="17" t="str">
        <f t="shared" si="127"/>
        <v/>
      </c>
      <c r="R985" s="19" t="str">
        <f ca="1">IF(A985="","",IF(COUNTIF(_TradeIds,A985)=0,"违规：交易编号不存在",IF(OR(B985="",B985&lt;1,B985&gt;5,B985&lt;&gt;INT(B985)),"违规：加仓序号须为1到5的整数",IF(COUNTIFS($A$2:$A$1001,A985,$B$2:$B$1001,B985)&gt;1,"违规：同一交易的加仓序号重复",IF(OR(D985="",E985="",F985=""),"计划不完整：请填写加仓价、新止损价和风险预算",IF(OR(D985&lt;=0,E985&lt;=0,F985&lt;=0,D985&lt;=E985),"违规：加仓价必须高于新止损价，金额须大于0",IF(AND(B985&gt;1,COUNTIFS($A$2:$A$1001,A985,$B$2:$B$1001,B985-1,$G$2:$G$1001,"&gt;0")=0),"违规：须先完成上一次加仓",IF(AND(B985&gt;1,E985&lt;SUMIFS($E$2:$E$1001,$A$2:$A$1001,A985,$B$2:$B$1001,B985-1)),"违规：新止损价不得低于上一次",IF(AND(B985&gt;1,F985&gt;SUMIFS($F$2:$F$1001,$A$2:$A$1001,A985,$B$2:$B$1001,B985-1)),"违规：风险预算须逐次不增加",IF(OR(_LockStatus="已锁仓",_LockStatus="解锁信息不完整"),"违规：锁仓期间禁止加仓",IF(G985="","计划可执行：建议股数见N列",IF(OR(G985&lt;=0,G985&lt;&gt;INT(G985),MOD(G985,100)&lt;&gt;0),"违规：实际股数须为100股整数倍",IF(G985&gt;N985,"违规：实际股数超过风险或金字塔上限",IF(AND(B985&gt;1,G985&gt;SUMIFS($G$2:$G$1001,$A$2:$A$1001,A985,$B$2:$B$1001,B985-1)),"违规：加仓股数须逐次不增加",IF(Q985&gt;F985,"违规：止损风险超过本次预算","通过")))))))))))))))</f>
        <v/>
      </c>
    </row>
    <row r="986" ht="17" spans="1:18">
      <c r="A986" s="13"/>
      <c r="B986" s="14"/>
      <c r="C986" s="15"/>
      <c r="D986" s="16"/>
      <c r="E986" s="16"/>
      <c r="F986" s="16"/>
      <c r="G986" s="14"/>
      <c r="H986" s="17" t="str">
        <f t="shared" si="120"/>
        <v/>
      </c>
      <c r="I986" s="18" t="str">
        <f>IF(OR(A986="",B986=""),"",IFERROR(LOOKUP(2,1/(单次交易!$A$2:$A$201=A986),单次交易!$H$2:$H$201),0)+SUMIFS($G$2:$G$1001,$A$2:$A$1001,A986,$B$2:$B$1001,"&lt;"&amp;B986))</f>
        <v/>
      </c>
      <c r="J986" s="17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17" t="str">
        <f t="shared" si="121"/>
        <v/>
      </c>
      <c r="L986" s="18" t="str">
        <f t="shared" si="122"/>
        <v/>
      </c>
      <c r="M986" s="18" t="str">
        <f t="shared" si="123"/>
        <v/>
      </c>
      <c r="N986" s="18" t="str">
        <f t="shared" si="124"/>
        <v/>
      </c>
      <c r="O986" s="18" t="str">
        <f t="shared" si="125"/>
        <v/>
      </c>
      <c r="P986" s="17" t="str">
        <f t="shared" si="126"/>
        <v/>
      </c>
      <c r="Q986" s="17" t="str">
        <f t="shared" si="127"/>
        <v/>
      </c>
      <c r="R986" s="19" t="str">
        <f ca="1">IF(A986="","",IF(COUNTIF(_TradeIds,A986)=0,"违规：交易编号不存在",IF(OR(B986="",B986&lt;1,B986&gt;5,B986&lt;&gt;INT(B986)),"违规：加仓序号须为1到5的整数",IF(COUNTIFS($A$2:$A$1001,A986,$B$2:$B$1001,B986)&gt;1,"违规：同一交易的加仓序号重复",IF(OR(D986="",E986="",F986=""),"计划不完整：请填写加仓价、新止损价和风险预算",IF(OR(D986&lt;=0,E986&lt;=0,F986&lt;=0,D986&lt;=E986),"违规：加仓价必须高于新止损价，金额须大于0",IF(AND(B986&gt;1,COUNTIFS($A$2:$A$1001,A986,$B$2:$B$1001,B986-1,$G$2:$G$1001,"&gt;0")=0),"违规：须先完成上一次加仓",IF(AND(B986&gt;1,E986&lt;SUMIFS($E$2:$E$1001,$A$2:$A$1001,A986,$B$2:$B$1001,B986-1)),"违规：新止损价不得低于上一次",IF(AND(B986&gt;1,F986&gt;SUMIFS($F$2:$F$1001,$A$2:$A$1001,A986,$B$2:$B$1001,B986-1)),"违规：风险预算须逐次不增加",IF(OR(_LockStatus="已锁仓",_LockStatus="解锁信息不完整"),"违规：锁仓期间禁止加仓",IF(G986="","计划可执行：建议股数见N列",IF(OR(G986&lt;=0,G986&lt;&gt;INT(G986),MOD(G986,100)&lt;&gt;0),"违规：实际股数须为100股整数倍",IF(G986&gt;N986,"违规：实际股数超过风险或金字塔上限",IF(AND(B986&gt;1,G986&gt;SUMIFS($G$2:$G$1001,$A$2:$A$1001,A986,$B$2:$B$1001,B986-1)),"违规：加仓股数须逐次不增加",IF(Q986&gt;F986,"违规：止损风险超过本次预算","通过")))))))))))))))</f>
        <v/>
      </c>
    </row>
    <row r="987" ht="17" spans="1:18">
      <c r="A987" s="13"/>
      <c r="B987" s="14"/>
      <c r="C987" s="15"/>
      <c r="D987" s="16"/>
      <c r="E987" s="16"/>
      <c r="F987" s="16"/>
      <c r="G987" s="14"/>
      <c r="H987" s="17" t="str">
        <f t="shared" si="120"/>
        <v/>
      </c>
      <c r="I987" s="18" t="str">
        <f>IF(OR(A987="",B987=""),"",IFERROR(LOOKUP(2,1/(单次交易!$A$2:$A$201=A987),单次交易!$H$2:$H$201),0)+SUMIFS($G$2:$G$1001,$A$2:$A$1001,A987,$B$2:$B$1001,"&lt;"&amp;B987))</f>
        <v/>
      </c>
      <c r="J987" s="17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17" t="str">
        <f t="shared" si="121"/>
        <v/>
      </c>
      <c r="L987" s="18" t="str">
        <f t="shared" si="122"/>
        <v/>
      </c>
      <c r="M987" s="18" t="str">
        <f t="shared" si="123"/>
        <v/>
      </c>
      <c r="N987" s="18" t="str">
        <f t="shared" si="124"/>
        <v/>
      </c>
      <c r="O987" s="18" t="str">
        <f t="shared" si="125"/>
        <v/>
      </c>
      <c r="P987" s="17" t="str">
        <f t="shared" si="126"/>
        <v/>
      </c>
      <c r="Q987" s="17" t="str">
        <f t="shared" si="127"/>
        <v/>
      </c>
      <c r="R987" s="19" t="str">
        <f ca="1">IF(A987="","",IF(COUNTIF(_TradeIds,A987)=0,"违规：交易编号不存在",IF(OR(B987="",B987&lt;1,B987&gt;5,B987&lt;&gt;INT(B987)),"违规：加仓序号须为1到5的整数",IF(COUNTIFS($A$2:$A$1001,A987,$B$2:$B$1001,B987)&gt;1,"违规：同一交易的加仓序号重复",IF(OR(D987="",E987="",F987=""),"计划不完整：请填写加仓价、新止损价和风险预算",IF(OR(D987&lt;=0,E987&lt;=0,F987&lt;=0,D987&lt;=E987),"违规：加仓价必须高于新止损价，金额须大于0",IF(AND(B987&gt;1,COUNTIFS($A$2:$A$1001,A987,$B$2:$B$1001,B987-1,$G$2:$G$1001,"&gt;0")=0),"违规：须先完成上一次加仓",IF(AND(B987&gt;1,E987&lt;SUMIFS($E$2:$E$1001,$A$2:$A$1001,A987,$B$2:$B$1001,B987-1)),"违规：新止损价不得低于上一次",IF(AND(B987&gt;1,F987&gt;SUMIFS($F$2:$F$1001,$A$2:$A$1001,A987,$B$2:$B$1001,B987-1)),"违规：风险预算须逐次不增加",IF(OR(_LockStatus="已锁仓",_LockStatus="解锁信息不完整"),"违规：锁仓期间禁止加仓",IF(G987="","计划可执行：建议股数见N列",IF(OR(G987&lt;=0,G987&lt;&gt;INT(G987),MOD(G987,100)&lt;&gt;0),"违规：实际股数须为100股整数倍",IF(G987&gt;N987,"违规：实际股数超过风险或金字塔上限",IF(AND(B987&gt;1,G987&gt;SUMIFS($G$2:$G$1001,$A$2:$A$1001,A987,$B$2:$B$1001,B987-1)),"违规：加仓股数须逐次不增加",IF(Q987&gt;F987,"违规：止损风险超过本次预算","通过")))))))))))))))</f>
        <v/>
      </c>
    </row>
    <row r="988" ht="17" spans="1:18">
      <c r="A988" s="13"/>
      <c r="B988" s="14"/>
      <c r="C988" s="15"/>
      <c r="D988" s="16"/>
      <c r="E988" s="16"/>
      <c r="F988" s="16"/>
      <c r="G988" s="14"/>
      <c r="H988" s="17" t="str">
        <f t="shared" si="120"/>
        <v/>
      </c>
      <c r="I988" s="18" t="str">
        <f>IF(OR(A988="",B988=""),"",IFERROR(LOOKUP(2,1/(单次交易!$A$2:$A$201=A988),单次交易!$H$2:$H$201),0)+SUMIFS($G$2:$G$1001,$A$2:$A$1001,A988,$B$2:$B$1001,"&lt;"&amp;B988))</f>
        <v/>
      </c>
      <c r="J988" s="17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17" t="str">
        <f t="shared" si="121"/>
        <v/>
      </c>
      <c r="L988" s="18" t="str">
        <f t="shared" si="122"/>
        <v/>
      </c>
      <c r="M988" s="18" t="str">
        <f t="shared" si="123"/>
        <v/>
      </c>
      <c r="N988" s="18" t="str">
        <f t="shared" si="124"/>
        <v/>
      </c>
      <c r="O988" s="18" t="str">
        <f t="shared" si="125"/>
        <v/>
      </c>
      <c r="P988" s="17" t="str">
        <f t="shared" si="126"/>
        <v/>
      </c>
      <c r="Q988" s="17" t="str">
        <f t="shared" si="127"/>
        <v/>
      </c>
      <c r="R988" s="19" t="str">
        <f ca="1">IF(A988="","",IF(COUNTIF(_TradeIds,A988)=0,"违规：交易编号不存在",IF(OR(B988="",B988&lt;1,B988&gt;5,B988&lt;&gt;INT(B988)),"违规：加仓序号须为1到5的整数",IF(COUNTIFS($A$2:$A$1001,A988,$B$2:$B$1001,B988)&gt;1,"违规：同一交易的加仓序号重复",IF(OR(D988="",E988="",F988=""),"计划不完整：请填写加仓价、新止损价和风险预算",IF(OR(D988&lt;=0,E988&lt;=0,F988&lt;=0,D988&lt;=E988),"违规：加仓价必须高于新止损价，金额须大于0",IF(AND(B988&gt;1,COUNTIFS($A$2:$A$1001,A988,$B$2:$B$1001,B988-1,$G$2:$G$1001,"&gt;0")=0),"违规：须先完成上一次加仓",IF(AND(B988&gt;1,E988&lt;SUMIFS($E$2:$E$1001,$A$2:$A$1001,A988,$B$2:$B$1001,B988-1)),"违规：新止损价不得低于上一次",IF(AND(B988&gt;1,F988&gt;SUMIFS($F$2:$F$1001,$A$2:$A$1001,A988,$B$2:$B$1001,B988-1)),"违规：风险预算须逐次不增加",IF(OR(_LockStatus="已锁仓",_LockStatus="解锁信息不完整"),"违规：锁仓期间禁止加仓",IF(G988="","计划可执行：建议股数见N列",IF(OR(G988&lt;=0,G988&lt;&gt;INT(G988),MOD(G988,100)&lt;&gt;0),"违规：实际股数须为100股整数倍",IF(G988&gt;N988,"违规：实际股数超过风险或金字塔上限",IF(AND(B988&gt;1,G988&gt;SUMIFS($G$2:$G$1001,$A$2:$A$1001,A988,$B$2:$B$1001,B988-1)),"违规：加仓股数须逐次不增加",IF(Q988&gt;F988,"违规：止损风险超过本次预算","通过")))))))))))))))</f>
        <v/>
      </c>
    </row>
    <row r="989" ht="17" spans="1:18">
      <c r="A989" s="13"/>
      <c r="B989" s="14"/>
      <c r="C989" s="15"/>
      <c r="D989" s="16"/>
      <c r="E989" s="16"/>
      <c r="F989" s="16"/>
      <c r="G989" s="14"/>
      <c r="H989" s="17" t="str">
        <f t="shared" si="120"/>
        <v/>
      </c>
      <c r="I989" s="18" t="str">
        <f>IF(OR(A989="",B989=""),"",IFERROR(LOOKUP(2,1/(单次交易!$A$2:$A$201=A989),单次交易!$H$2:$H$201),0)+SUMIFS($G$2:$G$1001,$A$2:$A$1001,A989,$B$2:$B$1001,"&lt;"&amp;B989))</f>
        <v/>
      </c>
      <c r="J989" s="17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17" t="str">
        <f t="shared" si="121"/>
        <v/>
      </c>
      <c r="L989" s="18" t="str">
        <f t="shared" si="122"/>
        <v/>
      </c>
      <c r="M989" s="18" t="str">
        <f t="shared" si="123"/>
        <v/>
      </c>
      <c r="N989" s="18" t="str">
        <f t="shared" si="124"/>
        <v/>
      </c>
      <c r="O989" s="18" t="str">
        <f t="shared" si="125"/>
        <v/>
      </c>
      <c r="P989" s="17" t="str">
        <f t="shared" si="126"/>
        <v/>
      </c>
      <c r="Q989" s="17" t="str">
        <f t="shared" si="127"/>
        <v/>
      </c>
      <c r="R989" s="19" t="str">
        <f ca="1">IF(A989="","",IF(COUNTIF(_TradeIds,A989)=0,"违规：交易编号不存在",IF(OR(B989="",B989&lt;1,B989&gt;5,B989&lt;&gt;INT(B989)),"违规：加仓序号须为1到5的整数",IF(COUNTIFS($A$2:$A$1001,A989,$B$2:$B$1001,B989)&gt;1,"违规：同一交易的加仓序号重复",IF(OR(D989="",E989="",F989=""),"计划不完整：请填写加仓价、新止损价和风险预算",IF(OR(D989&lt;=0,E989&lt;=0,F989&lt;=0,D989&lt;=E989),"违规：加仓价必须高于新止损价，金额须大于0",IF(AND(B989&gt;1,COUNTIFS($A$2:$A$1001,A989,$B$2:$B$1001,B989-1,$G$2:$G$1001,"&gt;0")=0),"违规：须先完成上一次加仓",IF(AND(B989&gt;1,E989&lt;SUMIFS($E$2:$E$1001,$A$2:$A$1001,A989,$B$2:$B$1001,B989-1)),"违规：新止损价不得低于上一次",IF(AND(B989&gt;1,F989&gt;SUMIFS($F$2:$F$1001,$A$2:$A$1001,A989,$B$2:$B$1001,B989-1)),"违规：风险预算须逐次不增加",IF(OR(_LockStatus="已锁仓",_LockStatus="解锁信息不完整"),"违规：锁仓期间禁止加仓",IF(G989="","计划可执行：建议股数见N列",IF(OR(G989&lt;=0,G989&lt;&gt;INT(G989),MOD(G989,100)&lt;&gt;0),"违规：实际股数须为100股整数倍",IF(G989&gt;N989,"违规：实际股数超过风险或金字塔上限",IF(AND(B989&gt;1,G989&gt;SUMIFS($G$2:$G$1001,$A$2:$A$1001,A989,$B$2:$B$1001,B989-1)),"违规：加仓股数须逐次不增加",IF(Q989&gt;F989,"违规：止损风险超过本次预算","通过")))))))))))))))</f>
        <v/>
      </c>
    </row>
    <row r="990" ht="17" spans="1:18">
      <c r="A990" s="13"/>
      <c r="B990" s="14"/>
      <c r="C990" s="15"/>
      <c r="D990" s="16"/>
      <c r="E990" s="16"/>
      <c r="F990" s="16"/>
      <c r="G990" s="14"/>
      <c r="H990" s="17" t="str">
        <f t="shared" si="120"/>
        <v/>
      </c>
      <c r="I990" s="18" t="str">
        <f>IF(OR(A990="",B990=""),"",IFERROR(LOOKUP(2,1/(单次交易!$A$2:$A$201=A990),单次交易!$H$2:$H$201),0)+SUMIFS($G$2:$G$1001,$A$2:$A$1001,A990,$B$2:$B$1001,"&lt;"&amp;B990))</f>
        <v/>
      </c>
      <c r="J990" s="17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17" t="str">
        <f t="shared" si="121"/>
        <v/>
      </c>
      <c r="L990" s="18" t="str">
        <f t="shared" si="122"/>
        <v/>
      </c>
      <c r="M990" s="18" t="str">
        <f t="shared" si="123"/>
        <v/>
      </c>
      <c r="N990" s="18" t="str">
        <f t="shared" si="124"/>
        <v/>
      </c>
      <c r="O990" s="18" t="str">
        <f t="shared" si="125"/>
        <v/>
      </c>
      <c r="P990" s="17" t="str">
        <f t="shared" si="126"/>
        <v/>
      </c>
      <c r="Q990" s="17" t="str">
        <f t="shared" si="127"/>
        <v/>
      </c>
      <c r="R990" s="19" t="str">
        <f ca="1">IF(A990="","",IF(COUNTIF(_TradeIds,A990)=0,"违规：交易编号不存在",IF(OR(B990="",B990&lt;1,B990&gt;5,B990&lt;&gt;INT(B990)),"违规：加仓序号须为1到5的整数",IF(COUNTIFS($A$2:$A$1001,A990,$B$2:$B$1001,B990)&gt;1,"违规：同一交易的加仓序号重复",IF(OR(D990="",E990="",F990=""),"计划不完整：请填写加仓价、新止损价和风险预算",IF(OR(D990&lt;=0,E990&lt;=0,F990&lt;=0,D990&lt;=E990),"违规：加仓价必须高于新止损价，金额须大于0",IF(AND(B990&gt;1,COUNTIFS($A$2:$A$1001,A990,$B$2:$B$1001,B990-1,$G$2:$G$1001,"&gt;0")=0),"违规：须先完成上一次加仓",IF(AND(B990&gt;1,E990&lt;SUMIFS($E$2:$E$1001,$A$2:$A$1001,A990,$B$2:$B$1001,B990-1)),"违规：新止损价不得低于上一次",IF(AND(B990&gt;1,F990&gt;SUMIFS($F$2:$F$1001,$A$2:$A$1001,A990,$B$2:$B$1001,B990-1)),"违规：风险预算须逐次不增加",IF(OR(_LockStatus="已锁仓",_LockStatus="解锁信息不完整"),"违规：锁仓期间禁止加仓",IF(G990="","计划可执行：建议股数见N列",IF(OR(G990&lt;=0,G990&lt;&gt;INT(G990),MOD(G990,100)&lt;&gt;0),"违规：实际股数须为100股整数倍",IF(G990&gt;N990,"违规：实际股数超过风险或金字塔上限",IF(AND(B990&gt;1,G990&gt;SUMIFS($G$2:$G$1001,$A$2:$A$1001,A990,$B$2:$B$1001,B990-1)),"违规：加仓股数须逐次不增加",IF(Q990&gt;F990,"违规：止损风险超过本次预算","通过")))))))))))))))</f>
        <v/>
      </c>
    </row>
    <row r="991" ht="17" spans="1:18">
      <c r="A991" s="13"/>
      <c r="B991" s="14"/>
      <c r="C991" s="15"/>
      <c r="D991" s="16"/>
      <c r="E991" s="16"/>
      <c r="F991" s="16"/>
      <c r="G991" s="14"/>
      <c r="H991" s="17" t="str">
        <f t="shared" si="120"/>
        <v/>
      </c>
      <c r="I991" s="18" t="str">
        <f>IF(OR(A991="",B991=""),"",IFERROR(LOOKUP(2,1/(单次交易!$A$2:$A$201=A991),单次交易!$H$2:$H$201),0)+SUMIFS($G$2:$G$1001,$A$2:$A$1001,A991,$B$2:$B$1001,"&lt;"&amp;B991))</f>
        <v/>
      </c>
      <c r="J991" s="17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17" t="str">
        <f t="shared" si="121"/>
        <v/>
      </c>
      <c r="L991" s="18" t="str">
        <f t="shared" si="122"/>
        <v/>
      </c>
      <c r="M991" s="18" t="str">
        <f t="shared" si="123"/>
        <v/>
      </c>
      <c r="N991" s="18" t="str">
        <f t="shared" si="124"/>
        <v/>
      </c>
      <c r="O991" s="18" t="str">
        <f t="shared" si="125"/>
        <v/>
      </c>
      <c r="P991" s="17" t="str">
        <f t="shared" si="126"/>
        <v/>
      </c>
      <c r="Q991" s="17" t="str">
        <f t="shared" si="127"/>
        <v/>
      </c>
      <c r="R991" s="19" t="str">
        <f ca="1">IF(A991="","",IF(COUNTIF(_TradeIds,A991)=0,"违规：交易编号不存在",IF(OR(B991="",B991&lt;1,B991&gt;5,B991&lt;&gt;INT(B991)),"违规：加仓序号须为1到5的整数",IF(COUNTIFS($A$2:$A$1001,A991,$B$2:$B$1001,B991)&gt;1,"违规：同一交易的加仓序号重复",IF(OR(D991="",E991="",F991=""),"计划不完整：请填写加仓价、新止损价和风险预算",IF(OR(D991&lt;=0,E991&lt;=0,F991&lt;=0,D991&lt;=E991),"违规：加仓价必须高于新止损价，金额须大于0",IF(AND(B991&gt;1,COUNTIFS($A$2:$A$1001,A991,$B$2:$B$1001,B991-1,$G$2:$G$1001,"&gt;0")=0),"违规：须先完成上一次加仓",IF(AND(B991&gt;1,E991&lt;SUMIFS($E$2:$E$1001,$A$2:$A$1001,A991,$B$2:$B$1001,B991-1)),"违规：新止损价不得低于上一次",IF(AND(B991&gt;1,F991&gt;SUMIFS($F$2:$F$1001,$A$2:$A$1001,A991,$B$2:$B$1001,B991-1)),"违规：风险预算须逐次不增加",IF(OR(_LockStatus="已锁仓",_LockStatus="解锁信息不完整"),"违规：锁仓期间禁止加仓",IF(G991="","计划可执行：建议股数见N列",IF(OR(G991&lt;=0,G991&lt;&gt;INT(G991),MOD(G991,100)&lt;&gt;0),"违规：实际股数须为100股整数倍",IF(G991&gt;N991,"违规：实际股数超过风险或金字塔上限",IF(AND(B991&gt;1,G991&gt;SUMIFS($G$2:$G$1001,$A$2:$A$1001,A991,$B$2:$B$1001,B991-1)),"违规：加仓股数须逐次不增加",IF(Q991&gt;F991,"违规：止损风险超过本次预算","通过")))))))))))))))</f>
        <v/>
      </c>
    </row>
    <row r="992" ht="17" spans="1:18">
      <c r="A992" s="13"/>
      <c r="B992" s="14"/>
      <c r="C992" s="15"/>
      <c r="D992" s="16"/>
      <c r="E992" s="16"/>
      <c r="F992" s="16"/>
      <c r="G992" s="14"/>
      <c r="H992" s="17" t="str">
        <f t="shared" si="120"/>
        <v/>
      </c>
      <c r="I992" s="18" t="str">
        <f>IF(OR(A992="",B992=""),"",IFERROR(LOOKUP(2,1/(单次交易!$A$2:$A$201=A992),单次交易!$H$2:$H$201),0)+SUMIFS($G$2:$G$1001,$A$2:$A$1001,A992,$B$2:$B$1001,"&lt;"&amp;B992))</f>
        <v/>
      </c>
      <c r="J992" s="17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17" t="str">
        <f t="shared" si="121"/>
        <v/>
      </c>
      <c r="L992" s="18" t="str">
        <f t="shared" si="122"/>
        <v/>
      </c>
      <c r="M992" s="18" t="str">
        <f t="shared" si="123"/>
        <v/>
      </c>
      <c r="N992" s="18" t="str">
        <f t="shared" si="124"/>
        <v/>
      </c>
      <c r="O992" s="18" t="str">
        <f t="shared" si="125"/>
        <v/>
      </c>
      <c r="P992" s="17" t="str">
        <f t="shared" si="126"/>
        <v/>
      </c>
      <c r="Q992" s="17" t="str">
        <f t="shared" si="127"/>
        <v/>
      </c>
      <c r="R992" s="19" t="str">
        <f ca="1">IF(A992="","",IF(COUNTIF(_TradeIds,A992)=0,"违规：交易编号不存在",IF(OR(B992="",B992&lt;1,B992&gt;5,B992&lt;&gt;INT(B992)),"违规：加仓序号须为1到5的整数",IF(COUNTIFS($A$2:$A$1001,A992,$B$2:$B$1001,B992)&gt;1,"违规：同一交易的加仓序号重复",IF(OR(D992="",E992="",F992=""),"计划不完整：请填写加仓价、新止损价和风险预算",IF(OR(D992&lt;=0,E992&lt;=0,F992&lt;=0,D992&lt;=E992),"违规：加仓价必须高于新止损价，金额须大于0",IF(AND(B992&gt;1,COUNTIFS($A$2:$A$1001,A992,$B$2:$B$1001,B992-1,$G$2:$G$1001,"&gt;0")=0),"违规：须先完成上一次加仓",IF(AND(B992&gt;1,E992&lt;SUMIFS($E$2:$E$1001,$A$2:$A$1001,A992,$B$2:$B$1001,B992-1)),"违规：新止损价不得低于上一次",IF(AND(B992&gt;1,F992&gt;SUMIFS($F$2:$F$1001,$A$2:$A$1001,A992,$B$2:$B$1001,B992-1)),"违规：风险预算须逐次不增加",IF(OR(_LockStatus="已锁仓",_LockStatus="解锁信息不完整"),"违规：锁仓期间禁止加仓",IF(G992="","计划可执行：建议股数见N列",IF(OR(G992&lt;=0,G992&lt;&gt;INT(G992),MOD(G992,100)&lt;&gt;0),"违规：实际股数须为100股整数倍",IF(G992&gt;N992,"违规：实际股数超过风险或金字塔上限",IF(AND(B992&gt;1,G992&gt;SUMIFS($G$2:$G$1001,$A$2:$A$1001,A992,$B$2:$B$1001,B992-1)),"违规：加仓股数须逐次不增加",IF(Q992&gt;F992,"违规：止损风险超过本次预算","通过")))))))))))))))</f>
        <v/>
      </c>
    </row>
    <row r="993" ht="17" spans="1:18">
      <c r="A993" s="13"/>
      <c r="B993" s="14"/>
      <c r="C993" s="15"/>
      <c r="D993" s="16"/>
      <c r="E993" s="16"/>
      <c r="F993" s="16"/>
      <c r="G993" s="14"/>
      <c r="H993" s="17" t="str">
        <f t="shared" si="120"/>
        <v/>
      </c>
      <c r="I993" s="18" t="str">
        <f>IF(OR(A993="",B993=""),"",IFERROR(LOOKUP(2,1/(单次交易!$A$2:$A$201=A993),单次交易!$H$2:$H$201),0)+SUMIFS($G$2:$G$1001,$A$2:$A$1001,A993,$B$2:$B$1001,"&lt;"&amp;B993))</f>
        <v/>
      </c>
      <c r="J993" s="17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17" t="str">
        <f t="shared" si="121"/>
        <v/>
      </c>
      <c r="L993" s="18" t="str">
        <f t="shared" si="122"/>
        <v/>
      </c>
      <c r="M993" s="18" t="str">
        <f t="shared" si="123"/>
        <v/>
      </c>
      <c r="N993" s="18" t="str">
        <f t="shared" si="124"/>
        <v/>
      </c>
      <c r="O993" s="18" t="str">
        <f t="shared" si="125"/>
        <v/>
      </c>
      <c r="P993" s="17" t="str">
        <f t="shared" si="126"/>
        <v/>
      </c>
      <c r="Q993" s="17" t="str">
        <f t="shared" si="127"/>
        <v/>
      </c>
      <c r="R993" s="19" t="str">
        <f ca="1">IF(A993="","",IF(COUNTIF(_TradeIds,A993)=0,"违规：交易编号不存在",IF(OR(B993="",B993&lt;1,B993&gt;5,B993&lt;&gt;INT(B993)),"违规：加仓序号须为1到5的整数",IF(COUNTIFS($A$2:$A$1001,A993,$B$2:$B$1001,B993)&gt;1,"违规：同一交易的加仓序号重复",IF(OR(D993="",E993="",F993=""),"计划不完整：请填写加仓价、新止损价和风险预算",IF(OR(D993&lt;=0,E993&lt;=0,F993&lt;=0,D993&lt;=E993),"违规：加仓价必须高于新止损价，金额须大于0",IF(AND(B993&gt;1,COUNTIFS($A$2:$A$1001,A993,$B$2:$B$1001,B993-1,$G$2:$G$1001,"&gt;0")=0),"违规：须先完成上一次加仓",IF(AND(B993&gt;1,E993&lt;SUMIFS($E$2:$E$1001,$A$2:$A$1001,A993,$B$2:$B$1001,B993-1)),"违规：新止损价不得低于上一次",IF(AND(B993&gt;1,F993&gt;SUMIFS($F$2:$F$1001,$A$2:$A$1001,A993,$B$2:$B$1001,B993-1)),"违规：风险预算须逐次不增加",IF(OR(_LockStatus="已锁仓",_LockStatus="解锁信息不完整"),"违规：锁仓期间禁止加仓",IF(G993="","计划可执行：建议股数见N列",IF(OR(G993&lt;=0,G993&lt;&gt;INT(G993),MOD(G993,100)&lt;&gt;0),"违规：实际股数须为100股整数倍",IF(G993&gt;N993,"违规：实际股数超过风险或金字塔上限",IF(AND(B993&gt;1,G993&gt;SUMIFS($G$2:$G$1001,$A$2:$A$1001,A993,$B$2:$B$1001,B993-1)),"违规：加仓股数须逐次不增加",IF(Q993&gt;F993,"违规：止损风险超过本次预算","通过")))))))))))))))</f>
        <v/>
      </c>
    </row>
    <row r="994" ht="17" spans="1:18">
      <c r="A994" s="13"/>
      <c r="B994" s="14"/>
      <c r="C994" s="15"/>
      <c r="D994" s="16"/>
      <c r="E994" s="16"/>
      <c r="F994" s="16"/>
      <c r="G994" s="14"/>
      <c r="H994" s="17" t="str">
        <f t="shared" si="120"/>
        <v/>
      </c>
      <c r="I994" s="18" t="str">
        <f>IF(OR(A994="",B994=""),"",IFERROR(LOOKUP(2,1/(单次交易!$A$2:$A$201=A994),单次交易!$H$2:$H$201),0)+SUMIFS($G$2:$G$1001,$A$2:$A$1001,A994,$B$2:$B$1001,"&lt;"&amp;B994))</f>
        <v/>
      </c>
      <c r="J994" s="17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17" t="str">
        <f t="shared" si="121"/>
        <v/>
      </c>
      <c r="L994" s="18" t="str">
        <f t="shared" si="122"/>
        <v/>
      </c>
      <c r="M994" s="18" t="str">
        <f t="shared" si="123"/>
        <v/>
      </c>
      <c r="N994" s="18" t="str">
        <f t="shared" si="124"/>
        <v/>
      </c>
      <c r="O994" s="18" t="str">
        <f t="shared" si="125"/>
        <v/>
      </c>
      <c r="P994" s="17" t="str">
        <f t="shared" si="126"/>
        <v/>
      </c>
      <c r="Q994" s="17" t="str">
        <f t="shared" si="127"/>
        <v/>
      </c>
      <c r="R994" s="19" t="str">
        <f ca="1">IF(A994="","",IF(COUNTIF(_TradeIds,A994)=0,"违规：交易编号不存在",IF(OR(B994="",B994&lt;1,B994&gt;5,B994&lt;&gt;INT(B994)),"违规：加仓序号须为1到5的整数",IF(COUNTIFS($A$2:$A$1001,A994,$B$2:$B$1001,B994)&gt;1,"违规：同一交易的加仓序号重复",IF(OR(D994="",E994="",F994=""),"计划不完整：请填写加仓价、新止损价和风险预算",IF(OR(D994&lt;=0,E994&lt;=0,F994&lt;=0,D994&lt;=E994),"违规：加仓价必须高于新止损价，金额须大于0",IF(AND(B994&gt;1,COUNTIFS($A$2:$A$1001,A994,$B$2:$B$1001,B994-1,$G$2:$G$1001,"&gt;0")=0),"违规：须先完成上一次加仓",IF(AND(B994&gt;1,E994&lt;SUMIFS($E$2:$E$1001,$A$2:$A$1001,A994,$B$2:$B$1001,B994-1)),"违规：新止损价不得低于上一次",IF(AND(B994&gt;1,F994&gt;SUMIFS($F$2:$F$1001,$A$2:$A$1001,A994,$B$2:$B$1001,B994-1)),"违规：风险预算须逐次不增加",IF(OR(_LockStatus="已锁仓",_LockStatus="解锁信息不完整"),"违规：锁仓期间禁止加仓",IF(G994="","计划可执行：建议股数见N列",IF(OR(G994&lt;=0,G994&lt;&gt;INT(G994),MOD(G994,100)&lt;&gt;0),"违规：实际股数须为100股整数倍",IF(G994&gt;N994,"违规：实际股数超过风险或金字塔上限",IF(AND(B994&gt;1,G994&gt;SUMIFS($G$2:$G$1001,$A$2:$A$1001,A994,$B$2:$B$1001,B994-1)),"违规：加仓股数须逐次不增加",IF(Q994&gt;F994,"违规：止损风险超过本次预算","通过")))))))))))))))</f>
        <v/>
      </c>
    </row>
    <row r="995" ht="17" spans="1:18">
      <c r="A995" s="13"/>
      <c r="B995" s="14"/>
      <c r="C995" s="15"/>
      <c r="D995" s="16"/>
      <c r="E995" s="16"/>
      <c r="F995" s="16"/>
      <c r="G995" s="14"/>
      <c r="H995" s="17" t="str">
        <f t="shared" si="120"/>
        <v/>
      </c>
      <c r="I995" s="18" t="str">
        <f>IF(OR(A995="",B995=""),"",IFERROR(LOOKUP(2,1/(单次交易!$A$2:$A$201=A995),单次交易!$H$2:$H$201),0)+SUMIFS($G$2:$G$1001,$A$2:$A$1001,A995,$B$2:$B$1001,"&lt;"&amp;B995))</f>
        <v/>
      </c>
      <c r="J995" s="17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17" t="str">
        <f t="shared" si="121"/>
        <v/>
      </c>
      <c r="L995" s="18" t="str">
        <f t="shared" si="122"/>
        <v/>
      </c>
      <c r="M995" s="18" t="str">
        <f t="shared" si="123"/>
        <v/>
      </c>
      <c r="N995" s="18" t="str">
        <f t="shared" si="124"/>
        <v/>
      </c>
      <c r="O995" s="18" t="str">
        <f t="shared" si="125"/>
        <v/>
      </c>
      <c r="P995" s="17" t="str">
        <f t="shared" si="126"/>
        <v/>
      </c>
      <c r="Q995" s="17" t="str">
        <f t="shared" si="127"/>
        <v/>
      </c>
      <c r="R995" s="19" t="str">
        <f ca="1">IF(A995="","",IF(COUNTIF(_TradeIds,A995)=0,"违规：交易编号不存在",IF(OR(B995="",B995&lt;1,B995&gt;5,B995&lt;&gt;INT(B995)),"违规：加仓序号须为1到5的整数",IF(COUNTIFS($A$2:$A$1001,A995,$B$2:$B$1001,B995)&gt;1,"违规：同一交易的加仓序号重复",IF(OR(D995="",E995="",F995=""),"计划不完整：请填写加仓价、新止损价和风险预算",IF(OR(D995&lt;=0,E995&lt;=0,F995&lt;=0,D995&lt;=E995),"违规：加仓价必须高于新止损价，金额须大于0",IF(AND(B995&gt;1,COUNTIFS($A$2:$A$1001,A995,$B$2:$B$1001,B995-1,$G$2:$G$1001,"&gt;0")=0),"违规：须先完成上一次加仓",IF(AND(B995&gt;1,E995&lt;SUMIFS($E$2:$E$1001,$A$2:$A$1001,A995,$B$2:$B$1001,B995-1)),"违规：新止损价不得低于上一次",IF(AND(B995&gt;1,F995&gt;SUMIFS($F$2:$F$1001,$A$2:$A$1001,A995,$B$2:$B$1001,B995-1)),"违规：风险预算须逐次不增加",IF(OR(_LockStatus="已锁仓",_LockStatus="解锁信息不完整"),"违规：锁仓期间禁止加仓",IF(G995="","计划可执行：建议股数见N列",IF(OR(G995&lt;=0,G995&lt;&gt;INT(G995),MOD(G995,100)&lt;&gt;0),"违规：实际股数须为100股整数倍",IF(G995&gt;N995,"违规：实际股数超过风险或金字塔上限",IF(AND(B995&gt;1,G995&gt;SUMIFS($G$2:$G$1001,$A$2:$A$1001,A995,$B$2:$B$1001,B995-1)),"违规：加仓股数须逐次不增加",IF(Q995&gt;F995,"违规：止损风险超过本次预算","通过")))))))))))))))</f>
        <v/>
      </c>
    </row>
    <row r="996" ht="17" spans="1:18">
      <c r="A996" s="13"/>
      <c r="B996" s="14"/>
      <c r="C996" s="15"/>
      <c r="D996" s="16"/>
      <c r="E996" s="16"/>
      <c r="F996" s="16"/>
      <c r="G996" s="14"/>
      <c r="H996" s="17" t="str">
        <f t="shared" si="120"/>
        <v/>
      </c>
      <c r="I996" s="18" t="str">
        <f>IF(OR(A996="",B996=""),"",IFERROR(LOOKUP(2,1/(单次交易!$A$2:$A$201=A996),单次交易!$H$2:$H$201),0)+SUMIFS($G$2:$G$1001,$A$2:$A$1001,A996,$B$2:$B$1001,"&lt;"&amp;B996))</f>
        <v/>
      </c>
      <c r="J996" s="17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17" t="str">
        <f t="shared" si="121"/>
        <v/>
      </c>
      <c r="L996" s="18" t="str">
        <f t="shared" si="122"/>
        <v/>
      </c>
      <c r="M996" s="18" t="str">
        <f t="shared" si="123"/>
        <v/>
      </c>
      <c r="N996" s="18" t="str">
        <f t="shared" si="124"/>
        <v/>
      </c>
      <c r="O996" s="18" t="str">
        <f t="shared" si="125"/>
        <v/>
      </c>
      <c r="P996" s="17" t="str">
        <f t="shared" si="126"/>
        <v/>
      </c>
      <c r="Q996" s="17" t="str">
        <f t="shared" si="127"/>
        <v/>
      </c>
      <c r="R996" s="19" t="str">
        <f ca="1">IF(A996="","",IF(COUNTIF(_TradeIds,A996)=0,"违规：交易编号不存在",IF(OR(B996="",B996&lt;1,B996&gt;5,B996&lt;&gt;INT(B996)),"违规：加仓序号须为1到5的整数",IF(COUNTIFS($A$2:$A$1001,A996,$B$2:$B$1001,B996)&gt;1,"违规：同一交易的加仓序号重复",IF(OR(D996="",E996="",F996=""),"计划不完整：请填写加仓价、新止损价和风险预算",IF(OR(D996&lt;=0,E996&lt;=0,F996&lt;=0,D996&lt;=E996),"违规：加仓价必须高于新止损价，金额须大于0",IF(AND(B996&gt;1,COUNTIFS($A$2:$A$1001,A996,$B$2:$B$1001,B996-1,$G$2:$G$1001,"&gt;0")=0),"违规：须先完成上一次加仓",IF(AND(B996&gt;1,E996&lt;SUMIFS($E$2:$E$1001,$A$2:$A$1001,A996,$B$2:$B$1001,B996-1)),"违规：新止损价不得低于上一次",IF(AND(B996&gt;1,F996&gt;SUMIFS($F$2:$F$1001,$A$2:$A$1001,A996,$B$2:$B$1001,B996-1)),"违规：风险预算须逐次不增加",IF(OR(_LockStatus="已锁仓",_LockStatus="解锁信息不完整"),"违规：锁仓期间禁止加仓",IF(G996="","计划可执行：建议股数见N列",IF(OR(G996&lt;=0,G996&lt;&gt;INT(G996),MOD(G996,100)&lt;&gt;0),"违规：实际股数须为100股整数倍",IF(G996&gt;N996,"违规：实际股数超过风险或金字塔上限",IF(AND(B996&gt;1,G996&gt;SUMIFS($G$2:$G$1001,$A$2:$A$1001,A996,$B$2:$B$1001,B996-1)),"违规：加仓股数须逐次不增加",IF(Q996&gt;F996,"违规：止损风险超过本次预算","通过")))))))))))))))</f>
        <v/>
      </c>
    </row>
    <row r="997" ht="17" spans="1:18">
      <c r="A997" s="13"/>
      <c r="B997" s="14"/>
      <c r="C997" s="15"/>
      <c r="D997" s="16"/>
      <c r="E997" s="16"/>
      <c r="F997" s="16"/>
      <c r="G997" s="14"/>
      <c r="H997" s="17" t="str">
        <f t="shared" si="120"/>
        <v/>
      </c>
      <c r="I997" s="18" t="str">
        <f>IF(OR(A997="",B997=""),"",IFERROR(LOOKUP(2,1/(单次交易!$A$2:$A$201=A997),单次交易!$H$2:$H$201),0)+SUMIFS($G$2:$G$1001,$A$2:$A$1001,A997,$B$2:$B$1001,"&lt;"&amp;B997))</f>
        <v/>
      </c>
      <c r="J997" s="17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17" t="str">
        <f t="shared" si="121"/>
        <v/>
      </c>
      <c r="L997" s="18" t="str">
        <f t="shared" si="122"/>
        <v/>
      </c>
      <c r="M997" s="18" t="str">
        <f t="shared" si="123"/>
        <v/>
      </c>
      <c r="N997" s="18" t="str">
        <f t="shared" si="124"/>
        <v/>
      </c>
      <c r="O997" s="18" t="str">
        <f t="shared" si="125"/>
        <v/>
      </c>
      <c r="P997" s="17" t="str">
        <f t="shared" si="126"/>
        <v/>
      </c>
      <c r="Q997" s="17" t="str">
        <f t="shared" si="127"/>
        <v/>
      </c>
      <c r="R997" s="19" t="str">
        <f ca="1">IF(A997="","",IF(COUNTIF(_TradeIds,A997)=0,"违规：交易编号不存在",IF(OR(B997="",B997&lt;1,B997&gt;5,B997&lt;&gt;INT(B997)),"违规：加仓序号须为1到5的整数",IF(COUNTIFS($A$2:$A$1001,A997,$B$2:$B$1001,B997)&gt;1,"违规：同一交易的加仓序号重复",IF(OR(D997="",E997="",F997=""),"计划不完整：请填写加仓价、新止损价和风险预算",IF(OR(D997&lt;=0,E997&lt;=0,F997&lt;=0,D997&lt;=E997),"违规：加仓价必须高于新止损价，金额须大于0",IF(AND(B997&gt;1,COUNTIFS($A$2:$A$1001,A997,$B$2:$B$1001,B997-1,$G$2:$G$1001,"&gt;0")=0),"违规：须先完成上一次加仓",IF(AND(B997&gt;1,E997&lt;SUMIFS($E$2:$E$1001,$A$2:$A$1001,A997,$B$2:$B$1001,B997-1)),"违规：新止损价不得低于上一次",IF(AND(B997&gt;1,F997&gt;SUMIFS($F$2:$F$1001,$A$2:$A$1001,A997,$B$2:$B$1001,B997-1)),"违规：风险预算须逐次不增加",IF(OR(_LockStatus="已锁仓",_LockStatus="解锁信息不完整"),"违规：锁仓期间禁止加仓",IF(G997="","计划可执行：建议股数见N列",IF(OR(G997&lt;=0,G997&lt;&gt;INT(G997),MOD(G997,100)&lt;&gt;0),"违规：实际股数须为100股整数倍",IF(G997&gt;N997,"违规：实际股数超过风险或金字塔上限",IF(AND(B997&gt;1,G997&gt;SUMIFS($G$2:$G$1001,$A$2:$A$1001,A997,$B$2:$B$1001,B997-1)),"违规：加仓股数须逐次不增加",IF(Q997&gt;F997,"违规：止损风险超过本次预算","通过")))))))))))))))</f>
        <v/>
      </c>
    </row>
    <row r="998" ht="17" spans="1:18">
      <c r="A998" s="13"/>
      <c r="B998" s="14"/>
      <c r="C998" s="15"/>
      <c r="D998" s="16"/>
      <c r="E998" s="16"/>
      <c r="F998" s="16"/>
      <c r="G998" s="14"/>
      <c r="H998" s="17" t="str">
        <f t="shared" si="120"/>
        <v/>
      </c>
      <c r="I998" s="18" t="str">
        <f>IF(OR(A998="",B998=""),"",IFERROR(LOOKUP(2,1/(单次交易!$A$2:$A$201=A998),单次交易!$H$2:$H$201),0)+SUMIFS($G$2:$G$1001,$A$2:$A$1001,A998,$B$2:$B$1001,"&lt;"&amp;B998))</f>
        <v/>
      </c>
      <c r="J998" s="17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17" t="str">
        <f t="shared" si="121"/>
        <v/>
      </c>
      <c r="L998" s="18" t="str">
        <f t="shared" si="122"/>
        <v/>
      </c>
      <c r="M998" s="18" t="str">
        <f t="shared" si="123"/>
        <v/>
      </c>
      <c r="N998" s="18" t="str">
        <f t="shared" si="124"/>
        <v/>
      </c>
      <c r="O998" s="18" t="str">
        <f t="shared" si="125"/>
        <v/>
      </c>
      <c r="P998" s="17" t="str">
        <f t="shared" si="126"/>
        <v/>
      </c>
      <c r="Q998" s="17" t="str">
        <f t="shared" si="127"/>
        <v/>
      </c>
      <c r="R998" s="19" t="str">
        <f ca="1">IF(A998="","",IF(COUNTIF(_TradeIds,A998)=0,"违规：交易编号不存在",IF(OR(B998="",B998&lt;1,B998&gt;5,B998&lt;&gt;INT(B998)),"违规：加仓序号须为1到5的整数",IF(COUNTIFS($A$2:$A$1001,A998,$B$2:$B$1001,B998)&gt;1,"违规：同一交易的加仓序号重复",IF(OR(D998="",E998="",F998=""),"计划不完整：请填写加仓价、新止损价和风险预算",IF(OR(D998&lt;=0,E998&lt;=0,F998&lt;=0,D998&lt;=E998),"违规：加仓价必须高于新止损价，金额须大于0",IF(AND(B998&gt;1,COUNTIFS($A$2:$A$1001,A998,$B$2:$B$1001,B998-1,$G$2:$G$1001,"&gt;0")=0),"违规：须先完成上一次加仓",IF(AND(B998&gt;1,E998&lt;SUMIFS($E$2:$E$1001,$A$2:$A$1001,A998,$B$2:$B$1001,B998-1)),"违规：新止损价不得低于上一次",IF(AND(B998&gt;1,F998&gt;SUMIFS($F$2:$F$1001,$A$2:$A$1001,A998,$B$2:$B$1001,B998-1)),"违规：风险预算须逐次不增加",IF(OR(_LockStatus="已锁仓",_LockStatus="解锁信息不完整"),"违规：锁仓期间禁止加仓",IF(G998="","计划可执行：建议股数见N列",IF(OR(G998&lt;=0,G998&lt;&gt;INT(G998),MOD(G998,100)&lt;&gt;0),"违规：实际股数须为100股整数倍",IF(G998&gt;N998,"违规：实际股数超过风险或金字塔上限",IF(AND(B998&gt;1,G998&gt;SUMIFS($G$2:$G$1001,$A$2:$A$1001,A998,$B$2:$B$1001,B998-1)),"违规：加仓股数须逐次不增加",IF(Q998&gt;F998,"违规：止损风险超过本次预算","通过")))))))))))))))</f>
        <v/>
      </c>
    </row>
    <row r="999" ht="17" spans="1:18">
      <c r="A999" s="13"/>
      <c r="B999" s="14"/>
      <c r="C999" s="15"/>
      <c r="D999" s="16"/>
      <c r="E999" s="16"/>
      <c r="F999" s="16"/>
      <c r="G999" s="14"/>
      <c r="H999" s="17" t="str">
        <f t="shared" si="120"/>
        <v/>
      </c>
      <c r="I999" s="18" t="str">
        <f>IF(OR(A999="",B999=""),"",IFERROR(LOOKUP(2,1/(单次交易!$A$2:$A$201=A999),单次交易!$H$2:$H$201),0)+SUMIFS($G$2:$G$1001,$A$2:$A$1001,A999,$B$2:$B$1001,"&lt;"&amp;B999))</f>
        <v/>
      </c>
      <c r="J999" s="17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17" t="str">
        <f t="shared" si="121"/>
        <v/>
      </c>
      <c r="L999" s="18" t="str">
        <f t="shared" si="122"/>
        <v/>
      </c>
      <c r="M999" s="18" t="str">
        <f t="shared" si="123"/>
        <v/>
      </c>
      <c r="N999" s="18" t="str">
        <f t="shared" si="124"/>
        <v/>
      </c>
      <c r="O999" s="18" t="str">
        <f t="shared" si="125"/>
        <v/>
      </c>
      <c r="P999" s="17" t="str">
        <f t="shared" si="126"/>
        <v/>
      </c>
      <c r="Q999" s="17" t="str">
        <f t="shared" si="127"/>
        <v/>
      </c>
      <c r="R999" s="19" t="str">
        <f ca="1">IF(A999="","",IF(COUNTIF(_TradeIds,A999)=0,"违规：交易编号不存在",IF(OR(B999="",B999&lt;1,B999&gt;5,B999&lt;&gt;INT(B999)),"违规：加仓序号须为1到5的整数",IF(COUNTIFS($A$2:$A$1001,A999,$B$2:$B$1001,B999)&gt;1,"违规：同一交易的加仓序号重复",IF(OR(D999="",E999="",F999=""),"计划不完整：请填写加仓价、新止损价和风险预算",IF(OR(D999&lt;=0,E999&lt;=0,F999&lt;=0,D999&lt;=E999),"违规：加仓价必须高于新止损价，金额须大于0",IF(AND(B999&gt;1,COUNTIFS($A$2:$A$1001,A999,$B$2:$B$1001,B999-1,$G$2:$G$1001,"&gt;0")=0),"违规：须先完成上一次加仓",IF(AND(B999&gt;1,E999&lt;SUMIFS($E$2:$E$1001,$A$2:$A$1001,A999,$B$2:$B$1001,B999-1)),"违规：新止损价不得低于上一次",IF(AND(B999&gt;1,F999&gt;SUMIFS($F$2:$F$1001,$A$2:$A$1001,A999,$B$2:$B$1001,B999-1)),"违规：风险预算须逐次不增加",IF(OR(_LockStatus="已锁仓",_LockStatus="解锁信息不完整"),"违规：锁仓期间禁止加仓",IF(G999="","计划可执行：建议股数见N列",IF(OR(G999&lt;=0,G999&lt;&gt;INT(G999),MOD(G999,100)&lt;&gt;0),"违规：实际股数须为100股整数倍",IF(G999&gt;N999,"违规：实际股数超过风险或金字塔上限",IF(AND(B999&gt;1,G999&gt;SUMIFS($G$2:$G$1001,$A$2:$A$1001,A999,$B$2:$B$1001,B999-1)),"违规：加仓股数须逐次不增加",IF(Q999&gt;F999,"违规：止损风险超过本次预算","通过")))))))))))))))</f>
        <v/>
      </c>
    </row>
    <row r="1000" ht="17" spans="1:18">
      <c r="A1000" s="13"/>
      <c r="B1000" s="14"/>
      <c r="C1000" s="15"/>
      <c r="D1000" s="16"/>
      <c r="E1000" s="16"/>
      <c r="F1000" s="16"/>
      <c r="G1000" s="14"/>
      <c r="H1000" s="17" t="str">
        <f t="shared" si="120"/>
        <v/>
      </c>
      <c r="I1000" s="18" t="str">
        <f>IF(OR(A1000="",B1000=""),"",IFERROR(LOOKUP(2,1/(单次交易!$A$2:$A$201=A1000),单次交易!$H$2:$H$201),0)+SUMIFS($G$2:$G$1001,$A$2:$A$1001,A1000,$B$2:$B$1001,"&lt;"&amp;B1000))</f>
        <v/>
      </c>
      <c r="J1000" s="17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17" t="str">
        <f t="shared" si="121"/>
        <v/>
      </c>
      <c r="L1000" s="18" t="str">
        <f t="shared" si="122"/>
        <v/>
      </c>
      <c r="M1000" s="18" t="str">
        <f t="shared" si="123"/>
        <v/>
      </c>
      <c r="N1000" s="18" t="str">
        <f t="shared" si="124"/>
        <v/>
      </c>
      <c r="O1000" s="18" t="str">
        <f t="shared" si="125"/>
        <v/>
      </c>
      <c r="P1000" s="17" t="str">
        <f t="shared" si="126"/>
        <v/>
      </c>
      <c r="Q1000" s="17" t="str">
        <f t="shared" si="127"/>
        <v/>
      </c>
      <c r="R1000" s="19" t="str">
        <f ca="1">IF(A1000="","",IF(COUNTIF(_TradeIds,A1000)=0,"违规：交易编号不存在",IF(OR(B1000="",B1000&lt;1,B1000&gt;5,B1000&lt;&gt;INT(B1000)),"违规：加仓序号须为1到5的整数",IF(COUNTIFS($A$2:$A$1001,A1000,$B$2:$B$1001,B1000)&gt;1,"违规：同一交易的加仓序号重复",IF(OR(D1000="",E1000="",F1000=""),"计划不完整：请填写加仓价、新止损价和风险预算",IF(OR(D1000&lt;=0,E1000&lt;=0,F1000&lt;=0,D1000&lt;=E1000),"违规：加仓价必须高于新止损价，金额须大于0",IF(AND(B1000&gt;1,COUNTIFS($A$2:$A$1001,A1000,$B$2:$B$1001,B1000-1,$G$2:$G$1001,"&gt;0")=0),"违规：须先完成上一次加仓",IF(AND(B1000&gt;1,E1000&lt;SUMIFS($E$2:$E$1001,$A$2:$A$1001,A1000,$B$2:$B$1001,B1000-1)),"违规：新止损价不得低于上一次",IF(AND(B1000&gt;1,F1000&gt;SUMIFS($F$2:$F$1001,$A$2:$A$1001,A1000,$B$2:$B$1001,B1000-1)),"违规：风险预算须逐次不增加",IF(OR(_LockStatus="已锁仓",_LockStatus="解锁信息不完整"),"违规：锁仓期间禁止加仓",IF(G1000="","计划可执行：建议股数见N列",IF(OR(G1000&lt;=0,G1000&lt;&gt;INT(G1000),MOD(G1000,100)&lt;&gt;0),"违规：实际股数须为100股整数倍",IF(G1000&gt;N1000,"违规：实际股数超过风险或金字塔上限",IF(AND(B1000&gt;1,G1000&gt;SUMIFS($G$2:$G$1001,$A$2:$A$1001,A1000,$B$2:$B$1001,B1000-1)),"违规：加仓股数须逐次不增加",IF(Q1000&gt;F1000,"违规：止损风险超过本次预算","通过")))))))))))))))</f>
        <v/>
      </c>
    </row>
    <row r="1001" ht="17" spans="1:18">
      <c r="A1001" s="13"/>
      <c r="B1001" s="14"/>
      <c r="C1001" s="15"/>
      <c r="D1001" s="16"/>
      <c r="E1001" s="16"/>
      <c r="F1001" s="16"/>
      <c r="G1001" s="14"/>
      <c r="H1001" s="17" t="str">
        <f t="shared" si="120"/>
        <v/>
      </c>
      <c r="I1001" s="18" t="str">
        <f>IF(OR(A1001="",B1001=""),"",IFERROR(LOOKUP(2,1/(单次交易!$A$2:$A$201=A1001),单次交易!$H$2:$H$201),0)+SUMIFS($G$2:$G$1001,$A$2:$A$1001,A1001,$B$2:$B$1001,"&lt;"&amp;B1001))</f>
        <v/>
      </c>
      <c r="J1001" s="17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17" t="str">
        <f t="shared" si="121"/>
        <v/>
      </c>
      <c r="L1001" s="18" t="str">
        <f t="shared" si="122"/>
        <v/>
      </c>
      <c r="M1001" s="18" t="str">
        <f t="shared" si="123"/>
        <v/>
      </c>
      <c r="N1001" s="18" t="str">
        <f t="shared" si="124"/>
        <v/>
      </c>
      <c r="O1001" s="18" t="str">
        <f t="shared" si="125"/>
        <v/>
      </c>
      <c r="P1001" s="17" t="str">
        <f t="shared" si="126"/>
        <v/>
      </c>
      <c r="Q1001" s="17" t="str">
        <f t="shared" si="127"/>
        <v/>
      </c>
      <c r="R1001" s="19" t="str">
        <f ca="1">IF(A1001="","",IF(COUNTIF(_TradeIds,A1001)=0,"违规：交易编号不存在",IF(OR(B1001="",B1001&lt;1,B1001&gt;5,B1001&lt;&gt;INT(B1001)),"违规：加仓序号须为1到5的整数",IF(COUNTIFS($A$2:$A$1001,A1001,$B$2:$B$1001,B1001)&gt;1,"违规：同一交易的加仓序号重复",IF(OR(D1001="",E1001="",F1001=""),"计划不完整：请填写加仓价、新止损价和风险预算",IF(OR(D1001&lt;=0,E1001&lt;=0,F1001&lt;=0,D1001&lt;=E1001),"违规：加仓价必须高于新止损价，金额须大于0",IF(AND(B1001&gt;1,COUNTIFS($A$2:$A$1001,A1001,$B$2:$B$1001,B1001-1,$G$2:$G$1001,"&gt;0")=0),"违规：须先完成上一次加仓",IF(AND(B1001&gt;1,E1001&lt;SUMIFS($E$2:$E$1001,$A$2:$A$1001,A1001,$B$2:$B$1001,B1001-1)),"违规：新止损价不得低于上一次",IF(AND(B1001&gt;1,F1001&gt;SUMIFS($F$2:$F$1001,$A$2:$A$1001,A1001,$B$2:$B$1001,B1001-1)),"违规：风险预算须逐次不增加",IF(OR(_LockStatus="已锁仓",_LockStatus="解锁信息不完整"),"违规：锁仓期间禁止加仓",IF(G1001="","计划可执行：建议股数见N列",IF(OR(G1001&lt;=0,G1001&lt;&gt;INT(G1001),MOD(G1001,100)&lt;&gt;0),"违规：实际股数须为100股整数倍",IF(G1001&gt;N1001,"违规：实际股数超过风险或金字塔上限",IF(AND(B1001&gt;1,G1001&gt;SUMIFS($G$2:$G$1001,$A$2:$A$1001,A1001,$B$2:$B$1001,B1001-1)),"违规：加仓股数须逐次不增加",IF(Q1001&gt;F1001,"违规：止损风险超过本次预算","通过")))))))))))))))</f>
        <v/>
      </c>
    </row>
  </sheetData>
  <conditionalFormatting sqref="R2:R1001">
    <cfRule type="expression" dxfId="0" priority="2">
      <formula>ISNUMBER(SEARCH("违规",$R2))</formula>
    </cfRule>
    <cfRule type="expression" dxfId="1" priority="3">
      <formula>ISNUMBER(SEARCH("通过",$R2))</formula>
    </cfRule>
    <cfRule type="expression" dxfId="2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>
      <formula1>_TradeIds</formula1>
    </dataValidation>
    <dataValidation type="whole" operator="between" showErrorMessage="1" errorTitle="加仓序号无效" error="每笔交易最多加仓5次，请填写1到5" sqref="B2:B1001">
      <formula1>1</formula1>
      <formula2>5</formula2>
    </dataValidation>
    <dataValidation type="date" operator="between" sqref="C2:C1001">
      <formula1>DATE(2000,1,1)</formula1>
      <formula2>DATE(2100,12,31)</formula2>
    </dataValidation>
    <dataValidation type="custom" showErrorMessage="1" errorTitle="实际股数无效" error="实际加仓股数须为100股整数倍；风险与金字塔限制由规则检查列提示" sqref="G2:G1001">
      <formula1>OR(G2="",AND(ISNUMBER(G2),G2&gt;0,G2=INT(G2),MOD(G2,100)=0))</formula1>
    </dataValidation>
    <dataValidation type="decimal" operator="greaterThan" showErrorMessage="1" errorTitle="金额无效" error="请输入大于0的数值" sqref="D2:F1001">
      <formula1>0</formula1>
    </dataValidation>
  </dataValidations>
  <pageMargins left="0.75" right="0.75" top="1" bottom="1" header="0.511811023622047" footer="0.511811023622047"/>
  <pageSetup paperSize="1" fitToHeight="0" orientation="landscape" horizontalDpi="300" verticalDpi="300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6.8" outlineLevelCol="2"/>
  <cols>
    <col min="1" max="1" width="28" customWidth="1"/>
    <col min="2" max="2" width="20" customWidth="1"/>
    <col min="3" max="3" width="72" customWidth="1"/>
  </cols>
  <sheetData>
    <row r="1" ht="17" spans="1:3">
      <c r="A1" s="1" t="s">
        <v>77</v>
      </c>
      <c r="B1" s="1" t="s">
        <v>78</v>
      </c>
      <c r="C1" s="1" t="s">
        <v>79</v>
      </c>
    </row>
    <row r="2" ht="17" spans="1:3">
      <c r="A2" s="2" t="s">
        <v>80</v>
      </c>
      <c r="B2" s="6">
        <f>COUNT(单次交易!M2:M201)</f>
        <v>100</v>
      </c>
      <c r="C2" s="2" t="s">
        <v>81</v>
      </c>
    </row>
    <row r="3" ht="17" spans="1:3">
      <c r="A3" s="2" t="s">
        <v>82</v>
      </c>
      <c r="B3" s="6">
        <f>COUNTIF(单次交易!X2:X201,"&gt;0")</f>
        <v>52</v>
      </c>
      <c r="C3" s="2" t="s">
        <v>83</v>
      </c>
    </row>
    <row r="4" ht="17" spans="1:3">
      <c r="A4" s="2" t="s">
        <v>84</v>
      </c>
      <c r="B4" s="6">
        <f>COUNTIF(单次交易!X2:X201,"&lt;0")</f>
        <v>48</v>
      </c>
      <c r="C4" s="2" t="s">
        <v>85</v>
      </c>
    </row>
    <row r="5" ht="17" spans="1:3">
      <c r="A5" s="2" t="s">
        <v>86</v>
      </c>
      <c r="B5" s="6">
        <f>COUNTIFS(单次交易!M2:M201,"&lt;&gt;",单次交易!X2:X201,"=0")</f>
        <v>0</v>
      </c>
      <c r="C5" s="2" t="s">
        <v>87</v>
      </c>
    </row>
    <row r="6" ht="17" spans="1:3">
      <c r="A6" s="2" t="s">
        <v>88</v>
      </c>
      <c r="B6" s="5">
        <f>IFERROR(B3/(B3+B4),"")</f>
        <v>0.52</v>
      </c>
      <c r="C6" s="2" t="s">
        <v>89</v>
      </c>
    </row>
    <row r="7" ht="17" spans="1:3">
      <c r="A7" s="2" t="s">
        <v>90</v>
      </c>
      <c r="B7" s="5">
        <f>IFERROR(B4/(B3+B4),"")</f>
        <v>0.48</v>
      </c>
      <c r="C7" s="2" t="s">
        <v>91</v>
      </c>
    </row>
    <row r="8" ht="17" spans="1:3">
      <c r="A8" s="2" t="s">
        <v>92</v>
      </c>
      <c r="B8" s="5">
        <f>IFERROR(AVERAGEIF(单次交易!X2:X201,"&gt;0",单次交易!AE2:AE201),"")</f>
        <v>0.0982099660223346</v>
      </c>
      <c r="C8" s="2" t="s">
        <v>93</v>
      </c>
    </row>
    <row r="9" ht="17" spans="1:3">
      <c r="A9" s="2" t="s">
        <v>94</v>
      </c>
      <c r="B9" s="5">
        <f>IFERROR(-AVERAGEIF(单次交易!X2:X201,"&lt;0",单次交易!AE2:AE201),"")</f>
        <v>0.0431837935367363</v>
      </c>
      <c r="C9" s="2" t="s">
        <v>95</v>
      </c>
    </row>
    <row r="10" ht="17" spans="1:3">
      <c r="A10" s="2" t="s">
        <v>96</v>
      </c>
      <c r="B10" s="6">
        <f>SUMIF(单次交易!X2:X201,"&gt;0",单次交易!AA2:AA201)</f>
        <v>4652</v>
      </c>
      <c r="C10" s="2" t="s">
        <v>97</v>
      </c>
    </row>
    <row r="11" ht="17" spans="1:3">
      <c r="A11" s="2" t="s">
        <v>98</v>
      </c>
      <c r="B11" s="6">
        <f>SUMIF(单次交易!X2:X201,"&lt;0",单次交易!AA2:AA201)</f>
        <v>3008</v>
      </c>
      <c r="C11" s="2" t="s">
        <v>97</v>
      </c>
    </row>
    <row r="12" ht="17" spans="1:3">
      <c r="A12" s="2" t="s">
        <v>99</v>
      </c>
      <c r="B12" s="3">
        <f>IFERROR(SUMPRODUCT(单次交易!AO2:AO201,单次交易!AP2:AP201)/COUNT(单次交易!AP2:AP201),"")</f>
        <v>315542.75</v>
      </c>
      <c r="C12" s="2" t="s">
        <v>100</v>
      </c>
    </row>
    <row r="13" ht="17" spans="1:3">
      <c r="A13" s="2" t="s">
        <v>101</v>
      </c>
      <c r="B13" s="5">
        <f>IF(OR(B6="",B7="",B8="",B9=""),"",B6*B8-B7*B9)</f>
        <v>0.0303409614339806</v>
      </c>
      <c r="C13" s="2" t="s">
        <v>102</v>
      </c>
    </row>
    <row r="14" ht="17" spans="1:3">
      <c r="A14" s="2" t="s">
        <v>103</v>
      </c>
      <c r="B14" s="5">
        <f>IF(COUNT(单次交易!AE2:AE201)=0,"",EXP(SUMPRODUCT(IFERROR(LN(1+单次交易!AE2:AE201),0)))-1)</f>
        <v>10.6157355851792</v>
      </c>
      <c r="C14" s="2" t="s">
        <v>104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showGridLines="0" workbookViewId="0">
      <pane ySplit="1" topLeftCell="A2" activePane="bottomLeft" state="frozen"/>
      <selection/>
      <selection pane="bottomLeft" activeCell="C24" sqref="C24"/>
    </sheetView>
  </sheetViews>
  <sheetFormatPr defaultColWidth="9" defaultRowHeight="16.8" outlineLevelCol="2"/>
  <cols>
    <col min="1" max="1" width="28" customWidth="1"/>
    <col min="2" max="2" width="20" customWidth="1"/>
    <col min="3" max="3" width="72" customWidth="1"/>
  </cols>
  <sheetData>
    <row r="1" ht="17" spans="1:3">
      <c r="A1" s="1" t="s">
        <v>77</v>
      </c>
      <c r="B1" s="1" t="s">
        <v>105</v>
      </c>
      <c r="C1" s="1" t="s">
        <v>106</v>
      </c>
    </row>
    <row r="2" ht="17" spans="1:3">
      <c r="A2" s="2" t="s">
        <v>107</v>
      </c>
      <c r="B2" s="7">
        <v>100000</v>
      </c>
      <c r="C2" s="2" t="s">
        <v>108</v>
      </c>
    </row>
    <row r="3" ht="17" spans="1:3">
      <c r="A3" s="2" t="s">
        <v>109</v>
      </c>
      <c r="B3" s="3">
        <f>IF(B2="","",B2+SUM(单次交易!X2:X201))</f>
        <v>1148578</v>
      </c>
      <c r="C3" s="2" t="s">
        <v>110</v>
      </c>
    </row>
    <row r="4" ht="17" spans="1:3">
      <c r="A4" s="2" t="s">
        <v>111</v>
      </c>
      <c r="B4" s="4">
        <v>0.02</v>
      </c>
      <c r="C4" s="2" t="s">
        <v>112</v>
      </c>
    </row>
    <row r="5" ht="17" spans="1:3">
      <c r="A5" s="2" t="s">
        <v>113</v>
      </c>
      <c r="B5" s="3">
        <f>IF(B3="","",B3*B4)</f>
        <v>22971.56</v>
      </c>
      <c r="C5" s="2" t="s">
        <v>114</v>
      </c>
    </row>
    <row r="6" ht="17" spans="1:3">
      <c r="A6" s="2" t="s">
        <v>115</v>
      </c>
      <c r="B6" s="4">
        <v>0.06</v>
      </c>
      <c r="C6" s="2" t="s">
        <v>116</v>
      </c>
    </row>
    <row r="7" ht="17" spans="1:3">
      <c r="A7" s="2" t="s">
        <v>117</v>
      </c>
      <c r="B7" s="3">
        <f>IF(B3="","",B3*B6)</f>
        <v>68914.6799999999</v>
      </c>
      <c r="C7" s="2" t="s">
        <v>118</v>
      </c>
    </row>
    <row r="8" ht="17" spans="1:3">
      <c r="A8" s="2" t="s">
        <v>119</v>
      </c>
      <c r="B8" s="3">
        <f ca="1">SUMIFS(单次交易!X2:X201,单次交易!X2:X201,"&lt;0",单次交易!M2:M201,"&gt;="&amp;EOMONTH(TODAY(),-1)+1,单次交易!M2:M201,"&lt;="&amp;EOMONTH(TODAY(),0))</f>
        <v>0</v>
      </c>
      <c r="C8" s="2" t="s">
        <v>120</v>
      </c>
    </row>
    <row r="9" ht="17" spans="1:3">
      <c r="A9" s="2" t="s">
        <v>121</v>
      </c>
      <c r="B9" s="3">
        <f>IFERROR(SUM(单次交易!AQ2:AQ201),0)</f>
        <v>0</v>
      </c>
      <c r="C9" s="2" t="s">
        <v>122</v>
      </c>
    </row>
    <row r="10" ht="17" spans="1:3">
      <c r="A10" s="2" t="s">
        <v>123</v>
      </c>
      <c r="B10" s="3">
        <f>IF(OR(B7="",B9=""),"",B7-B9)</f>
        <v>68914.6799999999</v>
      </c>
      <c r="C10" s="2" t="s">
        <v>124</v>
      </c>
    </row>
    <row r="11" ht="17" spans="1:3">
      <c r="A11" s="2" t="s">
        <v>125</v>
      </c>
      <c r="B11" s="5">
        <f>IF(OR(B2="",B3="",B2&lt;=0),"",B3/B2-1)</f>
        <v>10.48578</v>
      </c>
      <c r="C11" s="2" t="s">
        <v>126</v>
      </c>
    </row>
    <row r="12" spans="1:3">
      <c r="A12" s="2"/>
      <c r="B12" s="2"/>
      <c r="C12" s="2"/>
    </row>
    <row r="13" ht="17" spans="1:3">
      <c r="A13" s="2" t="s">
        <v>127</v>
      </c>
      <c r="B13" s="4">
        <v>0.06</v>
      </c>
      <c r="C13" s="2" t="s">
        <v>128</v>
      </c>
    </row>
    <row r="14" ht="17" spans="1:3">
      <c r="A14" s="2" t="s">
        <v>129</v>
      </c>
      <c r="B14" s="8">
        <f>IFERROR(LOOKUP(2,1/((单次交易!$M$2:$M$201&lt;&gt;"")*(单次交易!$X$2:$X$201&gt;0)),ROW(单次交易!$X$2:$X$201)-1),0)</f>
        <v>100</v>
      </c>
      <c r="C14" s="2" t="s">
        <v>130</v>
      </c>
    </row>
    <row r="15" ht="17" spans="1:3">
      <c r="A15" s="2" t="s">
        <v>131</v>
      </c>
      <c r="B15" s="8">
        <f>IFERROR(LOOKUP(2,1/(单次交易!$M$2:$M$201&lt;&gt;""),ROW(单次交易!$M$2:$M$201)-1),0)</f>
        <v>100</v>
      </c>
      <c r="C15" s="2" t="s">
        <v>132</v>
      </c>
    </row>
    <row r="16" ht="17" spans="1:3">
      <c r="A16" s="2" t="s">
        <v>133</v>
      </c>
      <c r="B16" s="9">
        <v>98</v>
      </c>
      <c r="C16" s="2" t="s">
        <v>134</v>
      </c>
    </row>
    <row r="17" ht="27" customHeight="1" spans="1:3">
      <c r="A17" s="2" t="s">
        <v>135</v>
      </c>
      <c r="B17" s="10" t="s">
        <v>136</v>
      </c>
      <c r="C17" s="11" t="s">
        <v>137</v>
      </c>
    </row>
    <row r="18" ht="17" spans="1:3">
      <c r="A18" s="2" t="s">
        <v>138</v>
      </c>
      <c r="B18" s="8">
        <f>MAX(B14,IF(AND(ISNUMBER(B16),B16&gt;=1,B16&lt;=B15,B17&lt;&gt;""),B16,0))</f>
        <v>100</v>
      </c>
      <c r="C18" s="2" t="s">
        <v>139</v>
      </c>
    </row>
    <row r="19" ht="17" spans="1:3">
      <c r="A19" s="2" t="s">
        <v>140</v>
      </c>
      <c r="B19" s="3">
        <f ca="1">IF(B2="","",IF(B18=0,B2,B2+SUM(单次交易!$X$2:INDEX(单次交易!$X:$X,B18+1))))</f>
        <v>1148578</v>
      </c>
      <c r="C19" s="2" t="s">
        <v>141</v>
      </c>
    </row>
    <row r="20" ht="17" spans="1:3">
      <c r="A20" s="2" t="s">
        <v>142</v>
      </c>
      <c r="B20" s="3">
        <f>IF(B18&gt;=B15,0,-SUMPRODUCT((ROW(单次交易!$X$2:$X$201)-1&gt;B18)*(单次交易!$M$2:$M$201&lt;&gt;"")*(IFERROR(单次交易!$X$2:$X$201,0)&lt;0)*IFERROR(单次交易!$X$2:$X$201,0)))</f>
        <v>0</v>
      </c>
      <c r="C20" s="2" t="s">
        <v>143</v>
      </c>
    </row>
    <row r="21" ht="17" spans="1:3">
      <c r="A21" s="2" t="s">
        <v>144</v>
      </c>
      <c r="B21" s="5">
        <f ca="1">IF(OR(B19="",B19&lt;=0),"",B20/B19)</f>
        <v>0</v>
      </c>
      <c r="C21" s="2" t="s">
        <v>145</v>
      </c>
    </row>
    <row r="22" ht="17" spans="1:3">
      <c r="A22" s="2" t="s">
        <v>146</v>
      </c>
      <c r="B22" s="5">
        <f ca="1">IF(OR(B13="",B13&lt;=0,B21=""),"",B21/B13)</f>
        <v>0</v>
      </c>
      <c r="C22" s="2" t="s">
        <v>147</v>
      </c>
    </row>
    <row r="23" ht="17" spans="1:3">
      <c r="A23" s="2" t="s">
        <v>148</v>
      </c>
      <c r="B23" s="6" t="str">
        <f ca="1"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" t="s">
        <v>149</v>
      </c>
    </row>
  </sheetData>
  <conditionalFormatting sqref="B8">
    <cfRule type="cellIs" dxfId="0" priority="2" operator="lessThan">
      <formula>0</formula>
    </cfRule>
  </conditionalFormatting>
  <conditionalFormatting sqref="B10">
    <cfRule type="cellIs" dxfId="0" priority="3" operator="lessThan">
      <formula>0</formula>
    </cfRule>
  </conditionalFormatting>
  <conditionalFormatting sqref="B23">
    <cfRule type="expression" dxfId="0" priority="4">
      <formula>$B$23="已锁仓"</formula>
    </cfRule>
    <cfRule type="expression" dxfId="2" priority="5">
      <formula>OR($B$23="接近锁仓",$B$23="解锁信息不完整")</formula>
    </cfRule>
    <cfRule type="expression" dxfId="1" priority="6">
      <formula>$B$23="正常"</formula>
    </cfRule>
  </conditionalFormatting>
  <dataValidations count="3">
    <dataValidation type="decimal" operator="greaterThan" sqref="B2">
      <formula1>0</formula1>
    </dataValidation>
    <dataValidation type="decimal" operator="between" sqref="B4 B6 B13">
      <formula1>0</formula1>
      <formula2>1</formula2>
    </dataValidation>
    <dataValidation type="custom" showErrorMessage="1" errorTitle="解锁序号无效" error="请填写1到最近已完成记录序号之间的整数，并同时填写解锁原因" sqref="B16">
      <formula1>OR(B16="",AND(ISNUMBER(B16),B16=INT(B16),B16&gt;=1,B16&lt;=B15))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9" defaultRowHeight="16.8" outlineLevelRow="6" outlineLevelCol="2"/>
  <cols>
    <col min="1" max="1" width="28" customWidth="1"/>
    <col min="2" max="2" width="20" customWidth="1"/>
    <col min="3" max="3" width="72" customWidth="1"/>
  </cols>
  <sheetData>
    <row r="1" ht="17" spans="1:3">
      <c r="A1" s="1" t="s">
        <v>77</v>
      </c>
      <c r="B1" s="1" t="s">
        <v>105</v>
      </c>
      <c r="C1" s="1" t="s">
        <v>79</v>
      </c>
    </row>
    <row r="2" ht="17" spans="1:3">
      <c r="A2" s="2" t="s">
        <v>150</v>
      </c>
      <c r="B2" s="3">
        <f>账户数据!B3</f>
        <v>1148578</v>
      </c>
      <c r="C2" s="2" t="s">
        <v>151</v>
      </c>
    </row>
    <row r="3" ht="17" spans="1:3">
      <c r="A3" s="2" t="s">
        <v>152</v>
      </c>
      <c r="B3" s="4">
        <v>0.1</v>
      </c>
      <c r="C3" s="2" t="s">
        <v>153</v>
      </c>
    </row>
    <row r="4" ht="17" spans="1:3">
      <c r="A4" s="2" t="s">
        <v>154</v>
      </c>
      <c r="B4" s="3">
        <f>IF(OR(B2="",B3=""),"",B2*B3)</f>
        <v>114857.8</v>
      </c>
      <c r="C4" s="2" t="s">
        <v>155</v>
      </c>
    </row>
    <row r="5" ht="17" spans="1:3">
      <c r="A5" s="2" t="s">
        <v>99</v>
      </c>
      <c r="B5" s="3">
        <f>多次统计数据!B12</f>
        <v>315542.75</v>
      </c>
      <c r="C5" s="2" t="s">
        <v>156</v>
      </c>
    </row>
    <row r="6" ht="17" spans="1:3">
      <c r="A6" s="2" t="s">
        <v>157</v>
      </c>
      <c r="B6" s="5">
        <f>多次统计数据!B13</f>
        <v>0.0303409614339806</v>
      </c>
      <c r="C6" s="2" t="s">
        <v>158</v>
      </c>
    </row>
    <row r="7" ht="17" spans="1:3">
      <c r="A7" s="2" t="s">
        <v>159</v>
      </c>
      <c r="B7" s="6">
        <f>IF(OR(B3="",B6="",B3&lt;=0,B6&lt;=0),"暂不可计算",ROUNDUP(LN(1+B3)/LN(1+B6),0))</f>
        <v>4</v>
      </c>
      <c r="C7" s="2" t="s">
        <v>160</v>
      </c>
    </row>
  </sheetData>
  <dataValidations count="1">
    <dataValidation type="decimal" operator="greaterThan" sqref="B3">
      <formula1>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单次交易</vt:lpstr>
      <vt:lpstr>加仓管理</vt:lpstr>
      <vt:lpstr>多次统计数据</vt:lpstr>
      <vt:lpstr>账户数据</vt:lpstr>
      <vt:lpstr>目标收益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吕晶晶</cp:lastModifiedBy>
  <dcterms:created xsi:type="dcterms:W3CDTF">2026-10-02T09:34:26Z</dcterms:created>
  <dcterms:modified xsi:type="dcterms:W3CDTF">2026-10-06T17:39:23Z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